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OWS\Desktop\"/>
    </mc:Choice>
  </mc:AlternateContent>
  <xr:revisionPtr revIDLastSave="0" documentId="13_ncr:1_{8FF1FB03-43BE-4D5A-BB60-664C88F22072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Inicio" sheetId="28" state="hidden" r:id="rId1"/>
    <sheet name="Calculadora_Produccion" sheetId="3" r:id="rId2"/>
    <sheet name="Cotización" sheetId="8" r:id="rId3"/>
    <sheet name="Hoja3" sheetId="7" r:id="rId4"/>
    <sheet name="Parametros" sheetId="9" state="hidden" r:id="rId5"/>
    <sheet name="Facturación" sheetId="10" r:id="rId6"/>
    <sheet name="Cotización Venta" sheetId="29" r:id="rId7"/>
    <sheet name="Factura" sheetId="12" r:id="rId8"/>
    <sheet name="Inventario_Materiales_(2)" sheetId="13" r:id="rId9"/>
    <sheet name="Configuracion_Costos" sheetId="1" state="hidden" r:id="rId10"/>
    <sheet name="Inventario_Materiales" sheetId="2" state="hidden" r:id="rId11"/>
    <sheet name="Inventario_Prod_terminado" sheetId="11" r:id="rId12"/>
    <sheet name="Gestión Impresión" sheetId="6" state="hidden" r:id="rId13"/>
    <sheet name="Dashboard_Estadisticas" sheetId="4" state="hidden" r:id="rId14"/>
    <sheet name="Descuentos_Volumen" sheetId="5" state="hidden" r:id="rId15"/>
    <sheet name="Diario" sheetId="20" state="hidden" r:id="rId16"/>
    <sheet name="Hoja1" sheetId="21" state="hidden" r:id="rId17"/>
    <sheet name="Plantilla mensual" sheetId="22" state="hidden" r:id="rId18"/>
    <sheet name="Ingresos mensuales" sheetId="17" state="hidden" r:id="rId19"/>
    <sheet name="Gastos mensuales" sheetId="18" state="hidden" r:id="rId20"/>
    <sheet name="EN BLANCO - Entrada de datos" sheetId="16" state="hidden" r:id="rId21"/>
    <sheet name="EN BLANCO - Panel de ganancias " sheetId="15" state="hidden" r:id="rId22"/>
    <sheet name="Balance" sheetId="14" state="hidden" r:id="rId23"/>
    <sheet name="Registro_Flujo_Caja" sheetId="19" r:id="rId24"/>
    <sheet name="Libro_Diario_Mayor" sheetId="23" r:id="rId25"/>
    <sheet name="DESGLOSE DE CUENTAS" sheetId="31" r:id="rId26"/>
    <sheet name="Mayor_y_Balances" sheetId="30" r:id="rId27"/>
    <sheet name="Flujo_de_Caja" sheetId="24" r:id="rId28"/>
    <sheet name="Panel_GyP" sheetId="26" r:id="rId29"/>
    <sheet name="Balance_General" sheetId="27" r:id="rId30"/>
  </sheets>
  <externalReferences>
    <externalReference r:id="rId31"/>
  </externalReferences>
  <definedNames>
    <definedName name="_xlnm._FilterDatabase" localSheetId="1" hidden="1">Calculadora_Produccion!$E$1:$L$1</definedName>
    <definedName name="_xlnm._FilterDatabase" localSheetId="15" hidden="1">Diario!$A$7:$J$113</definedName>
    <definedName name="_xlnm._FilterDatabase" localSheetId="5" hidden="1">Facturación!$A$2:$AA$2</definedName>
    <definedName name="_xlnm._FilterDatabase" localSheetId="3" hidden="1">Hoja3!$A$1:$T$2</definedName>
    <definedName name="_xlnm._FilterDatabase" localSheetId="24" hidden="1">Libro_Diario_Mayor!$A$1:$G$537</definedName>
    <definedName name="_xlnm._FilterDatabase" localSheetId="26" hidden="1">Mayor_y_Balances!$A$7:$F$25</definedName>
    <definedName name="_xlnm.Print_Area" localSheetId="22">Balance!$B$2:$H$30</definedName>
    <definedName name="_xlnm.Print_Area" localSheetId="2">Cotización!$A$1:$M$27</definedName>
    <definedName name="_xlnm.Print_Area" localSheetId="6">'Cotización Venta'!$C$1:$J$33</definedName>
    <definedName name="_xlnm.Print_Area" localSheetId="20">'EN BLANCO - Entrada de datos'!$B$1:$Q$30</definedName>
    <definedName name="_xlnm.Print_Area" localSheetId="21">'EN BLANCO - Panel de ganancias '!$B$3:$F$22</definedName>
    <definedName name="_xlnm.Print_Area" localSheetId="7">Factura!$C$1:$J$33</definedName>
    <definedName name="Bien">#REF!</definedName>
    <definedName name="BIENALQUILAD0">#REF!</definedName>
    <definedName name="CIUDADES">#REF!</definedName>
    <definedName name="Interval">#REF!</definedName>
    <definedName name="ListMonths" localSheetId="21">'EN BLANCO - Entrada de datos'!$X$4:$X$16</definedName>
    <definedName name="ListMonths">#REF!</definedName>
    <definedName name="ScheduleStart">#REF!</definedName>
    <definedName name="Type">'[1]Maintenance Work Order'!#REF!</definedName>
    <definedName name="ubigeo">#REF!</definedName>
    <definedName name="ubigeos">#REF!</definedName>
    <definedName name="via">#REF!</definedName>
    <definedName name="vias">#REF!</definedName>
    <definedName name="viass">#REF!</definedName>
    <definedName name="ZONA">#REF!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7" i="12" l="1"/>
  <c r="F7" i="12"/>
  <c r="F6" i="12"/>
  <c r="F5" i="12"/>
  <c r="D25" i="8"/>
  <c r="D24" i="8"/>
  <c r="D23" i="8"/>
  <c r="G3" i="13"/>
  <c r="J3" i="13"/>
  <c r="C41" i="30"/>
  <c r="D41" i="30"/>
  <c r="E41" i="30"/>
  <c r="F41" i="30"/>
  <c r="C40" i="30"/>
  <c r="D40" i="30"/>
  <c r="E40" i="30"/>
  <c r="F40" i="30"/>
  <c r="C39" i="30"/>
  <c r="D39" i="30"/>
  <c r="E39" i="30"/>
  <c r="F39" i="30"/>
  <c r="C38" i="30"/>
  <c r="D38" i="30"/>
  <c r="E38" i="30"/>
  <c r="F38" i="30"/>
  <c r="C37" i="30"/>
  <c r="D37" i="30"/>
  <c r="E37" i="30"/>
  <c r="F37" i="30"/>
  <c r="C36" i="30"/>
  <c r="D36" i="30"/>
  <c r="E36" i="30"/>
  <c r="F36" i="30"/>
  <c r="C35" i="30"/>
  <c r="D35" i="30"/>
  <c r="E35" i="30"/>
  <c r="F35" i="30"/>
  <c r="C34" i="30"/>
  <c r="D34" i="30"/>
  <c r="E34" i="30"/>
  <c r="F34" i="30"/>
  <c r="C33" i="30"/>
  <c r="D33" i="30"/>
  <c r="E33" i="30"/>
  <c r="F33" i="30"/>
  <c r="C32" i="30"/>
  <c r="E32" i="30"/>
  <c r="D32" i="30"/>
  <c r="F32" i="30"/>
  <c r="C31" i="30"/>
  <c r="E31" i="30"/>
  <c r="D31" i="30"/>
  <c r="F31" i="30"/>
  <c r="C30" i="30"/>
  <c r="E30" i="30"/>
  <c r="D30" i="30"/>
  <c r="F30" i="30"/>
  <c r="C29" i="30"/>
  <c r="E29" i="30"/>
  <c r="D29" i="30"/>
  <c r="F29" i="30"/>
  <c r="C28" i="30"/>
  <c r="E28" i="30"/>
  <c r="D28" i="30"/>
  <c r="F28" i="30"/>
  <c r="C27" i="30"/>
  <c r="D27" i="30"/>
  <c r="E27" i="30"/>
  <c r="F27" i="30"/>
  <c r="C26" i="30"/>
  <c r="D26" i="30"/>
  <c r="E26" i="30"/>
  <c r="F26" i="30"/>
  <c r="C25" i="30"/>
  <c r="D25" i="30"/>
  <c r="E25" i="30"/>
  <c r="F25" i="30"/>
  <c r="C24" i="30"/>
  <c r="D24" i="30"/>
  <c r="E24" i="30"/>
  <c r="F24" i="30"/>
  <c r="C23" i="30"/>
  <c r="D23" i="30"/>
  <c r="E23" i="30"/>
  <c r="F23" i="30"/>
  <c r="C22" i="30"/>
  <c r="D22" i="30"/>
  <c r="E22" i="30"/>
  <c r="F22" i="30"/>
  <c r="C21" i="30"/>
  <c r="D21" i="30"/>
  <c r="E21" i="30"/>
  <c r="F21" i="30"/>
  <c r="C20" i="30"/>
  <c r="D20" i="30"/>
  <c r="E20" i="30"/>
  <c r="F20" i="30"/>
  <c r="C19" i="30"/>
  <c r="D19" i="30"/>
  <c r="E19" i="30"/>
  <c r="F19" i="30"/>
  <c r="C18" i="30"/>
  <c r="D18" i="30"/>
  <c r="E18" i="30"/>
  <c r="F18" i="30"/>
  <c r="C17" i="30"/>
  <c r="D17" i="30"/>
  <c r="E17" i="30"/>
  <c r="F17" i="30"/>
  <c r="C16" i="30"/>
  <c r="E16" i="30"/>
  <c r="D16" i="30"/>
  <c r="F16" i="30"/>
  <c r="C15" i="30"/>
  <c r="E15" i="30"/>
  <c r="D15" i="30"/>
  <c r="F15" i="30"/>
  <c r="C14" i="30"/>
  <c r="E14" i="30"/>
  <c r="D14" i="30"/>
  <c r="F14" i="30"/>
  <c r="C13" i="30"/>
  <c r="E13" i="30"/>
  <c r="D13" i="30"/>
  <c r="F13" i="30"/>
  <c r="C12" i="30"/>
  <c r="E12" i="30"/>
  <c r="D12" i="30"/>
  <c r="F12" i="30"/>
  <c r="C11" i="30"/>
  <c r="D11" i="30"/>
  <c r="E11" i="30"/>
  <c r="F11" i="30"/>
  <c r="C10" i="30"/>
  <c r="D10" i="30"/>
  <c r="E10" i="30"/>
  <c r="F10" i="30"/>
  <c r="C9" i="30"/>
  <c r="D9" i="30"/>
  <c r="E9" i="30"/>
  <c r="F9" i="30"/>
  <c r="C8" i="30"/>
  <c r="D8" i="30"/>
  <c r="E8" i="30"/>
  <c r="F8" i="30"/>
  <c r="E5" i="30"/>
  <c r="E4" i="30"/>
  <c r="H538" i="23"/>
  <c r="H539" i="23"/>
  <c r="H540" i="23"/>
  <c r="H541" i="23"/>
  <c r="H542" i="23"/>
  <c r="H543" i="23"/>
  <c r="H544" i="23"/>
  <c r="H545" i="23"/>
  <c r="H546" i="23"/>
  <c r="H547" i="23"/>
  <c r="H548" i="23"/>
  <c r="H549" i="23"/>
  <c r="H550" i="23"/>
  <c r="H551" i="23"/>
  <c r="H552" i="23"/>
  <c r="H553" i="23"/>
  <c r="H554" i="23"/>
  <c r="H555" i="23"/>
  <c r="H556" i="23"/>
  <c r="H557" i="23"/>
  <c r="H558" i="23"/>
  <c r="H559" i="23"/>
  <c r="G33" i="11"/>
  <c r="K33" i="11"/>
  <c r="I33" i="11"/>
  <c r="L33" i="11"/>
  <c r="G32" i="11"/>
  <c r="K32" i="11"/>
  <c r="I32" i="11"/>
  <c r="L32" i="11"/>
  <c r="G31" i="11"/>
  <c r="K31" i="11"/>
  <c r="I31" i="11"/>
  <c r="L31" i="11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H207" i="23"/>
  <c r="H208" i="23"/>
  <c r="H209" i="23"/>
  <c r="H210" i="23"/>
  <c r="H211" i="23"/>
  <c r="H212" i="23"/>
  <c r="H213" i="23"/>
  <c r="H214" i="23"/>
  <c r="H215" i="23"/>
  <c r="H216" i="23"/>
  <c r="H217" i="23"/>
  <c r="H218" i="23"/>
  <c r="H219" i="23"/>
  <c r="H220" i="23"/>
  <c r="H221" i="23"/>
  <c r="H222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H239" i="23"/>
  <c r="H240" i="23"/>
  <c r="H241" i="23"/>
  <c r="H242" i="23"/>
  <c r="H243" i="23"/>
  <c r="H244" i="23"/>
  <c r="H245" i="23"/>
  <c r="H246" i="23"/>
  <c r="H247" i="23"/>
  <c r="H248" i="23"/>
  <c r="H249" i="23"/>
  <c r="H250" i="23"/>
  <c r="H251" i="23"/>
  <c r="H252" i="23"/>
  <c r="H253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H307" i="23"/>
  <c r="H308" i="23"/>
  <c r="H309" i="23"/>
  <c r="H310" i="23"/>
  <c r="H311" i="23"/>
  <c r="H312" i="23"/>
  <c r="H313" i="23"/>
  <c r="H314" i="23"/>
  <c r="H315" i="23"/>
  <c r="H316" i="23"/>
  <c r="H317" i="23"/>
  <c r="H318" i="23"/>
  <c r="H319" i="23"/>
  <c r="H320" i="23"/>
  <c r="H321" i="23"/>
  <c r="H322" i="23"/>
  <c r="H323" i="23"/>
  <c r="H324" i="23"/>
  <c r="H325" i="23"/>
  <c r="H326" i="23"/>
  <c r="H327" i="23"/>
  <c r="H328" i="23"/>
  <c r="H329" i="23"/>
  <c r="H330" i="23"/>
  <c r="H331" i="23"/>
  <c r="H332" i="23"/>
  <c r="H333" i="23"/>
  <c r="H334" i="23"/>
  <c r="H335" i="23"/>
  <c r="H336" i="23"/>
  <c r="H337" i="23"/>
  <c r="H338" i="23"/>
  <c r="H339" i="23"/>
  <c r="H340" i="23"/>
  <c r="H341" i="23"/>
  <c r="H342" i="23"/>
  <c r="H343" i="23"/>
  <c r="H344" i="23"/>
  <c r="H345" i="23"/>
  <c r="H346" i="23"/>
  <c r="H347" i="23"/>
  <c r="H348" i="23"/>
  <c r="H349" i="23"/>
  <c r="H350" i="23"/>
  <c r="H351" i="23"/>
  <c r="H352" i="23"/>
  <c r="H353" i="23"/>
  <c r="H354" i="23"/>
  <c r="H355" i="23"/>
  <c r="H356" i="23"/>
  <c r="H357" i="23"/>
  <c r="H358" i="23"/>
  <c r="H359" i="23"/>
  <c r="H360" i="23"/>
  <c r="H361" i="23"/>
  <c r="H362" i="23"/>
  <c r="H363" i="23"/>
  <c r="H364" i="23"/>
  <c r="H365" i="23"/>
  <c r="H366" i="23"/>
  <c r="H367" i="23"/>
  <c r="H368" i="23"/>
  <c r="H369" i="23"/>
  <c r="H370" i="23"/>
  <c r="H371" i="23"/>
  <c r="H372" i="23"/>
  <c r="H373" i="23"/>
  <c r="H374" i="23"/>
  <c r="H375" i="23"/>
  <c r="H376" i="23"/>
  <c r="H377" i="23"/>
  <c r="H378" i="23"/>
  <c r="H379" i="23"/>
  <c r="H380" i="23"/>
  <c r="H381" i="23"/>
  <c r="H382" i="23"/>
  <c r="H383" i="23"/>
  <c r="H384" i="23"/>
  <c r="H385" i="23"/>
  <c r="H386" i="23"/>
  <c r="H387" i="23"/>
  <c r="H388" i="23"/>
  <c r="H389" i="23"/>
  <c r="H390" i="23"/>
  <c r="H391" i="23"/>
  <c r="H392" i="23"/>
  <c r="H393" i="23"/>
  <c r="H394" i="23"/>
  <c r="H395" i="23"/>
  <c r="H396" i="23"/>
  <c r="H397" i="23"/>
  <c r="H398" i="23"/>
  <c r="H399" i="23"/>
  <c r="H400" i="23"/>
  <c r="H401" i="23"/>
  <c r="H402" i="23"/>
  <c r="H403" i="23"/>
  <c r="H404" i="23"/>
  <c r="H405" i="23"/>
  <c r="H406" i="23"/>
  <c r="H407" i="23"/>
  <c r="H408" i="23"/>
  <c r="H409" i="23"/>
  <c r="H410" i="23"/>
  <c r="H411" i="23"/>
  <c r="H412" i="23"/>
  <c r="H413" i="23"/>
  <c r="H414" i="23"/>
  <c r="H415" i="23"/>
  <c r="H416" i="23"/>
  <c r="H417" i="23"/>
  <c r="H418" i="23"/>
  <c r="H419" i="23"/>
  <c r="H420" i="23"/>
  <c r="H421" i="23"/>
  <c r="H422" i="23"/>
  <c r="H423" i="23"/>
  <c r="H424" i="23"/>
  <c r="H425" i="23"/>
  <c r="H426" i="23"/>
  <c r="H427" i="23"/>
  <c r="H428" i="23"/>
  <c r="H429" i="23"/>
  <c r="H430" i="23"/>
  <c r="H431" i="23"/>
  <c r="H432" i="23"/>
  <c r="H433" i="23"/>
  <c r="H434" i="23"/>
  <c r="H435" i="23"/>
  <c r="H436" i="23"/>
  <c r="H437" i="23"/>
  <c r="H438" i="23"/>
  <c r="H439" i="23"/>
  <c r="H440" i="23"/>
  <c r="H441" i="23"/>
  <c r="H442" i="23"/>
  <c r="H443" i="23"/>
  <c r="H444" i="23"/>
  <c r="H445" i="23"/>
  <c r="H446" i="23"/>
  <c r="H447" i="23"/>
  <c r="H448" i="23"/>
  <c r="H449" i="23"/>
  <c r="H450" i="23"/>
  <c r="H451" i="23"/>
  <c r="H452" i="23"/>
  <c r="H453" i="23"/>
  <c r="H454" i="23"/>
  <c r="H455" i="23"/>
  <c r="H456" i="23"/>
  <c r="H457" i="23"/>
  <c r="H458" i="23"/>
  <c r="H459" i="23"/>
  <c r="H460" i="23"/>
  <c r="H461" i="23"/>
  <c r="H462" i="23"/>
  <c r="H463" i="23"/>
  <c r="H464" i="23"/>
  <c r="H465" i="23"/>
  <c r="H466" i="23"/>
  <c r="H467" i="23"/>
  <c r="H468" i="23"/>
  <c r="H469" i="23"/>
  <c r="H470" i="23"/>
  <c r="H471" i="23"/>
  <c r="H472" i="23"/>
  <c r="H473" i="23"/>
  <c r="H474" i="23"/>
  <c r="H475" i="23"/>
  <c r="H476" i="23"/>
  <c r="H477" i="23"/>
  <c r="H478" i="23"/>
  <c r="H479" i="23"/>
  <c r="H480" i="23"/>
  <c r="H481" i="23"/>
  <c r="H482" i="23"/>
  <c r="H483" i="23"/>
  <c r="H484" i="23"/>
  <c r="H485" i="23"/>
  <c r="H486" i="23"/>
  <c r="H487" i="23"/>
  <c r="H488" i="23"/>
  <c r="H489" i="23"/>
  <c r="H490" i="23"/>
  <c r="H491" i="23"/>
  <c r="H492" i="23"/>
  <c r="H493" i="23"/>
  <c r="H494" i="23"/>
  <c r="H495" i="23"/>
  <c r="H496" i="23"/>
  <c r="H497" i="23"/>
  <c r="H498" i="23"/>
  <c r="H499" i="23"/>
  <c r="H500" i="23"/>
  <c r="H501" i="23"/>
  <c r="H502" i="23"/>
  <c r="H503" i="23"/>
  <c r="H504" i="23"/>
  <c r="H505" i="23"/>
  <c r="H506" i="23"/>
  <c r="H507" i="23"/>
  <c r="H508" i="23"/>
  <c r="H509" i="23"/>
  <c r="H510" i="23"/>
  <c r="H511" i="23"/>
  <c r="H512" i="23"/>
  <c r="H513" i="23"/>
  <c r="H514" i="23"/>
  <c r="H515" i="23"/>
  <c r="H516" i="23"/>
  <c r="H517" i="23"/>
  <c r="H518" i="23"/>
  <c r="H519" i="23"/>
  <c r="H520" i="23"/>
  <c r="H521" i="23"/>
  <c r="H522" i="23"/>
  <c r="H523" i="23"/>
  <c r="H524" i="23"/>
  <c r="H525" i="23"/>
  <c r="H526" i="23"/>
  <c r="H527" i="23"/>
  <c r="H528" i="23"/>
  <c r="H529" i="23"/>
  <c r="H530" i="23"/>
  <c r="H531" i="23"/>
  <c r="H532" i="23"/>
  <c r="H533" i="23"/>
  <c r="H534" i="23"/>
  <c r="H535" i="23"/>
  <c r="H536" i="23"/>
  <c r="H537" i="23"/>
  <c r="H2" i="23"/>
  <c r="E9" i="27"/>
  <c r="E10" i="27"/>
  <c r="E11" i="27"/>
  <c r="E8" i="27"/>
  <c r="E14" i="27"/>
  <c r="E15" i="27"/>
  <c r="E13" i="27"/>
  <c r="E17" i="27"/>
  <c r="E19" i="27"/>
  <c r="E25" i="27"/>
  <c r="E26" i="27"/>
  <c r="E24" i="27"/>
  <c r="E29" i="27"/>
  <c r="E28" i="27"/>
  <c r="E32" i="27"/>
  <c r="E33" i="27"/>
  <c r="E31" i="27"/>
  <c r="E35" i="27"/>
  <c r="E38" i="27"/>
  <c r="F21" i="27"/>
  <c r="C40" i="31"/>
  <c r="D40" i="31"/>
  <c r="C41" i="31"/>
  <c r="D41" i="31"/>
  <c r="C42" i="31"/>
  <c r="D42" i="31"/>
  <c r="C43" i="31"/>
  <c r="D43" i="31"/>
  <c r="C44" i="31"/>
  <c r="D44" i="31"/>
  <c r="C45" i="31"/>
  <c r="D45" i="31"/>
  <c r="C46" i="31"/>
  <c r="D46" i="31"/>
  <c r="C47" i="31"/>
  <c r="D47" i="31"/>
  <c r="C48" i="31"/>
  <c r="D48" i="31"/>
  <c r="C49" i="31"/>
  <c r="D49" i="31"/>
  <c r="C50" i="31"/>
  <c r="D50" i="31"/>
  <c r="D39" i="31"/>
  <c r="C39" i="31"/>
  <c r="H40" i="31"/>
  <c r="I40" i="31"/>
  <c r="H41" i="31"/>
  <c r="I41" i="31"/>
  <c r="H42" i="31"/>
  <c r="I42" i="31"/>
  <c r="H43" i="31"/>
  <c r="I43" i="31"/>
  <c r="H44" i="31"/>
  <c r="I44" i="31"/>
  <c r="H45" i="31"/>
  <c r="I45" i="31"/>
  <c r="H46" i="31"/>
  <c r="I46" i="31"/>
  <c r="H47" i="31"/>
  <c r="I47" i="31"/>
  <c r="H48" i="31"/>
  <c r="I48" i="31"/>
  <c r="H49" i="31"/>
  <c r="I49" i="31"/>
  <c r="H50" i="31"/>
  <c r="I50" i="31"/>
  <c r="I39" i="31"/>
  <c r="H39" i="31"/>
  <c r="M40" i="31"/>
  <c r="N40" i="31"/>
  <c r="M41" i="31"/>
  <c r="N41" i="31"/>
  <c r="M42" i="31"/>
  <c r="N42" i="31"/>
  <c r="M43" i="31"/>
  <c r="N43" i="31"/>
  <c r="M44" i="31"/>
  <c r="N44" i="31"/>
  <c r="M45" i="31"/>
  <c r="N45" i="31"/>
  <c r="M46" i="31"/>
  <c r="N46" i="31"/>
  <c r="M47" i="31"/>
  <c r="N47" i="31"/>
  <c r="M48" i="31"/>
  <c r="N48" i="31"/>
  <c r="M49" i="31"/>
  <c r="N49" i="31"/>
  <c r="M50" i="31"/>
  <c r="N50" i="31"/>
  <c r="N39" i="31"/>
  <c r="M39" i="31"/>
  <c r="R40" i="31"/>
  <c r="S40" i="31"/>
  <c r="R41" i="31"/>
  <c r="S41" i="31"/>
  <c r="R42" i="31"/>
  <c r="S42" i="31"/>
  <c r="R43" i="31"/>
  <c r="S43" i="31"/>
  <c r="R44" i="31"/>
  <c r="S44" i="31"/>
  <c r="R45" i="31"/>
  <c r="S45" i="31"/>
  <c r="R46" i="31"/>
  <c r="S46" i="31"/>
  <c r="R47" i="31"/>
  <c r="S47" i="31"/>
  <c r="R48" i="31"/>
  <c r="S48" i="31"/>
  <c r="R49" i="31"/>
  <c r="S49" i="31"/>
  <c r="R50" i="31"/>
  <c r="S50" i="31"/>
  <c r="S39" i="31"/>
  <c r="R39" i="31"/>
  <c r="W40" i="31"/>
  <c r="X40" i="31"/>
  <c r="W41" i="31"/>
  <c r="X41" i="31"/>
  <c r="W42" i="31"/>
  <c r="X42" i="31"/>
  <c r="W43" i="31"/>
  <c r="X43" i="31"/>
  <c r="W44" i="31"/>
  <c r="X44" i="31"/>
  <c r="W45" i="31"/>
  <c r="X45" i="31"/>
  <c r="W46" i="31"/>
  <c r="X46" i="31"/>
  <c r="W47" i="31"/>
  <c r="X47" i="31"/>
  <c r="W48" i="31"/>
  <c r="X48" i="31"/>
  <c r="W49" i="31"/>
  <c r="X49" i="31"/>
  <c r="W50" i="31"/>
  <c r="X50" i="31"/>
  <c r="X39" i="31"/>
  <c r="W39" i="31"/>
  <c r="AB40" i="31"/>
  <c r="AC40" i="31"/>
  <c r="AB41" i="31"/>
  <c r="AC41" i="31"/>
  <c r="AB42" i="31"/>
  <c r="AC42" i="31"/>
  <c r="AB43" i="31"/>
  <c r="AC43" i="31"/>
  <c r="AB44" i="31"/>
  <c r="AC44" i="31"/>
  <c r="AB45" i="31"/>
  <c r="AC45" i="31"/>
  <c r="AB46" i="31"/>
  <c r="AC46" i="31"/>
  <c r="AB47" i="31"/>
  <c r="AC47" i="31"/>
  <c r="AB48" i="31"/>
  <c r="AC48" i="31"/>
  <c r="AB49" i="31"/>
  <c r="AC49" i="31"/>
  <c r="AB50" i="31"/>
  <c r="AC50" i="31"/>
  <c r="AC39" i="31"/>
  <c r="AB39" i="31"/>
  <c r="AB23" i="31"/>
  <c r="AC23" i="31"/>
  <c r="AB24" i="31"/>
  <c r="AC24" i="31"/>
  <c r="AB25" i="31"/>
  <c r="AC25" i="31"/>
  <c r="AB26" i="31"/>
  <c r="AC26" i="31"/>
  <c r="AB27" i="31"/>
  <c r="AC27" i="31"/>
  <c r="AB28" i="31"/>
  <c r="AC28" i="31"/>
  <c r="AB29" i="31"/>
  <c r="AC29" i="31"/>
  <c r="AB30" i="31"/>
  <c r="AC30" i="31"/>
  <c r="AB31" i="31"/>
  <c r="AC31" i="31"/>
  <c r="AB32" i="31"/>
  <c r="AC32" i="31"/>
  <c r="AB33" i="31"/>
  <c r="AC33" i="31"/>
  <c r="AC22" i="31"/>
  <c r="AB22" i="31"/>
  <c r="W23" i="31"/>
  <c r="X23" i="31"/>
  <c r="W24" i="31"/>
  <c r="X24" i="31"/>
  <c r="W25" i="31"/>
  <c r="X25" i="31"/>
  <c r="W26" i="31"/>
  <c r="X26" i="31"/>
  <c r="W27" i="31"/>
  <c r="X27" i="31"/>
  <c r="W28" i="31"/>
  <c r="X28" i="31"/>
  <c r="W29" i="31"/>
  <c r="X29" i="31"/>
  <c r="W30" i="31"/>
  <c r="X30" i="31"/>
  <c r="W31" i="31"/>
  <c r="X31" i="31"/>
  <c r="W32" i="31"/>
  <c r="X32" i="31"/>
  <c r="W33" i="31"/>
  <c r="X33" i="31"/>
  <c r="X22" i="31"/>
  <c r="W22" i="31"/>
  <c r="R23" i="31"/>
  <c r="S23" i="31"/>
  <c r="R24" i="31"/>
  <c r="S24" i="31"/>
  <c r="R25" i="31"/>
  <c r="S25" i="31"/>
  <c r="R26" i="31"/>
  <c r="S26" i="31"/>
  <c r="R27" i="31"/>
  <c r="S27" i="31"/>
  <c r="R28" i="31"/>
  <c r="S28" i="31"/>
  <c r="R29" i="31"/>
  <c r="S29" i="31"/>
  <c r="R30" i="31"/>
  <c r="S30" i="31"/>
  <c r="R31" i="31"/>
  <c r="S31" i="31"/>
  <c r="R32" i="31"/>
  <c r="S32" i="31"/>
  <c r="R33" i="31"/>
  <c r="S33" i="31"/>
  <c r="S22" i="31"/>
  <c r="R22" i="31"/>
  <c r="M23" i="31"/>
  <c r="N23" i="31"/>
  <c r="M24" i="31"/>
  <c r="N24" i="31"/>
  <c r="M25" i="31"/>
  <c r="N25" i="31"/>
  <c r="M26" i="31"/>
  <c r="N26" i="31"/>
  <c r="M27" i="31"/>
  <c r="N27" i="31"/>
  <c r="M28" i="31"/>
  <c r="N28" i="31"/>
  <c r="M29" i="31"/>
  <c r="N29" i="31"/>
  <c r="M30" i="31"/>
  <c r="N30" i="31"/>
  <c r="M31" i="31"/>
  <c r="N31" i="31"/>
  <c r="M32" i="31"/>
  <c r="N32" i="31"/>
  <c r="M33" i="31"/>
  <c r="N33" i="31"/>
  <c r="N22" i="31"/>
  <c r="M22" i="31"/>
  <c r="H23" i="31"/>
  <c r="I23" i="31"/>
  <c r="H24" i="31"/>
  <c r="I24" i="31"/>
  <c r="H25" i="31"/>
  <c r="I25" i="31"/>
  <c r="H26" i="31"/>
  <c r="I26" i="31"/>
  <c r="H27" i="31"/>
  <c r="I27" i="31"/>
  <c r="H28" i="31"/>
  <c r="I28" i="31"/>
  <c r="H29" i="31"/>
  <c r="I29" i="31"/>
  <c r="H30" i="31"/>
  <c r="I30" i="31"/>
  <c r="H31" i="31"/>
  <c r="I31" i="31"/>
  <c r="H32" i="31"/>
  <c r="I32" i="31"/>
  <c r="H33" i="31"/>
  <c r="I33" i="31"/>
  <c r="I22" i="31"/>
  <c r="H22" i="31"/>
  <c r="C23" i="31"/>
  <c r="D23" i="31"/>
  <c r="C24" i="31"/>
  <c r="D24" i="31"/>
  <c r="C25" i="31"/>
  <c r="D25" i="31"/>
  <c r="C26" i="31"/>
  <c r="D26" i="31"/>
  <c r="C27" i="31"/>
  <c r="D27" i="31"/>
  <c r="C28" i="31"/>
  <c r="D28" i="31"/>
  <c r="C29" i="31"/>
  <c r="D29" i="31"/>
  <c r="C30" i="31"/>
  <c r="D30" i="31"/>
  <c r="C31" i="31"/>
  <c r="D31" i="31"/>
  <c r="C32" i="31"/>
  <c r="D32" i="31"/>
  <c r="C33" i="31"/>
  <c r="D33" i="31"/>
  <c r="D22" i="31"/>
  <c r="C22" i="31"/>
  <c r="AC16" i="31"/>
  <c r="AB16" i="31"/>
  <c r="AC15" i="31"/>
  <c r="AB15" i="31"/>
  <c r="AC14" i="31"/>
  <c r="AB14" i="31"/>
  <c r="AC13" i="31"/>
  <c r="AB13" i="31"/>
  <c r="AC12" i="31"/>
  <c r="AB12" i="31"/>
  <c r="AC11" i="31"/>
  <c r="AB11" i="31"/>
  <c r="AC10" i="31"/>
  <c r="AB10" i="31"/>
  <c r="AC9" i="31"/>
  <c r="AB9" i="31"/>
  <c r="AC8" i="31"/>
  <c r="AB8" i="31"/>
  <c r="AC7" i="31"/>
  <c r="AB7" i="31"/>
  <c r="AC6" i="31"/>
  <c r="AB6" i="31"/>
  <c r="AC5" i="31"/>
  <c r="AB5" i="31"/>
  <c r="X16" i="31"/>
  <c r="W16" i="31"/>
  <c r="X15" i="31"/>
  <c r="W15" i="31"/>
  <c r="X14" i="31"/>
  <c r="W14" i="31"/>
  <c r="X13" i="31"/>
  <c r="W13" i="31"/>
  <c r="X12" i="31"/>
  <c r="W12" i="31"/>
  <c r="X11" i="31"/>
  <c r="W11" i="31"/>
  <c r="X10" i="31"/>
  <c r="W10" i="31"/>
  <c r="X9" i="31"/>
  <c r="W9" i="31"/>
  <c r="X8" i="31"/>
  <c r="W8" i="31"/>
  <c r="X7" i="31"/>
  <c r="W7" i="31"/>
  <c r="X6" i="31"/>
  <c r="W6" i="31"/>
  <c r="X5" i="31"/>
  <c r="W5" i="31"/>
  <c r="S16" i="31"/>
  <c r="R16" i="31"/>
  <c r="S15" i="31"/>
  <c r="R15" i="31"/>
  <c r="S14" i="31"/>
  <c r="R14" i="31"/>
  <c r="S13" i="31"/>
  <c r="R13" i="31"/>
  <c r="S12" i="31"/>
  <c r="R12" i="31"/>
  <c r="S11" i="31"/>
  <c r="R11" i="31"/>
  <c r="S10" i="31"/>
  <c r="R10" i="31"/>
  <c r="S9" i="31"/>
  <c r="R9" i="31"/>
  <c r="S8" i="31"/>
  <c r="R8" i="31"/>
  <c r="S7" i="31"/>
  <c r="R7" i="31"/>
  <c r="S6" i="31"/>
  <c r="R6" i="31"/>
  <c r="S5" i="31"/>
  <c r="R5" i="31"/>
  <c r="N16" i="31"/>
  <c r="M16" i="31"/>
  <c r="N15" i="31"/>
  <c r="M15" i="31"/>
  <c r="N14" i="31"/>
  <c r="M14" i="31"/>
  <c r="N13" i="31"/>
  <c r="M13" i="31"/>
  <c r="N12" i="31"/>
  <c r="M12" i="31"/>
  <c r="N11" i="31"/>
  <c r="M11" i="31"/>
  <c r="N10" i="31"/>
  <c r="M10" i="31"/>
  <c r="N9" i="31"/>
  <c r="M9" i="31"/>
  <c r="N8" i="31"/>
  <c r="M8" i="31"/>
  <c r="N7" i="31"/>
  <c r="M7" i="31"/>
  <c r="N6" i="31"/>
  <c r="M6" i="31"/>
  <c r="N5" i="31"/>
  <c r="M5" i="31"/>
  <c r="I16" i="31"/>
  <c r="H16" i="31"/>
  <c r="I15" i="31"/>
  <c r="H15" i="31"/>
  <c r="I14" i="31"/>
  <c r="H14" i="31"/>
  <c r="I13" i="31"/>
  <c r="H13" i="31"/>
  <c r="I12" i="31"/>
  <c r="H12" i="31"/>
  <c r="I11" i="31"/>
  <c r="H11" i="31"/>
  <c r="I10" i="31"/>
  <c r="H10" i="31"/>
  <c r="I9" i="31"/>
  <c r="H9" i="31"/>
  <c r="I8" i="31"/>
  <c r="H8" i="31"/>
  <c r="I7" i="31"/>
  <c r="H7" i="31"/>
  <c r="I6" i="31"/>
  <c r="H6" i="31"/>
  <c r="I5" i="31"/>
  <c r="H5" i="31"/>
  <c r="C6" i="31"/>
  <c r="D6" i="31"/>
  <c r="C7" i="31"/>
  <c r="D7" i="31"/>
  <c r="C8" i="31"/>
  <c r="D8" i="31"/>
  <c r="C9" i="31"/>
  <c r="D9" i="31"/>
  <c r="C10" i="31"/>
  <c r="D10" i="31"/>
  <c r="C11" i="31"/>
  <c r="D11" i="31"/>
  <c r="C12" i="31"/>
  <c r="D12" i="31"/>
  <c r="C13" i="31"/>
  <c r="D13" i="31"/>
  <c r="C14" i="31"/>
  <c r="D14" i="31"/>
  <c r="C15" i="31"/>
  <c r="D15" i="31"/>
  <c r="C16" i="31"/>
  <c r="D16" i="31"/>
  <c r="D5" i="31"/>
  <c r="C5" i="31"/>
  <c r="AC17" i="31"/>
  <c r="AB17" i="31"/>
  <c r="X17" i="31"/>
  <c r="W17" i="31"/>
  <c r="AC51" i="31"/>
  <c r="AB51" i="31"/>
  <c r="X51" i="31"/>
  <c r="W51" i="31"/>
  <c r="AC34" i="31"/>
  <c r="AB34" i="31"/>
  <c r="X34" i="31"/>
  <c r="W34" i="31"/>
  <c r="S51" i="31"/>
  <c r="R51" i="31"/>
  <c r="N51" i="31"/>
  <c r="M51" i="31"/>
  <c r="I51" i="31"/>
  <c r="H51" i="31"/>
  <c r="D51" i="31"/>
  <c r="C51" i="31"/>
  <c r="D34" i="31"/>
  <c r="C34" i="31"/>
  <c r="I34" i="31"/>
  <c r="H34" i="31"/>
  <c r="N34" i="31"/>
  <c r="M34" i="31"/>
  <c r="S34" i="31"/>
  <c r="R34" i="31"/>
  <c r="S17" i="31"/>
  <c r="R17" i="31"/>
  <c r="N17" i="31"/>
  <c r="M17" i="31"/>
  <c r="I17" i="31"/>
  <c r="H17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22" i="31"/>
  <c r="J23" i="31"/>
  <c r="J24" i="31"/>
  <c r="J25" i="31"/>
  <c r="J26" i="31"/>
  <c r="J27" i="31"/>
  <c r="J28" i="31"/>
  <c r="J29" i="31"/>
  <c r="J30" i="31"/>
  <c r="J31" i="31"/>
  <c r="J32" i="31"/>
  <c r="J33" i="31"/>
  <c r="J34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22" i="31"/>
  <c r="O23" i="31"/>
  <c r="O24" i="31"/>
  <c r="O25" i="31"/>
  <c r="O26" i="31"/>
  <c r="O27" i="31"/>
  <c r="O28" i="31"/>
  <c r="O29" i="31"/>
  <c r="O30" i="31"/>
  <c r="O31" i="31"/>
  <c r="O32" i="31"/>
  <c r="O33" i="31"/>
  <c r="O34" i="31"/>
  <c r="T39" i="31"/>
  <c r="T40" i="31"/>
  <c r="T41" i="31"/>
  <c r="T42" i="31"/>
  <c r="T43" i="31"/>
  <c r="T44" i="31"/>
  <c r="T45" i="31"/>
  <c r="T46" i="31"/>
  <c r="T47" i="31"/>
  <c r="T48" i="31"/>
  <c r="T49" i="31"/>
  <c r="T50" i="31"/>
  <c r="T51" i="31"/>
  <c r="T22" i="31"/>
  <c r="T23" i="31"/>
  <c r="T24" i="31"/>
  <c r="T25" i="31"/>
  <c r="T26" i="31"/>
  <c r="T27" i="31"/>
  <c r="T28" i="31"/>
  <c r="T29" i="31"/>
  <c r="T30" i="31"/>
  <c r="T31" i="31"/>
  <c r="T32" i="31"/>
  <c r="T33" i="31"/>
  <c r="T34" i="31"/>
  <c r="Y39" i="31"/>
  <c r="Y40" i="31"/>
  <c r="Y41" i="31"/>
  <c r="Y42" i="31"/>
  <c r="Y43" i="31"/>
  <c r="Y44" i="31"/>
  <c r="Y45" i="31"/>
  <c r="Y46" i="31"/>
  <c r="Y47" i="31"/>
  <c r="Y48" i="31"/>
  <c r="Y49" i="31"/>
  <c r="Y50" i="31"/>
  <c r="Y51" i="31"/>
  <c r="Y22" i="31"/>
  <c r="Y23" i="31"/>
  <c r="Y24" i="31"/>
  <c r="Y25" i="31"/>
  <c r="Y26" i="31"/>
  <c r="Y27" i="31"/>
  <c r="Y28" i="31"/>
  <c r="Y29" i="31"/>
  <c r="Y30" i="31"/>
  <c r="Y31" i="31"/>
  <c r="Y32" i="31"/>
  <c r="Y33" i="31"/>
  <c r="Y34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Y5" i="31"/>
  <c r="Y6" i="31"/>
  <c r="Y7" i="31"/>
  <c r="Y8" i="31"/>
  <c r="Y9" i="31"/>
  <c r="Y10" i="31"/>
  <c r="Y11" i="31"/>
  <c r="Y12" i="31"/>
  <c r="Y13" i="31"/>
  <c r="Y14" i="31"/>
  <c r="Y15" i="31"/>
  <c r="Y16" i="31"/>
  <c r="Y17" i="31"/>
  <c r="T5" i="31"/>
  <c r="T6" i="31"/>
  <c r="T7" i="31"/>
  <c r="T8" i="31"/>
  <c r="T9" i="31"/>
  <c r="T10" i="31"/>
  <c r="T11" i="31"/>
  <c r="T12" i="31"/>
  <c r="T13" i="31"/>
  <c r="T14" i="31"/>
  <c r="T15" i="31"/>
  <c r="T16" i="31"/>
  <c r="T17" i="31"/>
  <c r="O5" i="31"/>
  <c r="O6" i="31"/>
  <c r="O7" i="31"/>
  <c r="O8" i="31"/>
  <c r="O9" i="31"/>
  <c r="O10" i="31"/>
  <c r="O11" i="31"/>
  <c r="O12" i="31"/>
  <c r="O13" i="31"/>
  <c r="O14" i="31"/>
  <c r="O15" i="31"/>
  <c r="O16" i="31"/>
  <c r="O17" i="31"/>
  <c r="J5" i="31"/>
  <c r="J6" i="31"/>
  <c r="J7" i="31"/>
  <c r="J8" i="31"/>
  <c r="J9" i="31"/>
  <c r="J10" i="31"/>
  <c r="J11" i="31"/>
  <c r="J12" i="31"/>
  <c r="J13" i="31"/>
  <c r="J14" i="31"/>
  <c r="J15" i="31"/>
  <c r="J16" i="31"/>
  <c r="J17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D17" i="31"/>
  <c r="C17" i="31"/>
  <c r="K30" i="11"/>
  <c r="I30" i="11"/>
  <c r="L30" i="11"/>
  <c r="K29" i="11"/>
  <c r="I29" i="11"/>
  <c r="L29" i="11"/>
  <c r="K28" i="11"/>
  <c r="I28" i="11"/>
  <c r="L28" i="11"/>
  <c r="K27" i="11"/>
  <c r="I27" i="11"/>
  <c r="G27" i="11"/>
  <c r="L27" i="11"/>
  <c r="G23" i="11"/>
  <c r="K26" i="11"/>
  <c r="I26" i="11"/>
  <c r="L26" i="11"/>
  <c r="G25" i="11"/>
  <c r="K25" i="11"/>
  <c r="I25" i="11"/>
  <c r="L25" i="11"/>
  <c r="K24" i="11"/>
  <c r="I24" i="11"/>
  <c r="L24" i="11"/>
  <c r="G21" i="11"/>
  <c r="K21" i="11"/>
  <c r="I21" i="11"/>
  <c r="L21" i="11"/>
  <c r="G5" i="11"/>
  <c r="K5" i="11"/>
  <c r="I5" i="11"/>
  <c r="L5" i="11"/>
  <c r="G16" i="11"/>
  <c r="K16" i="11"/>
  <c r="I16" i="11"/>
  <c r="L16" i="11"/>
  <c r="G4" i="11"/>
  <c r="K4" i="11"/>
  <c r="I4" i="11"/>
  <c r="L4" i="11"/>
  <c r="K6" i="11"/>
  <c r="I6" i="11"/>
  <c r="L6" i="11"/>
  <c r="G3" i="11"/>
  <c r="K3" i="11"/>
  <c r="I3" i="11"/>
  <c r="L3" i="11"/>
  <c r="G17" i="11"/>
  <c r="K17" i="11"/>
  <c r="I17" i="11"/>
  <c r="L17" i="11"/>
  <c r="G13" i="11"/>
  <c r="K13" i="11"/>
  <c r="I13" i="11"/>
  <c r="L13" i="11"/>
  <c r="K11" i="11"/>
  <c r="I11" i="11"/>
  <c r="L11" i="11"/>
  <c r="K12" i="11"/>
  <c r="I12" i="11"/>
  <c r="L12" i="11"/>
  <c r="G10" i="11"/>
  <c r="K10" i="11"/>
  <c r="I10" i="11"/>
  <c r="L10" i="11"/>
  <c r="L23" i="11"/>
  <c r="L8" i="11"/>
  <c r="L9" i="11"/>
  <c r="L14" i="11"/>
  <c r="L22" i="11"/>
  <c r="L7" i="11"/>
  <c r="L20" i="11"/>
  <c r="L15" i="11"/>
  <c r="L18" i="11"/>
  <c r="L19" i="11"/>
  <c r="G14" i="11"/>
  <c r="G20" i="11"/>
  <c r="G15" i="11"/>
  <c r="I66" i="13"/>
  <c r="L66" i="13"/>
  <c r="I7" i="13"/>
  <c r="L7" i="13"/>
  <c r="I8" i="13"/>
  <c r="L8" i="13"/>
  <c r="I9" i="13"/>
  <c r="L9" i="13"/>
  <c r="I10" i="13"/>
  <c r="L10" i="13"/>
  <c r="I11" i="13"/>
  <c r="L11" i="13"/>
  <c r="I12" i="13"/>
  <c r="L12" i="13"/>
  <c r="I13" i="13"/>
  <c r="L13" i="13"/>
  <c r="I14" i="13"/>
  <c r="L14" i="13"/>
  <c r="I15" i="13"/>
  <c r="L15" i="13"/>
  <c r="I16" i="13"/>
  <c r="L16" i="13"/>
  <c r="I17" i="13"/>
  <c r="L17" i="13"/>
  <c r="I18" i="13"/>
  <c r="L18" i="13"/>
  <c r="I19" i="13"/>
  <c r="L19" i="13"/>
  <c r="I20" i="13"/>
  <c r="L20" i="13"/>
  <c r="I21" i="13"/>
  <c r="L21" i="13"/>
  <c r="I22" i="13"/>
  <c r="L22" i="13"/>
  <c r="I23" i="13"/>
  <c r="L23" i="13"/>
  <c r="I24" i="13"/>
  <c r="L24" i="13"/>
  <c r="I25" i="13"/>
  <c r="L25" i="13"/>
  <c r="I26" i="13"/>
  <c r="L26" i="13"/>
  <c r="I27" i="13"/>
  <c r="L27" i="13"/>
  <c r="I28" i="13"/>
  <c r="L28" i="13"/>
  <c r="I29" i="13"/>
  <c r="L29" i="13"/>
  <c r="I30" i="13"/>
  <c r="L30" i="13"/>
  <c r="I31" i="13"/>
  <c r="L31" i="13"/>
  <c r="I32" i="13"/>
  <c r="L32" i="13"/>
  <c r="I33" i="13"/>
  <c r="L33" i="13"/>
  <c r="I34" i="13"/>
  <c r="L34" i="13"/>
  <c r="I35" i="13"/>
  <c r="L35" i="13"/>
  <c r="I36" i="13"/>
  <c r="L36" i="13"/>
  <c r="I37" i="13"/>
  <c r="L37" i="13"/>
  <c r="I38" i="13"/>
  <c r="L38" i="13"/>
  <c r="I39" i="13"/>
  <c r="L39" i="13"/>
  <c r="I40" i="13"/>
  <c r="L40" i="13"/>
  <c r="I41" i="13"/>
  <c r="L41" i="13"/>
  <c r="I42" i="13"/>
  <c r="L42" i="13"/>
  <c r="I43" i="13"/>
  <c r="L43" i="13"/>
  <c r="I44" i="13"/>
  <c r="L44" i="13"/>
  <c r="I45" i="13"/>
  <c r="L45" i="13"/>
  <c r="I46" i="13"/>
  <c r="L46" i="13"/>
  <c r="I47" i="13"/>
  <c r="L47" i="13"/>
  <c r="I48" i="13"/>
  <c r="L48" i="13"/>
  <c r="I49" i="13"/>
  <c r="L49" i="13"/>
  <c r="I50" i="13"/>
  <c r="L50" i="13"/>
  <c r="I51" i="13"/>
  <c r="L51" i="13"/>
  <c r="I52" i="13"/>
  <c r="L52" i="13"/>
  <c r="I53" i="13"/>
  <c r="L53" i="13"/>
  <c r="I54" i="13"/>
  <c r="L54" i="13"/>
  <c r="I55" i="13"/>
  <c r="L55" i="13"/>
  <c r="I56" i="13"/>
  <c r="L56" i="13"/>
  <c r="I57" i="13"/>
  <c r="L57" i="13"/>
  <c r="I58" i="13"/>
  <c r="L58" i="13"/>
  <c r="I59" i="13"/>
  <c r="L59" i="13"/>
  <c r="I60" i="13"/>
  <c r="L60" i="13"/>
  <c r="I61" i="13"/>
  <c r="L61" i="13"/>
  <c r="I62" i="13"/>
  <c r="L62" i="13"/>
  <c r="I63" i="13"/>
  <c r="L63" i="13"/>
  <c r="I64" i="13"/>
  <c r="L64" i="13"/>
  <c r="I65" i="13"/>
  <c r="L65" i="13"/>
  <c r="B3" i="13"/>
  <c r="J66" i="13"/>
  <c r="K66" i="13"/>
  <c r="M66" i="13"/>
  <c r="T7" i="13"/>
  <c r="V7" i="13"/>
  <c r="W7" i="13"/>
  <c r="X7" i="13"/>
  <c r="J65" i="13"/>
  <c r="K65" i="13"/>
  <c r="M65" i="13"/>
  <c r="J64" i="13"/>
  <c r="K64" i="13"/>
  <c r="M64" i="13"/>
  <c r="J63" i="13"/>
  <c r="K63" i="13"/>
  <c r="M63" i="13"/>
  <c r="J62" i="13"/>
  <c r="K62" i="13"/>
  <c r="M62" i="13"/>
  <c r="J61" i="13"/>
  <c r="K61" i="13"/>
  <c r="M61" i="13"/>
  <c r="J60" i="13"/>
  <c r="K60" i="13"/>
  <c r="M60" i="13"/>
  <c r="J59" i="13"/>
  <c r="K59" i="13"/>
  <c r="M59" i="13"/>
  <c r="J58" i="13"/>
  <c r="K58" i="13"/>
  <c r="M58" i="13"/>
  <c r="J57" i="13"/>
  <c r="K57" i="13"/>
  <c r="M57" i="13"/>
  <c r="J56" i="13"/>
  <c r="K56" i="13"/>
  <c r="M56" i="13"/>
  <c r="J55" i="13"/>
  <c r="K55" i="13"/>
  <c r="M55" i="13"/>
  <c r="J54" i="13"/>
  <c r="K54" i="13"/>
  <c r="M54" i="13"/>
  <c r="J53" i="13"/>
  <c r="K53" i="13"/>
  <c r="M53" i="13"/>
  <c r="J52" i="13"/>
  <c r="K52" i="13"/>
  <c r="M52" i="13"/>
  <c r="J51" i="13"/>
  <c r="K51" i="13"/>
  <c r="M51" i="13"/>
  <c r="J50" i="13"/>
  <c r="K50" i="13"/>
  <c r="M50" i="13"/>
  <c r="J49" i="13"/>
  <c r="K49" i="13"/>
  <c r="M49" i="13"/>
  <c r="J48" i="13"/>
  <c r="K48" i="13"/>
  <c r="M48" i="13"/>
  <c r="J47" i="13"/>
  <c r="K47" i="13"/>
  <c r="M47" i="13"/>
  <c r="J46" i="13"/>
  <c r="K46" i="13"/>
  <c r="M46" i="13"/>
  <c r="J45" i="13"/>
  <c r="K45" i="13"/>
  <c r="M45" i="13"/>
  <c r="J44" i="13"/>
  <c r="K44" i="13"/>
  <c r="M44" i="13"/>
  <c r="J43" i="13"/>
  <c r="K43" i="13"/>
  <c r="M43" i="13"/>
  <c r="J42" i="13"/>
  <c r="K42" i="13"/>
  <c r="M42" i="13"/>
  <c r="J41" i="13"/>
  <c r="K41" i="13"/>
  <c r="M41" i="13"/>
  <c r="J40" i="13"/>
  <c r="K40" i="13"/>
  <c r="M40" i="13"/>
  <c r="J39" i="13"/>
  <c r="K39" i="13"/>
  <c r="M39" i="13"/>
  <c r="J38" i="13"/>
  <c r="K38" i="13"/>
  <c r="M38" i="13"/>
  <c r="J37" i="13"/>
  <c r="K37" i="13"/>
  <c r="M37" i="13"/>
  <c r="J36" i="13"/>
  <c r="K36" i="13"/>
  <c r="M36" i="13"/>
  <c r="J35" i="13"/>
  <c r="K35" i="13"/>
  <c r="M35" i="13"/>
  <c r="J28" i="13"/>
  <c r="J29" i="13"/>
  <c r="J30" i="13"/>
  <c r="J31" i="13"/>
  <c r="J32" i="13"/>
  <c r="J33" i="13"/>
  <c r="J34" i="13"/>
  <c r="K28" i="13"/>
  <c r="K29" i="13"/>
  <c r="K30" i="13"/>
  <c r="K31" i="13"/>
  <c r="K32" i="13"/>
  <c r="K33" i="13"/>
  <c r="K34" i="13"/>
  <c r="M28" i="13"/>
  <c r="M29" i="13"/>
  <c r="M30" i="13"/>
  <c r="M31" i="13"/>
  <c r="M32" i="13"/>
  <c r="M33" i="13"/>
  <c r="M34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K7" i="13"/>
  <c r="J7" i="13"/>
  <c r="M7" i="13"/>
  <c r="K19" i="11"/>
  <c r="I19" i="11"/>
  <c r="K18" i="11"/>
  <c r="I18" i="11"/>
  <c r="K15" i="11"/>
  <c r="I15" i="11"/>
  <c r="K20" i="11"/>
  <c r="I20" i="11"/>
  <c r="K7" i="11"/>
  <c r="I7" i="11"/>
  <c r="K22" i="11"/>
  <c r="I22" i="11"/>
  <c r="K14" i="11"/>
  <c r="I14" i="11"/>
  <c r="K9" i="11"/>
  <c r="I9" i="11"/>
  <c r="K8" i="11"/>
  <c r="I8" i="11"/>
  <c r="N8" i="3"/>
  <c r="K23" i="11"/>
  <c r="I23" i="11"/>
  <c r="O4" i="3"/>
  <c r="T3" i="3"/>
  <c r="O3" i="3"/>
  <c r="O2" i="3"/>
  <c r="H27" i="29"/>
  <c r="I22" i="29"/>
  <c r="I23" i="29"/>
  <c r="I24" i="29"/>
  <c r="J5" i="29"/>
  <c r="J6" i="29"/>
  <c r="E4" i="24"/>
  <c r="E5" i="24"/>
  <c r="B3" i="24"/>
  <c r="B4" i="24"/>
  <c r="B5" i="24"/>
  <c r="B7" i="24"/>
  <c r="B9" i="24"/>
  <c r="E4" i="26"/>
  <c r="E5" i="26"/>
  <c r="B3" i="26"/>
  <c r="B4" i="26"/>
  <c r="B5" i="26"/>
  <c r="B7" i="26"/>
  <c r="B9" i="26"/>
  <c r="B15" i="26"/>
  <c r="B14" i="26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97" i="19"/>
  <c r="H98" i="19"/>
  <c r="H99" i="19"/>
  <c r="H100" i="19"/>
  <c r="H93" i="19"/>
  <c r="H94" i="19"/>
  <c r="H95" i="19"/>
  <c r="H96" i="19"/>
  <c r="H85" i="19"/>
  <c r="H86" i="19"/>
  <c r="H87" i="19"/>
  <c r="H88" i="19"/>
  <c r="H89" i="19"/>
  <c r="H90" i="19"/>
  <c r="H91" i="19"/>
  <c r="H92" i="19"/>
  <c r="H84" i="19"/>
  <c r="H83" i="19"/>
  <c r="H82" i="19"/>
  <c r="H80" i="19"/>
  <c r="H81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5" i="19"/>
  <c r="H10" i="19"/>
  <c r="H11" i="19"/>
  <c r="H6" i="19"/>
  <c r="H7" i="19"/>
  <c r="H8" i="19"/>
  <c r="H9" i="19"/>
  <c r="G12" i="22"/>
  <c r="F12" i="22"/>
  <c r="H44" i="19"/>
  <c r="H43" i="19"/>
  <c r="H42" i="19"/>
  <c r="H41" i="19"/>
  <c r="H40" i="19"/>
  <c r="H39" i="19"/>
  <c r="H38" i="19"/>
  <c r="H37" i="19"/>
  <c r="H36" i="19"/>
  <c r="H35" i="19"/>
  <c r="H34" i="19"/>
  <c r="H33" i="19"/>
  <c r="H32" i="19"/>
  <c r="H31" i="19"/>
  <c r="H30" i="19"/>
  <c r="H29" i="19"/>
  <c r="H28" i="19"/>
  <c r="H27" i="19"/>
  <c r="H26" i="19"/>
  <c r="H25" i="19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3" i="19"/>
  <c r="O4" i="18"/>
  <c r="O5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O4" i="17"/>
  <c r="O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S4" i="16"/>
  <c r="Q30" i="16"/>
  <c r="C6" i="16"/>
  <c r="C25" i="16"/>
  <c r="C26" i="16"/>
  <c r="C28" i="16"/>
  <c r="C30" i="16"/>
  <c r="D6" i="16"/>
  <c r="D25" i="16"/>
  <c r="D26" i="16"/>
  <c r="D28" i="16"/>
  <c r="D30" i="16"/>
  <c r="E6" i="16"/>
  <c r="E25" i="16"/>
  <c r="E26" i="16"/>
  <c r="E28" i="16"/>
  <c r="E30" i="16"/>
  <c r="F6" i="16"/>
  <c r="F25" i="16"/>
  <c r="F26" i="16"/>
  <c r="F28" i="16"/>
  <c r="F30" i="16"/>
  <c r="G6" i="16"/>
  <c r="G25" i="16"/>
  <c r="G26" i="16"/>
  <c r="G28" i="16"/>
  <c r="G30" i="16"/>
  <c r="H6" i="16"/>
  <c r="H25" i="16"/>
  <c r="H26" i="16"/>
  <c r="H28" i="16"/>
  <c r="H30" i="16"/>
  <c r="I6" i="16"/>
  <c r="I25" i="16"/>
  <c r="I26" i="16"/>
  <c r="I28" i="16"/>
  <c r="I30" i="16"/>
  <c r="J6" i="16"/>
  <c r="J25" i="16"/>
  <c r="J26" i="16"/>
  <c r="J28" i="16"/>
  <c r="J30" i="16"/>
  <c r="K6" i="16"/>
  <c r="K25" i="16"/>
  <c r="K26" i="16"/>
  <c r="K28" i="16"/>
  <c r="K30" i="16"/>
  <c r="L6" i="16"/>
  <c r="L25" i="16"/>
  <c r="L26" i="16"/>
  <c r="L28" i="16"/>
  <c r="L30" i="16"/>
  <c r="M6" i="16"/>
  <c r="M25" i="16"/>
  <c r="M26" i="16"/>
  <c r="M28" i="16"/>
  <c r="M30" i="16"/>
  <c r="N6" i="16"/>
  <c r="N25" i="16"/>
  <c r="N26" i="16"/>
  <c r="N28" i="16"/>
  <c r="N30" i="16"/>
  <c r="O30" i="16"/>
  <c r="Q29" i="16"/>
  <c r="O29" i="16"/>
  <c r="O6" i="16"/>
  <c r="V28" i="16"/>
  <c r="Q28" i="16"/>
  <c r="O28" i="16"/>
  <c r="Q27" i="16"/>
  <c r="O27" i="16"/>
  <c r="O5" i="16"/>
  <c r="V26" i="16"/>
  <c r="Q26" i="16"/>
  <c r="O26" i="16"/>
  <c r="O4" i="16"/>
  <c r="V25" i="16"/>
  <c r="Q25" i="16"/>
  <c r="O25" i="16"/>
  <c r="O24" i="16"/>
  <c r="AA23" i="16"/>
  <c r="V4" i="16"/>
  <c r="AA15" i="16"/>
  <c r="AI15" i="16"/>
  <c r="V5" i="16"/>
  <c r="V15" i="16"/>
  <c r="AA16" i="16"/>
  <c r="AI16" i="16"/>
  <c r="AA17" i="16"/>
  <c r="AI17" i="16"/>
  <c r="V7" i="16"/>
  <c r="AA18" i="16"/>
  <c r="AI18" i="16"/>
  <c r="AA19" i="16"/>
  <c r="AI19" i="16"/>
  <c r="V9" i="16"/>
  <c r="AA20" i="16"/>
  <c r="AI20" i="16"/>
  <c r="AA21" i="16"/>
  <c r="AI21" i="16"/>
  <c r="V11" i="16"/>
  <c r="AA22" i="16"/>
  <c r="AI22" i="16"/>
  <c r="AI23" i="16"/>
  <c r="AB23" i="16"/>
  <c r="AN23" i="16"/>
  <c r="AM15" i="16"/>
  <c r="AM16" i="16"/>
  <c r="AM17" i="16"/>
  <c r="AM18" i="16"/>
  <c r="AM19" i="16"/>
  <c r="AM20" i="16"/>
  <c r="AM21" i="16"/>
  <c r="AM22" i="16"/>
  <c r="AM23" i="16"/>
  <c r="AL23" i="16"/>
  <c r="AK23" i="16"/>
  <c r="AJ23" i="16"/>
  <c r="AH23" i="16"/>
  <c r="AG23" i="16"/>
  <c r="AF23" i="16"/>
  <c r="AE23" i="16"/>
  <c r="AD23" i="16"/>
  <c r="AC23" i="16"/>
  <c r="Z23" i="16"/>
  <c r="O23" i="16"/>
  <c r="AN22" i="16"/>
  <c r="AB22" i="16"/>
  <c r="AL22" i="16"/>
  <c r="AK22" i="16"/>
  <c r="AJ22" i="16"/>
  <c r="AH15" i="16"/>
  <c r="AH16" i="16"/>
  <c r="AH17" i="16"/>
  <c r="AH18" i="16"/>
  <c r="AH19" i="16"/>
  <c r="AH20" i="16"/>
  <c r="AH21" i="16"/>
  <c r="AH22" i="16"/>
  <c r="AG22" i="16"/>
  <c r="AF22" i="16"/>
  <c r="AE22" i="16"/>
  <c r="AD22" i="16"/>
  <c r="AC22" i="16"/>
  <c r="Z22" i="16"/>
  <c r="V14" i="16"/>
  <c r="V16" i="16"/>
  <c r="V17" i="16"/>
  <c r="V18" i="16"/>
  <c r="V19" i="16"/>
  <c r="V20" i="16"/>
  <c r="V21" i="16"/>
  <c r="V22" i="16"/>
  <c r="O22" i="16"/>
  <c r="AB21" i="16"/>
  <c r="AN21" i="16"/>
  <c r="AL21" i="16"/>
  <c r="AK21" i="16"/>
  <c r="AJ21" i="16"/>
  <c r="AG21" i="16"/>
  <c r="AF21" i="16"/>
  <c r="AE21" i="16"/>
  <c r="AD21" i="16"/>
  <c r="AC21" i="16"/>
  <c r="Z21" i="16"/>
  <c r="O21" i="16"/>
  <c r="AN20" i="16"/>
  <c r="AB20" i="16"/>
  <c r="AL20" i="16"/>
  <c r="AK20" i="16"/>
  <c r="AJ20" i="16"/>
  <c r="AG20" i="16"/>
  <c r="AF20" i="16"/>
  <c r="AE20" i="16"/>
  <c r="AD20" i="16"/>
  <c r="AC20" i="16"/>
  <c r="Z20" i="16"/>
  <c r="O20" i="16"/>
  <c r="AB19" i="16"/>
  <c r="AN19" i="16"/>
  <c r="AL19" i="16"/>
  <c r="AK19" i="16"/>
  <c r="AJ19" i="16"/>
  <c r="AG19" i="16"/>
  <c r="AF19" i="16"/>
  <c r="AE19" i="16"/>
  <c r="AD19" i="16"/>
  <c r="AC19" i="16"/>
  <c r="Z19" i="16"/>
  <c r="O19" i="16"/>
  <c r="AN18" i="16"/>
  <c r="AB18" i="16"/>
  <c r="AL18" i="16"/>
  <c r="AK18" i="16"/>
  <c r="AJ18" i="16"/>
  <c r="AG18" i="16"/>
  <c r="AF18" i="16"/>
  <c r="AE18" i="16"/>
  <c r="AD18" i="16"/>
  <c r="AC18" i="16"/>
  <c r="Z18" i="16"/>
  <c r="O18" i="16"/>
  <c r="AB17" i="16"/>
  <c r="AN17" i="16"/>
  <c r="AL17" i="16"/>
  <c r="AK17" i="16"/>
  <c r="AJ17" i="16"/>
  <c r="AG17" i="16"/>
  <c r="AF17" i="16"/>
  <c r="AE17" i="16"/>
  <c r="AD17" i="16"/>
  <c r="AC17" i="16"/>
  <c r="Z17" i="16"/>
  <c r="O17" i="16"/>
  <c r="AN16" i="16"/>
  <c r="AB16" i="16"/>
  <c r="AL16" i="16"/>
  <c r="AK16" i="16"/>
  <c r="AJ16" i="16"/>
  <c r="AG16" i="16"/>
  <c r="AF16" i="16"/>
  <c r="AE16" i="16"/>
  <c r="AD16" i="16"/>
  <c r="AC16" i="16"/>
  <c r="Z16" i="16"/>
  <c r="O16" i="16"/>
  <c r="AN15" i="16"/>
  <c r="AB15" i="16"/>
  <c r="AL15" i="16"/>
  <c r="AK15" i="16"/>
  <c r="AJ15" i="16"/>
  <c r="AG15" i="16"/>
  <c r="AF15" i="16"/>
  <c r="AE15" i="16"/>
  <c r="AD15" i="16"/>
  <c r="AC15" i="16"/>
  <c r="Z15" i="16"/>
  <c r="O15" i="16"/>
  <c r="O14" i="16"/>
  <c r="O13" i="16"/>
  <c r="AA12" i="16"/>
  <c r="O12" i="16"/>
  <c r="AA11" i="16"/>
  <c r="O11" i="16"/>
  <c r="AA10" i="16"/>
  <c r="O10" i="16"/>
  <c r="AA9" i="16"/>
  <c r="O9" i="16"/>
  <c r="AA8" i="16"/>
  <c r="O8" i="16"/>
  <c r="AA7" i="16"/>
  <c r="O7" i="16"/>
  <c r="Q6" i="16"/>
  <c r="AA6" i="16"/>
  <c r="Q5" i="16"/>
  <c r="AA5" i="16"/>
  <c r="Q4" i="16"/>
  <c r="AA4" i="16"/>
  <c r="F21" i="15"/>
  <c r="D21" i="15"/>
  <c r="B21" i="15"/>
  <c r="F19" i="15"/>
  <c r="D19" i="15"/>
  <c r="B19" i="15"/>
  <c r="F18" i="15"/>
  <c r="D18" i="15"/>
  <c r="B18" i="15"/>
  <c r="F15" i="15"/>
  <c r="D15" i="15"/>
  <c r="B15" i="15"/>
  <c r="F13" i="15"/>
  <c r="D13" i="15"/>
  <c r="B13" i="15"/>
  <c r="F12" i="15"/>
  <c r="D12" i="15"/>
  <c r="B12" i="15"/>
  <c r="F9" i="15"/>
  <c r="D9" i="15"/>
  <c r="B9" i="15"/>
  <c r="F7" i="15"/>
  <c r="D7" i="15"/>
  <c r="B7" i="15"/>
  <c r="F6" i="15"/>
  <c r="D6" i="15"/>
  <c r="B6" i="15"/>
  <c r="H22" i="14"/>
  <c r="D30" i="14"/>
  <c r="G22" i="14"/>
  <c r="C30" i="14"/>
  <c r="D29" i="14"/>
  <c r="C29" i="14"/>
  <c r="D11" i="14"/>
  <c r="H12" i="14"/>
  <c r="D28" i="14"/>
  <c r="C11" i="14"/>
  <c r="G12" i="14"/>
  <c r="C28" i="14"/>
  <c r="D27" i="14"/>
  <c r="C27" i="14"/>
  <c r="D17" i="14"/>
  <c r="D21" i="14"/>
  <c r="D23" i="14"/>
  <c r="D26" i="14"/>
  <c r="C17" i="14"/>
  <c r="C21" i="14"/>
  <c r="C23" i="14"/>
  <c r="C26" i="14"/>
  <c r="H17" i="14"/>
  <c r="H24" i="14"/>
  <c r="G17" i="14"/>
  <c r="G24" i="14"/>
  <c r="T9" i="13"/>
  <c r="X9" i="13"/>
  <c r="W9" i="13"/>
  <c r="V9" i="13"/>
  <c r="T8" i="13"/>
  <c r="X8" i="13"/>
  <c r="W8" i="13"/>
  <c r="V8" i="13"/>
  <c r="H7" i="2"/>
  <c r="H8" i="2"/>
  <c r="J5" i="12"/>
  <c r="J6" i="12"/>
  <c r="I22" i="12"/>
  <c r="I24" i="12"/>
  <c r="G106" i="3"/>
  <c r="N106" i="3"/>
  <c r="P106" i="3"/>
  <c r="H2" i="2"/>
  <c r="E106" i="3"/>
  <c r="I21" i="2"/>
  <c r="H21" i="2"/>
  <c r="F21" i="2"/>
  <c r="K21" i="2"/>
  <c r="AL34" i="3"/>
  <c r="AM34" i="3"/>
  <c r="I18" i="2"/>
  <c r="H18" i="2"/>
  <c r="F18" i="2"/>
  <c r="K18" i="2"/>
  <c r="I19" i="2"/>
  <c r="H19" i="2"/>
  <c r="F19" i="2"/>
  <c r="K19" i="2"/>
  <c r="I20" i="2"/>
  <c r="H20" i="2"/>
  <c r="F20" i="2"/>
  <c r="K20" i="2"/>
  <c r="I22" i="2"/>
  <c r="H22" i="2"/>
  <c r="F22" i="2"/>
  <c r="K22" i="2"/>
  <c r="I17" i="2"/>
  <c r="H17" i="2"/>
  <c r="F17" i="2"/>
  <c r="J17" i="2"/>
  <c r="I14" i="2"/>
  <c r="H14" i="2"/>
  <c r="F14" i="2"/>
  <c r="K14" i="2"/>
  <c r="I12" i="2"/>
  <c r="H12" i="2"/>
  <c r="F12" i="2"/>
  <c r="K12" i="2"/>
  <c r="I13" i="2"/>
  <c r="H13" i="2"/>
  <c r="F13" i="2"/>
  <c r="K13" i="2"/>
  <c r="I9" i="2"/>
  <c r="H9" i="2"/>
  <c r="F9" i="2"/>
  <c r="K9" i="2"/>
  <c r="AL33" i="3"/>
  <c r="AM33" i="3"/>
  <c r="I16" i="2"/>
  <c r="H16" i="2"/>
  <c r="F16" i="2"/>
  <c r="K16" i="2"/>
  <c r="I15" i="2"/>
  <c r="H15" i="2"/>
  <c r="F15" i="2"/>
  <c r="K15" i="2"/>
  <c r="I10" i="2"/>
  <c r="H10" i="2"/>
  <c r="F10" i="2"/>
  <c r="K10" i="2"/>
  <c r="I11" i="2"/>
  <c r="H11" i="2"/>
  <c r="F11" i="2"/>
  <c r="K11" i="2"/>
  <c r="I8" i="2"/>
  <c r="F8" i="2"/>
  <c r="K8" i="2"/>
  <c r="I23" i="2"/>
  <c r="H23" i="2"/>
  <c r="F23" i="2"/>
  <c r="K23" i="2"/>
  <c r="AL31" i="3"/>
  <c r="AM31" i="3"/>
  <c r="AP30" i="3"/>
  <c r="AL32" i="3"/>
  <c r="AM32" i="3"/>
  <c r="N105" i="3"/>
  <c r="I105" i="3"/>
  <c r="G105" i="3"/>
  <c r="E105" i="3"/>
  <c r="N104" i="3"/>
  <c r="E104" i="3"/>
  <c r="N103" i="3"/>
  <c r="E103" i="3"/>
  <c r="N51" i="3"/>
  <c r="E51" i="3"/>
  <c r="M51" i="3"/>
  <c r="O101" i="3"/>
  <c r="N101" i="3"/>
  <c r="M101" i="3"/>
  <c r="N98" i="3"/>
  <c r="M98" i="3"/>
  <c r="O98" i="3"/>
  <c r="N96" i="3"/>
  <c r="M96" i="3"/>
  <c r="N102" i="3"/>
  <c r="N100" i="3"/>
  <c r="B8" i="1"/>
  <c r="Q100" i="3"/>
  <c r="O100" i="3"/>
  <c r="N99" i="3"/>
  <c r="O99" i="3"/>
  <c r="N97" i="3"/>
  <c r="P97" i="3"/>
  <c r="N45" i="3"/>
  <c r="E45" i="3"/>
  <c r="M45" i="3"/>
  <c r="N53" i="3"/>
  <c r="E53" i="3"/>
  <c r="N95" i="3"/>
  <c r="P95" i="3"/>
  <c r="I95" i="3"/>
  <c r="G95" i="3"/>
  <c r="E95" i="3"/>
  <c r="E50" i="3"/>
  <c r="M50" i="3"/>
  <c r="E49" i="3"/>
  <c r="M49" i="3"/>
  <c r="N50" i="3"/>
  <c r="N40" i="3"/>
  <c r="P40" i="3"/>
  <c r="N48" i="3"/>
  <c r="P48" i="3"/>
  <c r="N47" i="3"/>
  <c r="P47" i="3"/>
  <c r="N49" i="3"/>
  <c r="E48" i="3"/>
  <c r="E40" i="3"/>
  <c r="M40" i="3"/>
  <c r="E39" i="3"/>
  <c r="N39" i="3"/>
  <c r="N44" i="3"/>
  <c r="Q44" i="3"/>
  <c r="E44" i="3"/>
  <c r="P51" i="3"/>
  <c r="N43" i="3"/>
  <c r="G43" i="3"/>
  <c r="E57" i="3"/>
  <c r="N57" i="3"/>
  <c r="P57" i="3"/>
  <c r="K57" i="3"/>
  <c r="I57" i="3"/>
  <c r="G57" i="3"/>
  <c r="G58" i="3"/>
  <c r="I58" i="3"/>
  <c r="K58" i="3"/>
  <c r="N56" i="3"/>
  <c r="K56" i="3"/>
  <c r="I56" i="3"/>
  <c r="G56" i="3"/>
  <c r="E56" i="3"/>
  <c r="N94" i="3"/>
  <c r="P94" i="3"/>
  <c r="N92" i="3"/>
  <c r="P92" i="3"/>
  <c r="E92" i="3"/>
  <c r="M92" i="3"/>
  <c r="E91" i="3"/>
  <c r="N91" i="3"/>
  <c r="I91" i="3"/>
  <c r="G91" i="3"/>
  <c r="N77" i="3"/>
  <c r="N90" i="3"/>
  <c r="G90" i="3"/>
  <c r="E90" i="3"/>
  <c r="N89" i="3"/>
  <c r="P89" i="3"/>
  <c r="E89" i="3"/>
  <c r="M89" i="3"/>
  <c r="N88" i="3"/>
  <c r="E88" i="3"/>
  <c r="M88" i="3"/>
  <c r="N87" i="3"/>
  <c r="P87" i="3"/>
  <c r="E87" i="3"/>
  <c r="N86" i="3"/>
  <c r="P86" i="3"/>
  <c r="E86" i="3"/>
  <c r="N85" i="3"/>
  <c r="P85" i="3"/>
  <c r="E85" i="3"/>
  <c r="M85" i="3"/>
  <c r="N84" i="3"/>
  <c r="P84" i="3"/>
  <c r="E84" i="3"/>
  <c r="M84" i="3"/>
  <c r="N83" i="3"/>
  <c r="G83" i="3"/>
  <c r="E83" i="3"/>
  <c r="I83" i="3"/>
  <c r="E73" i="3"/>
  <c r="N73" i="3"/>
  <c r="P73" i="3"/>
  <c r="K73" i="3"/>
  <c r="I73" i="3"/>
  <c r="G73" i="3"/>
  <c r="N82" i="3"/>
  <c r="N80" i="3"/>
  <c r="G80" i="3"/>
  <c r="E80" i="3"/>
  <c r="N81" i="3"/>
  <c r="P81" i="3"/>
  <c r="G81" i="3"/>
  <c r="E81" i="3"/>
  <c r="N79" i="3"/>
  <c r="P79" i="3"/>
  <c r="K79" i="3"/>
  <c r="I79" i="3"/>
  <c r="G79" i="3"/>
  <c r="N78" i="3"/>
  <c r="G78" i="3"/>
  <c r="E78" i="3"/>
  <c r="N60" i="3"/>
  <c r="N76" i="3"/>
  <c r="P76" i="3"/>
  <c r="K76" i="3"/>
  <c r="I76" i="3"/>
  <c r="G76" i="3"/>
  <c r="E76" i="3"/>
  <c r="K75" i="3"/>
  <c r="N75" i="3"/>
  <c r="I75" i="3"/>
  <c r="G75" i="3"/>
  <c r="E75" i="3"/>
  <c r="G74" i="3"/>
  <c r="E74" i="3"/>
  <c r="I74" i="3"/>
  <c r="N74" i="3"/>
  <c r="N68" i="3"/>
  <c r="G68" i="3"/>
  <c r="N72" i="3"/>
  <c r="P72" i="3"/>
  <c r="K72" i="3"/>
  <c r="I72" i="3"/>
  <c r="G72" i="3"/>
  <c r="E72" i="3"/>
  <c r="N71" i="3"/>
  <c r="P71" i="3"/>
  <c r="E71" i="3"/>
  <c r="M71" i="3"/>
  <c r="N70" i="3"/>
  <c r="E70" i="3"/>
  <c r="M70" i="3"/>
  <c r="N69" i="3"/>
  <c r="P69" i="3"/>
  <c r="E69" i="3"/>
  <c r="M77" i="3"/>
  <c r="M82" i="3"/>
  <c r="M87" i="3"/>
  <c r="M93" i="3"/>
  <c r="N93" i="3"/>
  <c r="Q93" i="3"/>
  <c r="O93" i="3"/>
  <c r="M94" i="3"/>
  <c r="M97" i="3"/>
  <c r="O97" i="3"/>
  <c r="M100" i="3"/>
  <c r="M102" i="3"/>
  <c r="Q102" i="3"/>
  <c r="O102" i="3"/>
  <c r="M103" i="3"/>
  <c r="P103" i="3"/>
  <c r="M104" i="3"/>
  <c r="M105" i="3"/>
  <c r="P105" i="3"/>
  <c r="M106" i="3"/>
  <c r="M107" i="3"/>
  <c r="N107" i="3"/>
  <c r="P107" i="3"/>
  <c r="O107" i="3"/>
  <c r="M108" i="3"/>
  <c r="N108" i="3"/>
  <c r="O108" i="3"/>
  <c r="M109" i="3"/>
  <c r="N109" i="3"/>
  <c r="Q109" i="3"/>
  <c r="O109" i="3"/>
  <c r="M110" i="3"/>
  <c r="N110" i="3"/>
  <c r="O110" i="3"/>
  <c r="M111" i="3"/>
  <c r="N111" i="3"/>
  <c r="P111" i="3"/>
  <c r="O111" i="3"/>
  <c r="M112" i="3"/>
  <c r="N112" i="3"/>
  <c r="O112" i="3"/>
  <c r="M113" i="3"/>
  <c r="N113" i="3"/>
  <c r="P113" i="3"/>
  <c r="O113" i="3"/>
  <c r="M114" i="3"/>
  <c r="N114" i="3"/>
  <c r="P114" i="3"/>
  <c r="O114" i="3"/>
  <c r="M115" i="3"/>
  <c r="N115" i="3"/>
  <c r="P115" i="3"/>
  <c r="O115" i="3"/>
  <c r="M116" i="3"/>
  <c r="N116" i="3"/>
  <c r="O116" i="3"/>
  <c r="M117" i="3"/>
  <c r="N117" i="3"/>
  <c r="Q117" i="3"/>
  <c r="O117" i="3"/>
  <c r="M118" i="3"/>
  <c r="N118" i="3"/>
  <c r="O118" i="3"/>
  <c r="M119" i="3"/>
  <c r="N119" i="3"/>
  <c r="P119" i="3"/>
  <c r="O119" i="3"/>
  <c r="M120" i="3"/>
  <c r="N120" i="3"/>
  <c r="O120" i="3"/>
  <c r="M121" i="3"/>
  <c r="N121" i="3"/>
  <c r="P121" i="3"/>
  <c r="O121" i="3"/>
  <c r="M122" i="3"/>
  <c r="N122" i="3"/>
  <c r="P122" i="3"/>
  <c r="O122" i="3"/>
  <c r="M123" i="3"/>
  <c r="N123" i="3"/>
  <c r="O123" i="3"/>
  <c r="M124" i="3"/>
  <c r="N124" i="3"/>
  <c r="O124" i="3"/>
  <c r="M125" i="3"/>
  <c r="N125" i="3"/>
  <c r="Q125" i="3"/>
  <c r="O125" i="3"/>
  <c r="M126" i="3"/>
  <c r="N126" i="3"/>
  <c r="O126" i="3"/>
  <c r="M127" i="3"/>
  <c r="N127" i="3"/>
  <c r="P127" i="3"/>
  <c r="O127" i="3"/>
  <c r="M128" i="3"/>
  <c r="N128" i="3"/>
  <c r="O128" i="3"/>
  <c r="M129" i="3"/>
  <c r="N129" i="3"/>
  <c r="P129" i="3"/>
  <c r="O129" i="3"/>
  <c r="M130" i="3"/>
  <c r="N130" i="3"/>
  <c r="P130" i="3"/>
  <c r="O130" i="3"/>
  <c r="M131" i="3"/>
  <c r="N131" i="3"/>
  <c r="P131" i="3"/>
  <c r="O131" i="3"/>
  <c r="M132" i="3"/>
  <c r="N132" i="3"/>
  <c r="O132" i="3"/>
  <c r="M133" i="3"/>
  <c r="N133" i="3"/>
  <c r="Q133" i="3"/>
  <c r="O133" i="3"/>
  <c r="M134" i="3"/>
  <c r="N134" i="3"/>
  <c r="O134" i="3"/>
  <c r="M135" i="3"/>
  <c r="N135" i="3"/>
  <c r="P135" i="3"/>
  <c r="O135" i="3"/>
  <c r="M136" i="3"/>
  <c r="N136" i="3"/>
  <c r="O136" i="3"/>
  <c r="M137" i="3"/>
  <c r="N137" i="3"/>
  <c r="P137" i="3"/>
  <c r="O137" i="3"/>
  <c r="M138" i="3"/>
  <c r="N138" i="3"/>
  <c r="P138" i="3"/>
  <c r="O138" i="3"/>
  <c r="M139" i="3"/>
  <c r="N139" i="3"/>
  <c r="O139" i="3"/>
  <c r="M140" i="3"/>
  <c r="N140" i="3"/>
  <c r="P140" i="3"/>
  <c r="O140" i="3"/>
  <c r="M141" i="3"/>
  <c r="N141" i="3"/>
  <c r="Q141" i="3"/>
  <c r="O141" i="3"/>
  <c r="M142" i="3"/>
  <c r="N142" i="3"/>
  <c r="O142" i="3"/>
  <c r="M143" i="3"/>
  <c r="N143" i="3"/>
  <c r="P143" i="3"/>
  <c r="O143" i="3"/>
  <c r="M144" i="3"/>
  <c r="N144" i="3"/>
  <c r="P144" i="3"/>
  <c r="O144" i="3"/>
  <c r="M145" i="3"/>
  <c r="N145" i="3"/>
  <c r="P145" i="3"/>
  <c r="O145" i="3"/>
  <c r="M146" i="3"/>
  <c r="N146" i="3"/>
  <c r="P146" i="3"/>
  <c r="O146" i="3"/>
  <c r="M147" i="3"/>
  <c r="N147" i="3"/>
  <c r="P147" i="3"/>
  <c r="O147" i="3"/>
  <c r="M148" i="3"/>
  <c r="N148" i="3"/>
  <c r="P148" i="3"/>
  <c r="O148" i="3"/>
  <c r="M149" i="3"/>
  <c r="N149" i="3"/>
  <c r="Q149" i="3"/>
  <c r="O149" i="3"/>
  <c r="M150" i="3"/>
  <c r="N150" i="3"/>
  <c r="O150" i="3"/>
  <c r="M151" i="3"/>
  <c r="N151" i="3"/>
  <c r="P151" i="3"/>
  <c r="O151" i="3"/>
  <c r="M152" i="3"/>
  <c r="N152" i="3"/>
  <c r="P152" i="3"/>
  <c r="O152" i="3"/>
  <c r="M153" i="3"/>
  <c r="N153" i="3"/>
  <c r="P153" i="3"/>
  <c r="O153" i="3"/>
  <c r="M154" i="3"/>
  <c r="N154" i="3"/>
  <c r="P154" i="3"/>
  <c r="O154" i="3"/>
  <c r="M155" i="3"/>
  <c r="N155" i="3"/>
  <c r="P155" i="3"/>
  <c r="O155" i="3"/>
  <c r="M156" i="3"/>
  <c r="N156" i="3"/>
  <c r="P156" i="3"/>
  <c r="O156" i="3"/>
  <c r="M157" i="3"/>
  <c r="N157" i="3"/>
  <c r="Q157" i="3"/>
  <c r="O157" i="3"/>
  <c r="M158" i="3"/>
  <c r="N158" i="3"/>
  <c r="O158" i="3"/>
  <c r="M159" i="3"/>
  <c r="N159" i="3"/>
  <c r="P159" i="3"/>
  <c r="O159" i="3"/>
  <c r="M160" i="3"/>
  <c r="N160" i="3"/>
  <c r="P160" i="3"/>
  <c r="O160" i="3"/>
  <c r="M161" i="3"/>
  <c r="N161" i="3"/>
  <c r="P161" i="3"/>
  <c r="O161" i="3"/>
  <c r="M162" i="3"/>
  <c r="N162" i="3"/>
  <c r="P162" i="3"/>
  <c r="O162" i="3"/>
  <c r="M163" i="3"/>
  <c r="N163" i="3"/>
  <c r="P163" i="3"/>
  <c r="O163" i="3"/>
  <c r="M164" i="3"/>
  <c r="N164" i="3"/>
  <c r="O164" i="3"/>
  <c r="M165" i="3"/>
  <c r="N165" i="3"/>
  <c r="Q165" i="3"/>
  <c r="O165" i="3"/>
  <c r="M166" i="3"/>
  <c r="N166" i="3"/>
  <c r="O166" i="3"/>
  <c r="M167" i="3"/>
  <c r="N167" i="3"/>
  <c r="P167" i="3"/>
  <c r="O167" i="3"/>
  <c r="M168" i="3"/>
  <c r="N168" i="3"/>
  <c r="O168" i="3"/>
  <c r="M169" i="3"/>
  <c r="N169" i="3"/>
  <c r="P169" i="3"/>
  <c r="O169" i="3"/>
  <c r="M170" i="3"/>
  <c r="N170" i="3"/>
  <c r="P170" i="3"/>
  <c r="O170" i="3"/>
  <c r="M171" i="3"/>
  <c r="N171" i="3"/>
  <c r="O171" i="3"/>
  <c r="M172" i="3"/>
  <c r="N172" i="3"/>
  <c r="P172" i="3"/>
  <c r="O172" i="3"/>
  <c r="M173" i="3"/>
  <c r="N173" i="3"/>
  <c r="Q173" i="3"/>
  <c r="O173" i="3"/>
  <c r="M174" i="3"/>
  <c r="N174" i="3"/>
  <c r="P174" i="3"/>
  <c r="O174" i="3"/>
  <c r="M175" i="3"/>
  <c r="N175" i="3"/>
  <c r="O175" i="3"/>
  <c r="M176" i="3"/>
  <c r="N176" i="3"/>
  <c r="P176" i="3"/>
  <c r="O176" i="3"/>
  <c r="M177" i="3"/>
  <c r="N177" i="3"/>
  <c r="P177" i="3"/>
  <c r="O177" i="3"/>
  <c r="M178" i="3"/>
  <c r="N178" i="3"/>
  <c r="P178" i="3"/>
  <c r="O178" i="3"/>
  <c r="M179" i="3"/>
  <c r="N179" i="3"/>
  <c r="P179" i="3"/>
  <c r="O179" i="3"/>
  <c r="M180" i="3"/>
  <c r="N180" i="3"/>
  <c r="P180" i="3"/>
  <c r="O180" i="3"/>
  <c r="M181" i="3"/>
  <c r="N181" i="3"/>
  <c r="Q181" i="3"/>
  <c r="O181" i="3"/>
  <c r="M182" i="3"/>
  <c r="N182" i="3"/>
  <c r="O182" i="3"/>
  <c r="M183" i="3"/>
  <c r="N183" i="3"/>
  <c r="P183" i="3"/>
  <c r="O183" i="3"/>
  <c r="M184" i="3"/>
  <c r="N184" i="3"/>
  <c r="O184" i="3"/>
  <c r="M185" i="3"/>
  <c r="N185" i="3"/>
  <c r="P185" i="3"/>
  <c r="O185" i="3"/>
  <c r="M186" i="3"/>
  <c r="N186" i="3"/>
  <c r="P186" i="3"/>
  <c r="O186" i="3"/>
  <c r="N64" i="3"/>
  <c r="P64" i="3"/>
  <c r="K64" i="3"/>
  <c r="I64" i="3"/>
  <c r="G64" i="3"/>
  <c r="E64" i="3"/>
  <c r="M68" i="3"/>
  <c r="N67" i="3"/>
  <c r="K67" i="3"/>
  <c r="I67" i="3"/>
  <c r="G67" i="3"/>
  <c r="E67" i="3"/>
  <c r="N65" i="3"/>
  <c r="P65" i="3"/>
  <c r="G65" i="3"/>
  <c r="M65" i="3"/>
  <c r="N66" i="3"/>
  <c r="P66" i="3"/>
  <c r="E66" i="3"/>
  <c r="M66" i="3"/>
  <c r="N63" i="3"/>
  <c r="P63" i="3"/>
  <c r="I63" i="3"/>
  <c r="G63" i="3"/>
  <c r="E63" i="3"/>
  <c r="I62" i="3"/>
  <c r="G62" i="3"/>
  <c r="E62" i="3"/>
  <c r="N62" i="3"/>
  <c r="N61" i="3"/>
  <c r="P61" i="3"/>
  <c r="K61" i="3"/>
  <c r="I61" i="3"/>
  <c r="G61" i="3"/>
  <c r="E61" i="3"/>
  <c r="P60" i="3"/>
  <c r="K59" i="3"/>
  <c r="I59" i="3"/>
  <c r="G59" i="3"/>
  <c r="E59" i="3"/>
  <c r="N59" i="3"/>
  <c r="P59" i="3"/>
  <c r="N58" i="3"/>
  <c r="P58" i="3"/>
  <c r="M60" i="3"/>
  <c r="P68" i="3"/>
  <c r="M69" i="3"/>
  <c r="N55" i="3"/>
  <c r="Q55" i="3"/>
  <c r="E55" i="3"/>
  <c r="I55" i="3"/>
  <c r="U54" i="3"/>
  <c r="AC54" i="3"/>
  <c r="N54" i="3"/>
  <c r="E54" i="3"/>
  <c r="M54" i="3"/>
  <c r="E52" i="3"/>
  <c r="M52" i="3"/>
  <c r="N52" i="3"/>
  <c r="P52" i="3"/>
  <c r="P49" i="3"/>
  <c r="P54" i="3"/>
  <c r="E47" i="3"/>
  <c r="M47" i="3"/>
  <c r="N46" i="3"/>
  <c r="P46" i="3"/>
  <c r="E46" i="3"/>
  <c r="N42" i="3"/>
  <c r="P42" i="3"/>
  <c r="E42" i="3"/>
  <c r="M42" i="3"/>
  <c r="M44" i="3"/>
  <c r="P43" i="3"/>
  <c r="N41" i="3"/>
  <c r="P41" i="3"/>
  <c r="K41" i="3"/>
  <c r="I41" i="3"/>
  <c r="P38" i="3"/>
  <c r="E38" i="3"/>
  <c r="G38" i="3"/>
  <c r="M34" i="3"/>
  <c r="O34" i="3"/>
  <c r="P34" i="3"/>
  <c r="M35" i="3"/>
  <c r="P35" i="3"/>
  <c r="M36" i="3"/>
  <c r="P36" i="3"/>
  <c r="M37" i="3"/>
  <c r="P37" i="3"/>
  <c r="M14" i="3"/>
  <c r="D5" i="3"/>
  <c r="P33" i="3"/>
  <c r="M33" i="3"/>
  <c r="M32" i="3"/>
  <c r="P32" i="3"/>
  <c r="E31" i="3"/>
  <c r="M31" i="3"/>
  <c r="P31" i="3"/>
  <c r="Q31" i="3"/>
  <c r="P30" i="3"/>
  <c r="M30" i="3"/>
  <c r="M29" i="3"/>
  <c r="P28" i="3"/>
  <c r="M28" i="3"/>
  <c r="P27" i="3"/>
  <c r="M27" i="3"/>
  <c r="P26" i="3"/>
  <c r="M26" i="3"/>
  <c r="E24" i="3"/>
  <c r="I25" i="3"/>
  <c r="K25" i="3"/>
  <c r="E25" i="3"/>
  <c r="G25" i="3"/>
  <c r="P25" i="3"/>
  <c r="I24" i="3"/>
  <c r="K24" i="3"/>
  <c r="G24" i="3"/>
  <c r="M23" i="3"/>
  <c r="P23" i="3"/>
  <c r="N22" i="3"/>
  <c r="P22" i="3"/>
  <c r="M22" i="3"/>
  <c r="P13" i="3"/>
  <c r="M13" i="3"/>
  <c r="N11" i="3"/>
  <c r="Q11" i="3"/>
  <c r="E11" i="3"/>
  <c r="P12" i="3"/>
  <c r="M12" i="3"/>
  <c r="N10" i="3"/>
  <c r="P10" i="3"/>
  <c r="N9" i="3"/>
  <c r="M9" i="3"/>
  <c r="I6" i="2"/>
  <c r="E8" i="3"/>
  <c r="M8" i="3"/>
  <c r="P3" i="3"/>
  <c r="M3" i="3"/>
  <c r="Q2" i="3"/>
  <c r="P2" i="3"/>
  <c r="M2" i="3"/>
  <c r="N7" i="3"/>
  <c r="P7" i="3"/>
  <c r="E7" i="3"/>
  <c r="P4" i="3"/>
  <c r="I24" i="2"/>
  <c r="I25" i="2"/>
  <c r="I26" i="2"/>
  <c r="I27" i="2"/>
  <c r="I28" i="2"/>
  <c r="I29" i="2"/>
  <c r="I30" i="2"/>
  <c r="I31" i="2"/>
  <c r="I32" i="2"/>
  <c r="I33" i="2"/>
  <c r="I2" i="2"/>
  <c r="I3" i="2"/>
  <c r="I4" i="2"/>
  <c r="I5" i="2"/>
  <c r="H33" i="2"/>
  <c r="H32" i="2"/>
  <c r="O103" i="3"/>
  <c r="H31" i="2"/>
  <c r="H30" i="2"/>
  <c r="H29" i="2"/>
  <c r="H28" i="2"/>
  <c r="O60" i="3"/>
  <c r="H27" i="2"/>
  <c r="H26" i="2"/>
  <c r="H25" i="2"/>
  <c r="H24" i="2"/>
  <c r="H6" i="2"/>
  <c r="H5" i="2"/>
  <c r="H4" i="2"/>
  <c r="H3" i="2"/>
  <c r="O68" i="3"/>
  <c r="Q36" i="3"/>
  <c r="T4" i="2"/>
  <c r="R4" i="2"/>
  <c r="V4" i="2"/>
  <c r="T2" i="2"/>
  <c r="T3" i="2"/>
  <c r="R3" i="2"/>
  <c r="V3" i="2"/>
  <c r="R2" i="2"/>
  <c r="V2" i="2"/>
  <c r="F24" i="2"/>
  <c r="J24" i="2"/>
  <c r="F25" i="2"/>
  <c r="J25" i="2"/>
  <c r="F26" i="2"/>
  <c r="K26" i="2"/>
  <c r="F27" i="2"/>
  <c r="K27" i="2"/>
  <c r="F28" i="2"/>
  <c r="J28" i="2"/>
  <c r="F29" i="2"/>
  <c r="J29" i="2"/>
  <c r="F30" i="2"/>
  <c r="K30" i="2"/>
  <c r="F31" i="2"/>
  <c r="K31" i="2"/>
  <c r="F32" i="2"/>
  <c r="J32" i="2"/>
  <c r="F33" i="2"/>
  <c r="J33" i="2"/>
  <c r="F6" i="2"/>
  <c r="K6" i="2"/>
  <c r="F5" i="2"/>
  <c r="J5" i="2"/>
  <c r="F4" i="2"/>
  <c r="K4" i="2"/>
  <c r="F3" i="2"/>
  <c r="K3" i="2"/>
  <c r="F2" i="2"/>
  <c r="K2" i="2"/>
  <c r="Q28" i="3"/>
  <c r="Q70" i="3"/>
  <c r="Q62" i="3"/>
  <c r="Q67" i="3"/>
  <c r="Q75" i="3"/>
  <c r="Q88" i="3"/>
  <c r="Q50" i="3"/>
  <c r="Q53" i="3"/>
  <c r="Q101" i="3"/>
  <c r="Q175" i="3"/>
  <c r="Q74" i="3"/>
  <c r="Q91" i="3"/>
  <c r="Q164" i="3"/>
  <c r="Q132" i="3"/>
  <c r="Q124" i="3"/>
  <c r="Q116" i="3"/>
  <c r="Q108" i="3"/>
  <c r="Q104" i="3"/>
  <c r="Q99" i="3"/>
  <c r="Q78" i="3"/>
  <c r="Q56" i="3"/>
  <c r="Q24" i="3"/>
  <c r="Q33" i="3"/>
  <c r="Q35" i="3"/>
  <c r="Q9" i="3"/>
  <c r="Q13" i="3"/>
  <c r="Q45" i="3"/>
  <c r="Q32" i="3"/>
  <c r="Q37" i="3"/>
  <c r="Q96" i="3"/>
  <c r="Q4" i="3"/>
  <c r="Q3" i="3"/>
  <c r="U3" i="3"/>
  <c r="V3" i="3"/>
  <c r="W3" i="3"/>
  <c r="Q25" i="3"/>
  <c r="Q26" i="3"/>
  <c r="Q29" i="3"/>
  <c r="Q34" i="3"/>
  <c r="Q39" i="3"/>
  <c r="Q182" i="3"/>
  <c r="Q166" i="3"/>
  <c r="Q158" i="3"/>
  <c r="Q150" i="3"/>
  <c r="Q142" i="3"/>
  <c r="Q134" i="3"/>
  <c r="Q126" i="3"/>
  <c r="Q118" i="3"/>
  <c r="Q110" i="3"/>
  <c r="Q80" i="3"/>
  <c r="Q98" i="3"/>
  <c r="Q12" i="3"/>
  <c r="Q171" i="3"/>
  <c r="Q139" i="3"/>
  <c r="Q123" i="3"/>
  <c r="Q82" i="3"/>
  <c r="Q90" i="3"/>
  <c r="Q8" i="3"/>
  <c r="Q27" i="3"/>
  <c r="Q30" i="3"/>
  <c r="Q184" i="3"/>
  <c r="Q168" i="3"/>
  <c r="Q136" i="3"/>
  <c r="Q128" i="3"/>
  <c r="Q120" i="3"/>
  <c r="Q112" i="3"/>
  <c r="Q83" i="3"/>
  <c r="Q77" i="3"/>
  <c r="O106" i="3"/>
  <c r="J21" i="2"/>
  <c r="J18" i="2"/>
  <c r="O69" i="3"/>
  <c r="J19" i="2"/>
  <c r="J20" i="2"/>
  <c r="K17" i="2"/>
  <c r="J22" i="2"/>
  <c r="T2" i="3"/>
  <c r="U2" i="3"/>
  <c r="V2" i="3"/>
  <c r="W2" i="3"/>
  <c r="J14" i="2"/>
  <c r="J12" i="2"/>
  <c r="J13" i="2"/>
  <c r="O82" i="3"/>
  <c r="O13" i="3"/>
  <c r="T13" i="3"/>
  <c r="U13" i="3"/>
  <c r="V13" i="3"/>
  <c r="W13" i="3"/>
  <c r="O35" i="3"/>
  <c r="T35" i="3"/>
  <c r="U35" i="3"/>
  <c r="J9" i="2"/>
  <c r="J16" i="2"/>
  <c r="J15" i="2"/>
  <c r="O105" i="3"/>
  <c r="O30" i="3"/>
  <c r="J10" i="2"/>
  <c r="J11" i="2"/>
  <c r="O95" i="3"/>
  <c r="J8" i="2"/>
  <c r="O33" i="3"/>
  <c r="T33" i="3"/>
  <c r="U33" i="3"/>
  <c r="O36" i="3"/>
  <c r="T36" i="3"/>
  <c r="U36" i="3"/>
  <c r="J23" i="2"/>
  <c r="O12" i="3"/>
  <c r="K5" i="2"/>
  <c r="O27" i="3"/>
  <c r="O37" i="3"/>
  <c r="T37" i="3"/>
  <c r="U37" i="3"/>
  <c r="AC37" i="3"/>
  <c r="O51" i="3"/>
  <c r="O94" i="3"/>
  <c r="O77" i="3"/>
  <c r="O86" i="3"/>
  <c r="O48" i="3"/>
  <c r="O26" i="3"/>
  <c r="O32" i="3"/>
  <c r="T32" i="3"/>
  <c r="U32" i="3"/>
  <c r="O58" i="3"/>
  <c r="O11" i="3"/>
  <c r="O22" i="3"/>
  <c r="O23" i="3"/>
  <c r="O46" i="3"/>
  <c r="O104" i="3"/>
  <c r="O87" i="3"/>
  <c r="O28" i="3"/>
  <c r="T28" i="3"/>
  <c r="U28" i="3"/>
  <c r="O53" i="3"/>
  <c r="O7" i="3"/>
  <c r="O29" i="3"/>
  <c r="O39" i="3"/>
  <c r="J30" i="2"/>
  <c r="J31" i="2"/>
  <c r="P101" i="3"/>
  <c r="T101" i="3"/>
  <c r="U101" i="3"/>
  <c r="P98" i="3"/>
  <c r="O70" i="3"/>
  <c r="O96" i="3"/>
  <c r="P96" i="3"/>
  <c r="M99" i="3"/>
  <c r="M86" i="3"/>
  <c r="P78" i="3"/>
  <c r="M53" i="3"/>
  <c r="P124" i="3"/>
  <c r="Q46" i="3"/>
  <c r="O45" i="3"/>
  <c r="O79" i="3"/>
  <c r="M58" i="3"/>
  <c r="O40" i="3"/>
  <c r="P45" i="3"/>
  <c r="Q115" i="3"/>
  <c r="P50" i="3"/>
  <c r="O92" i="3"/>
  <c r="Q180" i="3"/>
  <c r="T151" i="3"/>
  <c r="U151" i="3"/>
  <c r="AC151" i="3"/>
  <c r="T122" i="3"/>
  <c r="U122" i="3"/>
  <c r="V122" i="3"/>
  <c r="O50" i="3"/>
  <c r="P53" i="3"/>
  <c r="P139" i="3"/>
  <c r="T139" i="3"/>
  <c r="U139" i="3"/>
  <c r="AC139" i="3"/>
  <c r="P149" i="3"/>
  <c r="T149" i="3"/>
  <c r="U149" i="3"/>
  <c r="T144" i="3"/>
  <c r="U144" i="3"/>
  <c r="V144" i="3"/>
  <c r="Q131" i="3"/>
  <c r="M48" i="3"/>
  <c r="M95" i="3"/>
  <c r="P88" i="3"/>
  <c r="O81" i="3"/>
  <c r="O57" i="3"/>
  <c r="Q97" i="3"/>
  <c r="T97" i="3"/>
  <c r="U97" i="3"/>
  <c r="M61" i="3"/>
  <c r="O63" i="3"/>
  <c r="O52" i="3"/>
  <c r="P150" i="3"/>
  <c r="T150" i="3"/>
  <c r="U150" i="3"/>
  <c r="T140" i="3"/>
  <c r="U140" i="3"/>
  <c r="V140" i="3"/>
  <c r="P120" i="3"/>
  <c r="T120" i="3"/>
  <c r="U120" i="3"/>
  <c r="Q113" i="3"/>
  <c r="Q65" i="3"/>
  <c r="T185" i="3"/>
  <c r="U185" i="3"/>
  <c r="AC185" i="3"/>
  <c r="O84" i="3"/>
  <c r="T169" i="3"/>
  <c r="U169" i="3"/>
  <c r="AC169" i="3"/>
  <c r="P164" i="3"/>
  <c r="T164" i="3"/>
  <c r="U164" i="3"/>
  <c r="T129" i="3"/>
  <c r="U129" i="3"/>
  <c r="V129" i="3"/>
  <c r="W129" i="3"/>
  <c r="O83" i="3"/>
  <c r="O90" i="3"/>
  <c r="P116" i="3"/>
  <c r="Q156" i="3"/>
  <c r="P168" i="3"/>
  <c r="T168" i="3"/>
  <c r="U168" i="3"/>
  <c r="P158" i="3"/>
  <c r="T158" i="3"/>
  <c r="U158" i="3"/>
  <c r="P123" i="3"/>
  <c r="T123" i="3"/>
  <c r="U123" i="3"/>
  <c r="P80" i="3"/>
  <c r="Q48" i="3"/>
  <c r="Q161" i="3"/>
  <c r="T111" i="3"/>
  <c r="U111" i="3"/>
  <c r="P74" i="3"/>
  <c r="O72" i="3"/>
  <c r="O74" i="3"/>
  <c r="O85" i="3"/>
  <c r="P184" i="3"/>
  <c r="T184" i="3"/>
  <c r="U184" i="3"/>
  <c r="Q177" i="3"/>
  <c r="Q160" i="3"/>
  <c r="Q121" i="3"/>
  <c r="P112" i="3"/>
  <c r="T112" i="3"/>
  <c r="U112" i="3"/>
  <c r="M75" i="3"/>
  <c r="T177" i="3"/>
  <c r="U177" i="3"/>
  <c r="T167" i="3"/>
  <c r="U167" i="3"/>
  <c r="AC167" i="3"/>
  <c r="T143" i="3"/>
  <c r="U143" i="3"/>
  <c r="AC143" i="3"/>
  <c r="T138" i="3"/>
  <c r="U138" i="3"/>
  <c r="T121" i="3"/>
  <c r="U121" i="3"/>
  <c r="M81" i="3"/>
  <c r="M41" i="3"/>
  <c r="Q49" i="3"/>
  <c r="P171" i="3"/>
  <c r="T171" i="3"/>
  <c r="U171" i="3"/>
  <c r="P157" i="3"/>
  <c r="T157" i="3"/>
  <c r="U157" i="3"/>
  <c r="M91" i="3"/>
  <c r="Q40" i="3"/>
  <c r="T176" i="3"/>
  <c r="U176" i="3"/>
  <c r="AC176" i="3"/>
  <c r="T180" i="3"/>
  <c r="U180" i="3"/>
  <c r="AC180" i="3"/>
  <c r="O67" i="3"/>
  <c r="T186" i="3"/>
  <c r="U186" i="3"/>
  <c r="AC186" i="3"/>
  <c r="T162" i="3"/>
  <c r="U162" i="3"/>
  <c r="T145" i="3"/>
  <c r="U145" i="3"/>
  <c r="T135" i="3"/>
  <c r="U135" i="3"/>
  <c r="AC135" i="3"/>
  <c r="T113" i="3"/>
  <c r="U113" i="3"/>
  <c r="P108" i="3"/>
  <c r="T108" i="3"/>
  <c r="U108" i="3"/>
  <c r="AC108" i="3"/>
  <c r="P104" i="3"/>
  <c r="T155" i="3"/>
  <c r="U155" i="3"/>
  <c r="P181" i="3"/>
  <c r="T181" i="3"/>
  <c r="U181" i="3"/>
  <c r="T160" i="3"/>
  <c r="U160" i="3"/>
  <c r="T156" i="3"/>
  <c r="U156" i="3"/>
  <c r="T154" i="3"/>
  <c r="U154" i="3"/>
  <c r="Q147" i="3"/>
  <c r="T137" i="3"/>
  <c r="U137" i="3"/>
  <c r="P132" i="3"/>
  <c r="T132" i="3"/>
  <c r="U132" i="3"/>
  <c r="P128" i="3"/>
  <c r="T128" i="3"/>
  <c r="U128" i="3"/>
  <c r="T115" i="3"/>
  <c r="U115" i="3"/>
  <c r="M72" i="3"/>
  <c r="O76" i="3"/>
  <c r="M79" i="3"/>
  <c r="M83" i="3"/>
  <c r="T174" i="3"/>
  <c r="U174" i="3"/>
  <c r="O55" i="3"/>
  <c r="Q58" i="3"/>
  <c r="O62" i="3"/>
  <c r="T183" i="3"/>
  <c r="U183" i="3"/>
  <c r="AC183" i="3"/>
  <c r="T130" i="3"/>
  <c r="U130" i="3"/>
  <c r="T119" i="3"/>
  <c r="U119" i="3"/>
  <c r="O89" i="3"/>
  <c r="M90" i="3"/>
  <c r="O64" i="3"/>
  <c r="Q163" i="3"/>
  <c r="O66" i="3"/>
  <c r="Q176" i="3"/>
  <c r="Q174" i="3"/>
  <c r="Q172" i="3"/>
  <c r="T170" i="3"/>
  <c r="U170" i="3"/>
  <c r="T161" i="3"/>
  <c r="U161" i="3"/>
  <c r="T159" i="3"/>
  <c r="U159" i="3"/>
  <c r="AC159" i="3"/>
  <c r="Q155" i="3"/>
  <c r="Q153" i="3"/>
  <c r="P136" i="3"/>
  <c r="T136" i="3"/>
  <c r="U136" i="3"/>
  <c r="AC136" i="3"/>
  <c r="T116" i="3"/>
  <c r="U116" i="3"/>
  <c r="T114" i="3"/>
  <c r="U114" i="3"/>
  <c r="Q107" i="3"/>
  <c r="Q105" i="3"/>
  <c r="M73" i="3"/>
  <c r="P182" i="3"/>
  <c r="T182" i="3"/>
  <c r="U182" i="3"/>
  <c r="T178" i="3"/>
  <c r="U178" i="3"/>
  <c r="AC178" i="3"/>
  <c r="T172" i="3"/>
  <c r="U172" i="3"/>
  <c r="T163" i="3"/>
  <c r="U163" i="3"/>
  <c r="T153" i="3"/>
  <c r="U153" i="3"/>
  <c r="T146" i="3"/>
  <c r="U146" i="3"/>
  <c r="Q129" i="3"/>
  <c r="T127" i="3"/>
  <c r="U127" i="3"/>
  <c r="P99" i="3"/>
  <c r="T99" i="3"/>
  <c r="U99" i="3"/>
  <c r="O75" i="3"/>
  <c r="T107" i="3"/>
  <c r="U107" i="3"/>
  <c r="M56" i="3"/>
  <c r="T131" i="3"/>
  <c r="U131" i="3"/>
  <c r="T124" i="3"/>
  <c r="U124" i="3"/>
  <c r="M78" i="3"/>
  <c r="M57" i="3"/>
  <c r="Q57" i="3"/>
  <c r="T179" i="3"/>
  <c r="U179" i="3"/>
  <c r="AC179" i="3"/>
  <c r="T147" i="3"/>
  <c r="U147" i="3"/>
  <c r="AC147" i="3"/>
  <c r="T148" i="3"/>
  <c r="U148" i="3"/>
  <c r="T152" i="3"/>
  <c r="U152" i="3"/>
  <c r="Q85" i="3"/>
  <c r="O56" i="3"/>
  <c r="Q145" i="3"/>
  <c r="P141" i="3"/>
  <c r="T141" i="3"/>
  <c r="U141" i="3"/>
  <c r="O78" i="3"/>
  <c r="T78" i="3"/>
  <c r="U78" i="3"/>
  <c r="O73" i="3"/>
  <c r="P56" i="3"/>
  <c r="Q185" i="3"/>
  <c r="P166" i="3"/>
  <c r="T166" i="3"/>
  <c r="U166" i="3"/>
  <c r="AC166" i="3"/>
  <c r="Q137" i="3"/>
  <c r="P133" i="3"/>
  <c r="T133" i="3"/>
  <c r="U133" i="3"/>
  <c r="P125" i="3"/>
  <c r="T125" i="3"/>
  <c r="U125" i="3"/>
  <c r="P117" i="3"/>
  <c r="T117" i="3"/>
  <c r="U117" i="3"/>
  <c r="P109" i="3"/>
  <c r="T109" i="3"/>
  <c r="U109" i="3"/>
  <c r="P100" i="3"/>
  <c r="T100" i="3"/>
  <c r="U100" i="3"/>
  <c r="AC100" i="3"/>
  <c r="Q47" i="3"/>
  <c r="M55" i="3"/>
  <c r="Q152" i="3"/>
  <c r="Q148" i="3"/>
  <c r="Q140" i="3"/>
  <c r="M76" i="3"/>
  <c r="O44" i="3"/>
  <c r="M59" i="3"/>
  <c r="O61" i="3"/>
  <c r="Q179" i="3"/>
  <c r="P173" i="3"/>
  <c r="T173" i="3"/>
  <c r="U173" i="3"/>
  <c r="Q144" i="3"/>
  <c r="P142" i="3"/>
  <c r="T142" i="3"/>
  <c r="U142" i="3"/>
  <c r="AC142" i="3"/>
  <c r="O38" i="3"/>
  <c r="Q169" i="3"/>
  <c r="P165" i="3"/>
  <c r="T165" i="3"/>
  <c r="U165" i="3"/>
  <c r="P134" i="3"/>
  <c r="T134" i="3"/>
  <c r="U134" i="3"/>
  <c r="AC134" i="3"/>
  <c r="P126" i="3"/>
  <c r="T126" i="3"/>
  <c r="U126" i="3"/>
  <c r="AC126" i="3"/>
  <c r="P118" i="3"/>
  <c r="T118" i="3"/>
  <c r="U118" i="3"/>
  <c r="AC118" i="3"/>
  <c r="P110" i="3"/>
  <c r="T110" i="3"/>
  <c r="U110" i="3"/>
  <c r="AC110" i="3"/>
  <c r="P102" i="3"/>
  <c r="T102" i="3"/>
  <c r="U102" i="3"/>
  <c r="AC102" i="3"/>
  <c r="M74" i="3"/>
  <c r="M80" i="3"/>
  <c r="Q94" i="3"/>
  <c r="P93" i="3"/>
  <c r="T93" i="3"/>
  <c r="U93" i="3"/>
  <c r="O91" i="3"/>
  <c r="P91" i="3"/>
  <c r="P90" i="3"/>
  <c r="Q89" i="3"/>
  <c r="O88" i="3"/>
  <c r="Q86" i="3"/>
  <c r="P83" i="3"/>
  <c r="P82" i="3"/>
  <c r="O80" i="3"/>
  <c r="T80" i="3"/>
  <c r="U80" i="3"/>
  <c r="Q81" i="3"/>
  <c r="P77" i="3"/>
  <c r="P75" i="3"/>
  <c r="Q73" i="3"/>
  <c r="O71" i="3"/>
  <c r="Q71" i="3"/>
  <c r="P70" i="3"/>
  <c r="Q183" i="3"/>
  <c r="Q151" i="3"/>
  <c r="Q143" i="3"/>
  <c r="Q135" i="3"/>
  <c r="Q127" i="3"/>
  <c r="Q119" i="3"/>
  <c r="Q111" i="3"/>
  <c r="Q103" i="3"/>
  <c r="T103" i="3"/>
  <c r="U103" i="3"/>
  <c r="Q92" i="3"/>
  <c r="Q84" i="3"/>
  <c r="Q76" i="3"/>
  <c r="Q167" i="3"/>
  <c r="Q178" i="3"/>
  <c r="P175" i="3"/>
  <c r="T175" i="3"/>
  <c r="U175" i="3"/>
  <c r="AC175" i="3"/>
  <c r="Q154" i="3"/>
  <c r="Q138" i="3"/>
  <c r="Q130" i="3"/>
  <c r="Q122" i="3"/>
  <c r="Q114" i="3"/>
  <c r="Q106" i="3"/>
  <c r="T106" i="3"/>
  <c r="U106" i="3"/>
  <c r="Q95" i="3"/>
  <c r="T95" i="3"/>
  <c r="U95" i="3"/>
  <c r="Q87" i="3"/>
  <c r="Q79" i="3"/>
  <c r="Q159" i="3"/>
  <c r="Q186" i="3"/>
  <c r="Q170" i="3"/>
  <c r="Q162" i="3"/>
  <c r="Q146" i="3"/>
  <c r="Q72" i="3"/>
  <c r="Q69" i="3"/>
  <c r="M67" i="3"/>
  <c r="T34" i="3"/>
  <c r="U34" i="3"/>
  <c r="AC34" i="3"/>
  <c r="O47" i="3"/>
  <c r="O54" i="3"/>
  <c r="M39" i="3"/>
  <c r="O65" i="3"/>
  <c r="T65" i="3"/>
  <c r="U65" i="3"/>
  <c r="AC65" i="3"/>
  <c r="M46" i="3"/>
  <c r="O41" i="3"/>
  <c r="Q41" i="3"/>
  <c r="P39" i="3"/>
  <c r="O43" i="3"/>
  <c r="O59" i="3"/>
  <c r="M64" i="3"/>
  <c r="Q64" i="3"/>
  <c r="P67" i="3"/>
  <c r="Q66" i="3"/>
  <c r="M63" i="3"/>
  <c r="M62" i="3"/>
  <c r="P62" i="3"/>
  <c r="Q61" i="3"/>
  <c r="Q60" i="3"/>
  <c r="T60" i="3"/>
  <c r="U60" i="3"/>
  <c r="AC60" i="3"/>
  <c r="Q68" i="3"/>
  <c r="T68" i="3"/>
  <c r="U68" i="3"/>
  <c r="Q59" i="3"/>
  <c r="Q63" i="3"/>
  <c r="M38" i="3"/>
  <c r="M43" i="3"/>
  <c r="O25" i="3"/>
  <c r="T25" i="3"/>
  <c r="U25" i="3"/>
  <c r="O49" i="3"/>
  <c r="P55" i="3"/>
  <c r="Q54" i="3"/>
  <c r="Q52" i="3"/>
  <c r="Q51" i="3"/>
  <c r="Q42" i="3"/>
  <c r="O42" i="3"/>
  <c r="P44" i="3"/>
  <c r="Q43" i="3"/>
  <c r="Q38" i="3"/>
  <c r="M24" i="3"/>
  <c r="M11" i="3"/>
  <c r="T4" i="3"/>
  <c r="U4" i="3"/>
  <c r="D4" i="3"/>
  <c r="P8" i="3"/>
  <c r="P9" i="3"/>
  <c r="M10" i="3"/>
  <c r="O10" i="3"/>
  <c r="O24" i="3"/>
  <c r="M7" i="3"/>
  <c r="O8" i="3"/>
  <c r="O9" i="3"/>
  <c r="Q22" i="3"/>
  <c r="M4" i="3"/>
  <c r="O31" i="3"/>
  <c r="T31" i="3"/>
  <c r="U31" i="3"/>
  <c r="P29" i="3"/>
  <c r="M25" i="3"/>
  <c r="P24" i="3"/>
  <c r="Q23" i="3"/>
  <c r="B4" i="4"/>
  <c r="P11" i="3"/>
  <c r="Q10" i="3"/>
  <c r="Q7" i="3"/>
  <c r="J6" i="2"/>
  <c r="J2" i="2"/>
  <c r="J3" i="2"/>
  <c r="J4" i="2"/>
  <c r="K29" i="2"/>
  <c r="U2" i="2"/>
  <c r="K25" i="2"/>
  <c r="U3" i="2"/>
  <c r="U4" i="2"/>
  <c r="K33" i="2"/>
  <c r="J26" i="2"/>
  <c r="K32" i="2"/>
  <c r="K28" i="2"/>
  <c r="K24" i="2"/>
  <c r="J27" i="2"/>
  <c r="T98" i="3"/>
  <c r="U98" i="3"/>
  <c r="T96" i="3"/>
  <c r="U96" i="3"/>
  <c r="V96" i="3"/>
  <c r="W96" i="3"/>
  <c r="T27" i="3"/>
  <c r="U27" i="3"/>
  <c r="T26" i="3"/>
  <c r="U26" i="3"/>
  <c r="T12" i="3"/>
  <c r="U12" i="3"/>
  <c r="V12" i="3"/>
  <c r="W12" i="3"/>
  <c r="T30" i="3"/>
  <c r="U30" i="3"/>
  <c r="V30" i="3"/>
  <c r="W30" i="3"/>
  <c r="T50" i="3"/>
  <c r="U50" i="3"/>
  <c r="AC50" i="3"/>
  <c r="T105" i="3"/>
  <c r="U105" i="3"/>
  <c r="V105" i="3"/>
  <c r="W105" i="3"/>
  <c r="T69" i="3"/>
  <c r="U69" i="3"/>
  <c r="V69" i="3"/>
  <c r="W69" i="3"/>
  <c r="T11" i="3"/>
  <c r="T22" i="3"/>
  <c r="U22" i="3"/>
  <c r="AC22" i="3"/>
  <c r="T58" i="3"/>
  <c r="U58" i="3"/>
  <c r="T70" i="3"/>
  <c r="U70" i="3"/>
  <c r="T51" i="3"/>
  <c r="U51" i="3"/>
  <c r="AC51" i="3"/>
  <c r="W144" i="3"/>
  <c r="T82" i="3"/>
  <c r="U82" i="3"/>
  <c r="V82" i="3"/>
  <c r="W82" i="3"/>
  <c r="T86" i="3"/>
  <c r="U86" i="3"/>
  <c r="AC86" i="3"/>
  <c r="T87" i="3"/>
  <c r="U87" i="3"/>
  <c r="V87" i="3"/>
  <c r="W87" i="3"/>
  <c r="T57" i="3"/>
  <c r="AA57" i="3"/>
  <c r="T48" i="3"/>
  <c r="U48" i="3"/>
  <c r="AC48" i="3"/>
  <c r="T81" i="3"/>
  <c r="U81" i="3"/>
  <c r="AC81" i="3"/>
  <c r="T104" i="3"/>
  <c r="U104" i="3"/>
  <c r="AC104" i="3"/>
  <c r="T77" i="3"/>
  <c r="U77" i="3"/>
  <c r="V77" i="3"/>
  <c r="W77" i="3"/>
  <c r="T62" i="3"/>
  <c r="U62" i="3"/>
  <c r="AC62" i="3"/>
  <c r="T23" i="3"/>
  <c r="U23" i="3"/>
  <c r="V23" i="3"/>
  <c r="W23" i="3"/>
  <c r="T53" i="3"/>
  <c r="U53" i="3"/>
  <c r="V53" i="3"/>
  <c r="W53" i="3"/>
  <c r="V180" i="3"/>
  <c r="W180" i="3"/>
  <c r="T7" i="3"/>
  <c r="U7" i="3"/>
  <c r="V7" i="3"/>
  <c r="W7" i="3"/>
  <c r="T46" i="3"/>
  <c r="U46" i="3"/>
  <c r="V46" i="3"/>
  <c r="W46" i="3"/>
  <c r="T29" i="3"/>
  <c r="U29" i="3"/>
  <c r="AC29" i="3"/>
  <c r="T94" i="3"/>
  <c r="U94" i="3"/>
  <c r="AC94" i="3"/>
  <c r="V169" i="3"/>
  <c r="W169" i="3"/>
  <c r="AC101" i="3"/>
  <c r="V101" i="3"/>
  <c r="W101" i="3"/>
  <c r="AC96" i="3"/>
  <c r="AC98" i="3"/>
  <c r="V98" i="3"/>
  <c r="W98" i="3"/>
  <c r="V167" i="3"/>
  <c r="W167" i="3"/>
  <c r="V151" i="3"/>
  <c r="W151" i="3"/>
  <c r="T56" i="3"/>
  <c r="U56" i="3"/>
  <c r="AC56" i="3"/>
  <c r="T79" i="3"/>
  <c r="U79" i="3"/>
  <c r="AC79" i="3"/>
  <c r="V135" i="3"/>
  <c r="W135" i="3"/>
  <c r="V186" i="3"/>
  <c r="W186" i="3"/>
  <c r="T40" i="3"/>
  <c r="U40" i="3"/>
  <c r="AC40" i="3"/>
  <c r="AC122" i="3"/>
  <c r="W122" i="3"/>
  <c r="T88" i="3"/>
  <c r="U88" i="3"/>
  <c r="V88" i="3"/>
  <c r="W88" i="3"/>
  <c r="W140" i="3"/>
  <c r="T49" i="3"/>
  <c r="U49" i="3"/>
  <c r="V49" i="3"/>
  <c r="W49" i="3"/>
  <c r="T67" i="3"/>
  <c r="U67" i="3"/>
  <c r="V67" i="3"/>
  <c r="W67" i="3"/>
  <c r="T84" i="3"/>
  <c r="U84" i="3"/>
  <c r="V84" i="3"/>
  <c r="W84" i="3"/>
  <c r="T63" i="3"/>
  <c r="U63" i="3"/>
  <c r="AC63" i="3"/>
  <c r="V176" i="3"/>
  <c r="W176" i="3"/>
  <c r="V159" i="3"/>
  <c r="W159" i="3"/>
  <c r="T45" i="3"/>
  <c r="U45" i="3"/>
  <c r="V45" i="3"/>
  <c r="W45" i="3"/>
  <c r="T74" i="3"/>
  <c r="U74" i="3"/>
  <c r="AC74" i="3"/>
  <c r="T72" i="3"/>
  <c r="U72" i="3"/>
  <c r="V72" i="3"/>
  <c r="W72" i="3"/>
  <c r="V185" i="3"/>
  <c r="W185" i="3"/>
  <c r="AC140" i="3"/>
  <c r="AC144" i="3"/>
  <c r="V37" i="3"/>
  <c r="W37" i="3"/>
  <c r="T92" i="3"/>
  <c r="U92" i="3"/>
  <c r="AC92" i="3"/>
  <c r="T83" i="3"/>
  <c r="U83" i="3"/>
  <c r="V83" i="3"/>
  <c r="AC129" i="3"/>
  <c r="T52" i="3"/>
  <c r="U52" i="3"/>
  <c r="AC52" i="3"/>
  <c r="V95" i="3"/>
  <c r="W95" i="3"/>
  <c r="AC95" i="3"/>
  <c r="T47" i="3"/>
  <c r="U47" i="3"/>
  <c r="V47" i="3"/>
  <c r="W47" i="3"/>
  <c r="V139" i="3"/>
  <c r="W139" i="3"/>
  <c r="T85" i="3"/>
  <c r="U85" i="3"/>
  <c r="V85" i="3"/>
  <c r="W85" i="3"/>
  <c r="V143" i="3"/>
  <c r="W143" i="3"/>
  <c r="T75" i="3"/>
  <c r="U75" i="3"/>
  <c r="AC75" i="3"/>
  <c r="T89" i="3"/>
  <c r="U89" i="3"/>
  <c r="AC89" i="3"/>
  <c r="T90" i="3"/>
  <c r="U90" i="3"/>
  <c r="V90" i="3"/>
  <c r="W90" i="3"/>
  <c r="V112" i="3"/>
  <c r="W112" i="3"/>
  <c r="AC112" i="3"/>
  <c r="AC171" i="3"/>
  <c r="V171" i="3"/>
  <c r="W171" i="3"/>
  <c r="V78" i="3"/>
  <c r="W78" i="3"/>
  <c r="AC78" i="3"/>
  <c r="V125" i="3"/>
  <c r="W125" i="3"/>
  <c r="AC125" i="3"/>
  <c r="V153" i="3"/>
  <c r="W153" i="3"/>
  <c r="AC153" i="3"/>
  <c r="V158" i="3"/>
  <c r="W158" i="3"/>
  <c r="AC158" i="3"/>
  <c r="D27" i="3"/>
  <c r="AC27" i="3"/>
  <c r="V32" i="3"/>
  <c r="W32" i="3"/>
  <c r="AC32" i="3"/>
  <c r="V93" i="3"/>
  <c r="W93" i="3"/>
  <c r="AC93" i="3"/>
  <c r="V36" i="3"/>
  <c r="W36" i="3"/>
  <c r="AC36" i="3"/>
  <c r="V178" i="3"/>
  <c r="W178" i="3"/>
  <c r="V165" i="3"/>
  <c r="W165" i="3"/>
  <c r="AC165" i="3"/>
  <c r="V152" i="3"/>
  <c r="W152" i="3"/>
  <c r="AC152" i="3"/>
  <c r="V183" i="3"/>
  <c r="W183" i="3"/>
  <c r="V150" i="3"/>
  <c r="W150" i="3"/>
  <c r="AC150" i="3"/>
  <c r="V127" i="3"/>
  <c r="W127" i="3"/>
  <c r="AC127" i="3"/>
  <c r="V128" i="3"/>
  <c r="W128" i="3"/>
  <c r="AC128" i="3"/>
  <c r="V113" i="3"/>
  <c r="W113" i="3"/>
  <c r="AC113" i="3"/>
  <c r="V177" i="3"/>
  <c r="W177" i="3"/>
  <c r="AC177" i="3"/>
  <c r="V149" i="3"/>
  <c r="W149" i="3"/>
  <c r="AC149" i="3"/>
  <c r="V34" i="3"/>
  <c r="W34" i="3"/>
  <c r="V58" i="3"/>
  <c r="W58" i="3"/>
  <c r="AC58" i="3"/>
  <c r="T76" i="3"/>
  <c r="U76" i="3"/>
  <c r="V86" i="3"/>
  <c r="W86" i="3"/>
  <c r="V109" i="3"/>
  <c r="W109" i="3"/>
  <c r="AC109" i="3"/>
  <c r="V184" i="3"/>
  <c r="W184" i="3"/>
  <c r="AC184" i="3"/>
  <c r="V103" i="3"/>
  <c r="W103" i="3"/>
  <c r="AC103" i="3"/>
  <c r="V130" i="3"/>
  <c r="W130" i="3"/>
  <c r="AC130" i="3"/>
  <c r="V154" i="3"/>
  <c r="W154" i="3"/>
  <c r="AC154" i="3"/>
  <c r="V168" i="3"/>
  <c r="W168" i="3"/>
  <c r="AC168" i="3"/>
  <c r="V132" i="3"/>
  <c r="W132" i="3"/>
  <c r="AC132" i="3"/>
  <c r="V99" i="3"/>
  <c r="W99" i="3"/>
  <c r="AC99" i="3"/>
  <c r="V145" i="3"/>
  <c r="W145" i="3"/>
  <c r="AC145" i="3"/>
  <c r="V141" i="3"/>
  <c r="W141" i="3"/>
  <c r="AC141" i="3"/>
  <c r="V157" i="3"/>
  <c r="W157" i="3"/>
  <c r="AC157" i="3"/>
  <c r="V160" i="3"/>
  <c r="W160" i="3"/>
  <c r="AC160" i="3"/>
  <c r="V97" i="3"/>
  <c r="W97" i="3"/>
  <c r="AC97" i="3"/>
  <c r="V33" i="3"/>
  <c r="W33" i="3"/>
  <c r="AC33" i="3"/>
  <c r="T66" i="3"/>
  <c r="U66" i="3"/>
  <c r="AC66" i="3"/>
  <c r="T41" i="3"/>
  <c r="U41" i="3"/>
  <c r="D26" i="3"/>
  <c r="AC26" i="3"/>
  <c r="V133" i="3"/>
  <c r="W133" i="3"/>
  <c r="AC133" i="3"/>
  <c r="V148" i="3"/>
  <c r="W148" i="3"/>
  <c r="AC148" i="3"/>
  <c r="V100" i="3"/>
  <c r="W100" i="3"/>
  <c r="V107" i="3"/>
  <c r="W107" i="3"/>
  <c r="AC107" i="3"/>
  <c r="V163" i="3"/>
  <c r="W163" i="3"/>
  <c r="AC163" i="3"/>
  <c r="V115" i="3"/>
  <c r="W115" i="3"/>
  <c r="AC115" i="3"/>
  <c r="V181" i="3"/>
  <c r="W181" i="3"/>
  <c r="AC181" i="3"/>
  <c r="V162" i="3"/>
  <c r="W162" i="3"/>
  <c r="AC162" i="3"/>
  <c r="V106" i="3"/>
  <c r="W106" i="3"/>
  <c r="AC106" i="3"/>
  <c r="V121" i="3"/>
  <c r="W121" i="3"/>
  <c r="AC121" i="3"/>
  <c r="V117" i="3"/>
  <c r="W117" i="3"/>
  <c r="AC117" i="3"/>
  <c r="V31" i="3"/>
  <c r="W31" i="3"/>
  <c r="AC31" i="3"/>
  <c r="V35" i="3"/>
  <c r="W35" i="3"/>
  <c r="AC35" i="3"/>
  <c r="Y68" i="3"/>
  <c r="AC68" i="3"/>
  <c r="V70" i="3"/>
  <c r="W70" i="3"/>
  <c r="AC70" i="3"/>
  <c r="V80" i="3"/>
  <c r="W80" i="3"/>
  <c r="AC80" i="3"/>
  <c r="V173" i="3"/>
  <c r="W173" i="3"/>
  <c r="AC173" i="3"/>
  <c r="V120" i="3"/>
  <c r="W120" i="3"/>
  <c r="AC120" i="3"/>
  <c r="V172" i="3"/>
  <c r="W172" i="3"/>
  <c r="AC172" i="3"/>
  <c r="V114" i="3"/>
  <c r="W114" i="3"/>
  <c r="AC114" i="3"/>
  <c r="V161" i="3"/>
  <c r="W161" i="3"/>
  <c r="AC161" i="3"/>
  <c r="V155" i="3"/>
  <c r="W155" i="3"/>
  <c r="AC155" i="3"/>
  <c r="V164" i="3"/>
  <c r="W164" i="3"/>
  <c r="AC164" i="3"/>
  <c r="V138" i="3"/>
  <c r="W138" i="3"/>
  <c r="AC138" i="3"/>
  <c r="V111" i="3"/>
  <c r="W111" i="3"/>
  <c r="AC111" i="3"/>
  <c r="V124" i="3"/>
  <c r="W124" i="3"/>
  <c r="AC124" i="3"/>
  <c r="V116" i="3"/>
  <c r="W116" i="3"/>
  <c r="AC116" i="3"/>
  <c r="V170" i="3"/>
  <c r="W170" i="3"/>
  <c r="AC170" i="3"/>
  <c r="V146" i="3"/>
  <c r="W146" i="3"/>
  <c r="AC146" i="3"/>
  <c r="V156" i="3"/>
  <c r="W156" i="3"/>
  <c r="AC156" i="3"/>
  <c r="V28" i="3"/>
  <c r="W28" i="3"/>
  <c r="AC28" i="3"/>
  <c r="D25" i="3"/>
  <c r="AC25" i="3"/>
  <c r="V131" i="3"/>
  <c r="W131" i="3"/>
  <c r="AC131" i="3"/>
  <c r="V182" i="3"/>
  <c r="W182" i="3"/>
  <c r="AC182" i="3"/>
  <c r="V123" i="3"/>
  <c r="W123" i="3"/>
  <c r="AC123" i="3"/>
  <c r="V119" i="3"/>
  <c r="W119" i="3"/>
  <c r="AC119" i="3"/>
  <c r="V174" i="3"/>
  <c r="W174" i="3"/>
  <c r="AC174" i="3"/>
  <c r="V137" i="3"/>
  <c r="W137" i="3"/>
  <c r="AC137" i="3"/>
  <c r="V108" i="3"/>
  <c r="W108" i="3"/>
  <c r="V136" i="3"/>
  <c r="W136" i="3"/>
  <c r="T55" i="3"/>
  <c r="U55" i="3"/>
  <c r="AC55" i="3"/>
  <c r="T42" i="3"/>
  <c r="U42" i="3"/>
  <c r="T64" i="3"/>
  <c r="U64" i="3"/>
  <c r="AC64" i="3"/>
  <c r="T44" i="3"/>
  <c r="U44" i="3"/>
  <c r="V102" i="3"/>
  <c r="W102" i="3"/>
  <c r="V142" i="3"/>
  <c r="W142" i="3"/>
  <c r="V110" i="3"/>
  <c r="W110" i="3"/>
  <c r="V118" i="3"/>
  <c r="W118" i="3"/>
  <c r="V126" i="3"/>
  <c r="W126" i="3"/>
  <c r="V166" i="3"/>
  <c r="W166" i="3"/>
  <c r="V175" i="3"/>
  <c r="W175" i="3"/>
  <c r="V134" i="3"/>
  <c r="W134" i="3"/>
  <c r="T59" i="3"/>
  <c r="U59" i="3"/>
  <c r="T61" i="3"/>
  <c r="U61" i="3"/>
  <c r="V147" i="3"/>
  <c r="W147" i="3"/>
  <c r="V26" i="3"/>
  <c r="W26" i="3"/>
  <c r="V179" i="3"/>
  <c r="W179" i="3"/>
  <c r="T38" i="3"/>
  <c r="U38" i="3"/>
  <c r="AC38" i="3"/>
  <c r="T73" i="3"/>
  <c r="U73" i="3"/>
  <c r="T91" i="3"/>
  <c r="U91" i="3"/>
  <c r="T71" i="3"/>
  <c r="U71" i="3"/>
  <c r="V27" i="3"/>
  <c r="W27" i="3"/>
  <c r="T8" i="3"/>
  <c r="U8" i="3"/>
  <c r="V8" i="3"/>
  <c r="W8" i="3"/>
  <c r="T43" i="3"/>
  <c r="U43" i="3"/>
  <c r="T54" i="3"/>
  <c r="V65" i="3"/>
  <c r="W65" i="3"/>
  <c r="V60" i="3"/>
  <c r="W60" i="3"/>
  <c r="V68" i="3"/>
  <c r="W68" i="3"/>
  <c r="T39" i="3"/>
  <c r="U39" i="3"/>
  <c r="V54" i="3"/>
  <c r="W54" i="3"/>
  <c r="V25" i="3"/>
  <c r="W25" i="3"/>
  <c r="T9" i="3"/>
  <c r="U9" i="3"/>
  <c r="V9" i="3"/>
  <c r="W9" i="3"/>
  <c r="T24" i="3"/>
  <c r="U24" i="3"/>
  <c r="B5" i="4"/>
  <c r="T10" i="3"/>
  <c r="U10" i="3"/>
  <c r="V10" i="3"/>
  <c r="W10" i="3"/>
  <c r="U11" i="3"/>
  <c r="V11" i="3"/>
  <c r="W11" i="3"/>
  <c r="V22" i="3"/>
  <c r="W22" i="3"/>
  <c r="V4" i="3"/>
  <c r="W4" i="3"/>
  <c r="D12" i="3"/>
  <c r="V50" i="3"/>
  <c r="W50" i="3"/>
  <c r="AC30" i="3"/>
  <c r="AC105" i="3"/>
  <c r="AC69" i="3"/>
  <c r="V104" i="3"/>
  <c r="W104" i="3"/>
  <c r="V51" i="3"/>
  <c r="W51" i="3"/>
  <c r="AC82" i="3"/>
  <c r="AC53" i="3"/>
  <c r="AC87" i="3"/>
  <c r="V40" i="3"/>
  <c r="W40" i="3"/>
  <c r="V94" i="3"/>
  <c r="W94" i="3"/>
  <c r="V63" i="3"/>
  <c r="W63" i="3"/>
  <c r="U57" i="3"/>
  <c r="V57" i="3"/>
  <c r="W57" i="3"/>
  <c r="V81" i="3"/>
  <c r="W81" i="3"/>
  <c r="AC46" i="3"/>
  <c r="V29" i="3"/>
  <c r="W29" i="3"/>
  <c r="V48" i="3"/>
  <c r="W48" i="3"/>
  <c r="V92" i="3"/>
  <c r="W92" i="3"/>
  <c r="V62" i="3"/>
  <c r="W62" i="3"/>
  <c r="V56" i="3"/>
  <c r="W56" i="3"/>
  <c r="AC77" i="3"/>
  <c r="AC84" i="3"/>
  <c r="AC23" i="3"/>
  <c r="AC72" i="3"/>
  <c r="AC85" i="3"/>
  <c r="V52" i="3"/>
  <c r="W52" i="3"/>
  <c r="V66" i="3"/>
  <c r="W66" i="3"/>
  <c r="V79" i="3"/>
  <c r="W79" i="3"/>
  <c r="AC67" i="3"/>
  <c r="V75" i="3"/>
  <c r="W75" i="3"/>
  <c r="AC88" i="3"/>
  <c r="AC45" i="3"/>
  <c r="V74" i="3"/>
  <c r="W74" i="3"/>
  <c r="W83" i="3"/>
  <c r="AC49" i="3"/>
  <c r="AC83" i="3"/>
  <c r="V64" i="3"/>
  <c r="W64" i="3"/>
  <c r="V89" i="3"/>
  <c r="W89" i="3"/>
  <c r="AC90" i="3"/>
  <c r="V55" i="3"/>
  <c r="W55" i="3"/>
  <c r="AC47" i="3"/>
  <c r="V38" i="3"/>
  <c r="W38" i="3"/>
  <c r="V71" i="3"/>
  <c r="W71" i="3"/>
  <c r="AC71" i="3"/>
  <c r="V76" i="3"/>
  <c r="W76" i="3"/>
  <c r="AC76" i="3"/>
  <c r="D24" i="3"/>
  <c r="AC24" i="3"/>
  <c r="V44" i="3"/>
  <c r="W44" i="3"/>
  <c r="AC44" i="3"/>
  <c r="V39" i="3"/>
  <c r="W39" i="3"/>
  <c r="AC39" i="3"/>
  <c r="V73" i="3"/>
  <c r="W73" i="3"/>
  <c r="AC73" i="3"/>
  <c r="V41" i="3"/>
  <c r="W41" i="3"/>
  <c r="AC41" i="3"/>
  <c r="V91" i="3"/>
  <c r="W91" i="3"/>
  <c r="AC91" i="3"/>
  <c r="V61" i="3"/>
  <c r="W61" i="3"/>
  <c r="AC61" i="3"/>
  <c r="V59" i="3"/>
  <c r="W59" i="3"/>
  <c r="AC59" i="3"/>
  <c r="V42" i="3"/>
  <c r="W42" i="3"/>
  <c r="AC42" i="3"/>
  <c r="V43" i="3"/>
  <c r="W43" i="3"/>
  <c r="AC43" i="3"/>
  <c r="V24" i="3"/>
  <c r="W24" i="3"/>
  <c r="B2" i="4"/>
  <c r="D11" i="3"/>
  <c r="D10" i="3"/>
  <c r="D7" i="3"/>
  <c r="D8" i="3"/>
  <c r="D9" i="3"/>
  <c r="B3" i="4"/>
  <c r="AC57" i="3"/>
</calcChain>
</file>

<file path=xl/sharedStrings.xml><?xml version="1.0" encoding="utf-8"?>
<sst xmlns="http://schemas.openxmlformats.org/spreadsheetml/2006/main" count="5614" uniqueCount="1934">
  <si>
    <t>Parámetro</t>
  </si>
  <si>
    <t>Valor</t>
  </si>
  <si>
    <t>Unidad</t>
  </si>
  <si>
    <t>Descripción</t>
  </si>
  <si>
    <t>Vida Útil Impresora</t>
  </si>
  <si>
    <t>Horas</t>
  </si>
  <si>
    <t>Tiempo total antes de obsolescencia</t>
  </si>
  <si>
    <t>Precio de compra</t>
  </si>
  <si>
    <t>Costo Energía KWh</t>
  </si>
  <si>
    <t>USD/KWh</t>
  </si>
  <si>
    <t>Tarifa local</t>
  </si>
  <si>
    <t>KW/h</t>
  </si>
  <si>
    <t>Consumo promedio</t>
  </si>
  <si>
    <t>Mano de Obra</t>
  </si>
  <si>
    <t>Tu tarifa personal</t>
  </si>
  <si>
    <t>Margen de Beneficio</t>
  </si>
  <si>
    <t>%</t>
  </si>
  <si>
    <t>Ganancia deseada</t>
  </si>
  <si>
    <t>Depreciación por Hora</t>
  </si>
  <si>
    <t>Cálculo automático</t>
  </si>
  <si>
    <t>Material</t>
  </si>
  <si>
    <t>Color</t>
  </si>
  <si>
    <t>Stock Inicial (g)</t>
  </si>
  <si>
    <t>Salidas (g)</t>
  </si>
  <si>
    <t>Stock Actual (g)</t>
  </si>
  <si>
    <t>Valor Inventario</t>
  </si>
  <si>
    <t>Alerta</t>
  </si>
  <si>
    <t>Blanco</t>
  </si>
  <si>
    <t>Negro</t>
  </si>
  <si>
    <t>Rojo</t>
  </si>
  <si>
    <t>ID</t>
  </si>
  <si>
    <t>Gramos Totales</t>
  </si>
  <si>
    <t>Horas Impresión</t>
  </si>
  <si>
    <t>Costo Material</t>
  </si>
  <si>
    <t>Costo Energía</t>
  </si>
  <si>
    <t>Costo Depreciación</t>
  </si>
  <si>
    <t>Gastos Adicionales</t>
  </si>
  <si>
    <t>Costo Total</t>
  </si>
  <si>
    <t>Precio con Margen</t>
  </si>
  <si>
    <t>001</t>
  </si>
  <si>
    <t>Métrica</t>
  </si>
  <si>
    <t>Total Costos Acumulados</t>
  </si>
  <si>
    <t>Total Ingresos Estimados</t>
  </si>
  <si>
    <t>Desgaste Acumulado Maquina (h)</t>
  </si>
  <si>
    <t>Material Consumido Total (g)</t>
  </si>
  <si>
    <t>Rango Min</t>
  </si>
  <si>
    <t>Rango Max</t>
  </si>
  <si>
    <t>Descuento (%)</t>
  </si>
  <si>
    <t>Precio Sugerido</t>
  </si>
  <si>
    <t>0%</t>
  </si>
  <si>
    <t>10%</t>
  </si>
  <si>
    <t>20%</t>
  </si>
  <si>
    <t>30%</t>
  </si>
  <si>
    <t>Margen de beneficio</t>
  </si>
  <si>
    <t>Multiplicador</t>
  </si>
  <si>
    <t>Factor de Purga AMS (Estimado)</t>
  </si>
  <si>
    <t>0.13</t>
  </si>
  <si>
    <t>Consumo Bambu Lab A1 (Promedio)</t>
  </si>
  <si>
    <t>0.15</t>
  </si>
  <si>
    <t>Costo KWh Energía</t>
  </si>
  <si>
    <t>USD/g</t>
  </si>
  <si>
    <t>Costo por gramo (PLA/PETG)</t>
  </si>
  <si>
    <t>Concepto</t>
  </si>
  <si>
    <t>1.00</t>
  </si>
  <si>
    <t>0.00</t>
  </si>
  <si>
    <t>Sustitución preventiva</t>
  </si>
  <si>
    <t>Cuchilla AMS</t>
  </si>
  <si>
    <t>12.00</t>
  </si>
  <si>
    <t>Cambio por desgaste</t>
  </si>
  <si>
    <t>Hotend 0.4mm</t>
  </si>
  <si>
    <t>Costo Repuesto</t>
  </si>
  <si>
    <t>Descripción del Cambio</t>
  </si>
  <si>
    <t>Componente A1 / AMS Lite</t>
  </si>
  <si>
    <t>Fecha</t>
  </si>
  <si>
    <t>0.68</t>
  </si>
  <si>
    <t>0.50</t>
  </si>
  <si>
    <t>PLA White</t>
  </si>
  <si>
    <t>PLA Blue</t>
  </si>
  <si>
    <t>Llavero Personalizado</t>
  </si>
  <si>
    <t>B-003</t>
  </si>
  <si>
    <t>0.23</t>
  </si>
  <si>
    <t>0.5</t>
  </si>
  <si>
    <t>PETG Grey</t>
  </si>
  <si>
    <t>Pieza Técnica Pequeña</t>
  </si>
  <si>
    <t>B-002</t>
  </si>
  <si>
    <t>0.61</t>
  </si>
  <si>
    <t>0.75</t>
  </si>
  <si>
    <t>PLA Red</t>
  </si>
  <si>
    <t>PLA Black</t>
  </si>
  <si>
    <t>Mini Logo 3 Colores</t>
  </si>
  <si>
    <t>B-001</t>
  </si>
  <si>
    <t>Total Costo</t>
  </si>
  <si>
    <t>Costo Mat.</t>
  </si>
  <si>
    <t>Tiempo (h)</t>
  </si>
  <si>
    <t>Merma/Purga (g)</t>
  </si>
  <si>
    <t>Peso Total (g)</t>
  </si>
  <si>
    <t>Material 3</t>
  </si>
  <si>
    <t>Material 2</t>
  </si>
  <si>
    <t>Material Principal</t>
  </si>
  <si>
    <t>Nombre Figura (Máx 3cm)</t>
  </si>
  <si>
    <t>ID Proyecto</t>
  </si>
  <si>
    <t>271.92</t>
  </si>
  <si>
    <t>TOTAL GASTOS</t>
  </si>
  <si>
    <t>Consumo estimado</t>
  </si>
  <si>
    <t>30.00</t>
  </si>
  <si>
    <t>KWh</t>
  </si>
  <si>
    <t>Energía Eléctrica (KWh)</t>
  </si>
  <si>
    <t>Mantenimiento</t>
  </si>
  <si>
    <t>8.00</t>
  </si>
  <si>
    <t>Lubricante para ejes</t>
  </si>
  <si>
    <t>Consumible AMS Lite</t>
  </si>
  <si>
    <t>10.00</t>
  </si>
  <si>
    <t>Cuchillas cortadoras de filamento</t>
  </si>
  <si>
    <t>Repuesto A1</t>
  </si>
  <si>
    <t>24.00</t>
  </si>
  <si>
    <t>Boquillas Acero Inoxidable 0.4mm</t>
  </si>
  <si>
    <t>Bambu Lab Original</t>
  </si>
  <si>
    <t>74.97</t>
  </si>
  <si>
    <t>24.99</t>
  </si>
  <si>
    <t>Rollo</t>
  </si>
  <si>
    <t>Filamento PETG Basic (1kg)</t>
  </si>
  <si>
    <t>124.95</t>
  </si>
  <si>
    <t>Filamento PLA Basic (1kg)</t>
  </si>
  <si>
    <t>Notas</t>
  </si>
  <si>
    <t>Costo Unitario</t>
  </si>
  <si>
    <t>Cantidad</t>
  </si>
  <si>
    <t>Item</t>
  </si>
  <si>
    <t>Costo (COP/g)</t>
  </si>
  <si>
    <t>COP</t>
  </si>
  <si>
    <t>Costo Máquina ( BAMBULAB A1)</t>
  </si>
  <si>
    <t>COP/KWh</t>
  </si>
  <si>
    <t>Consumo BAMBULAB A1</t>
  </si>
  <si>
    <t>COP/Hora</t>
  </si>
  <si>
    <t>PETG Arrow Yellow 1kg 1.75mm</t>
  </si>
  <si>
    <t>PETG Arrow Red 1kg 1.75mm</t>
  </si>
  <si>
    <t>PETG Arrow Green 1kg 1.75mm</t>
  </si>
  <si>
    <t>PETG Toprint Blanco 1 kg 1.75mm</t>
  </si>
  <si>
    <t>Amarillo</t>
  </si>
  <si>
    <t>Verde</t>
  </si>
  <si>
    <t>Costo Gasto (COP/g)</t>
  </si>
  <si>
    <t>PLA Toprint Natural 1kg 1.75mm</t>
  </si>
  <si>
    <t>PLA Toprint Azul Pastel 1kg 1.75mm</t>
  </si>
  <si>
    <t xml:space="preserve">PLA Marmol 1kg 1.75mm </t>
  </si>
  <si>
    <t>PLA Toprint Naranja Neon 1 kg 1.75mm</t>
  </si>
  <si>
    <t>PLA Toprint Rosado Piel 1kg 1.75mm</t>
  </si>
  <si>
    <t>PLA Toprint Verde Pino 1kg 1.75mm</t>
  </si>
  <si>
    <t>PLA Toprint Azul Rey 1kg 1.75mm</t>
  </si>
  <si>
    <t>PLA Toprint Bronce Seda 1kg 1.75 mm</t>
  </si>
  <si>
    <t>PLA Arrow Silk Bright Gold 1.75mm 1kg</t>
  </si>
  <si>
    <t>PLA ARROW Chameleon Reddish Brown 1kg 1,75mm</t>
  </si>
  <si>
    <t>Azul pastel</t>
  </si>
  <si>
    <t>Marmol</t>
  </si>
  <si>
    <t>Natural</t>
  </si>
  <si>
    <t>Naranja Neon</t>
  </si>
  <si>
    <t>Rosado Piel</t>
  </si>
  <si>
    <t>Verde Pino</t>
  </si>
  <si>
    <t>Azul Rey</t>
  </si>
  <si>
    <t>Bronce Seda</t>
  </si>
  <si>
    <t>Bright Gold</t>
  </si>
  <si>
    <t>Reddish Brown</t>
  </si>
  <si>
    <t>Bambu Lab FAH019 Hotend with Hardened Steel Nozzle 0.4 mm for A1 Mini, A1</t>
  </si>
  <si>
    <t>Bambu Lab Hotend with Stainless Steel Nozzle0.2mm</t>
  </si>
  <si>
    <t>Tipo</t>
  </si>
  <si>
    <t>Boquilla 0.4mm</t>
  </si>
  <si>
    <t>Boquilla 0.2mm</t>
  </si>
  <si>
    <t>002</t>
  </si>
  <si>
    <t>003</t>
  </si>
  <si>
    <t>Adhesive stick for 3d printer EDLAC</t>
  </si>
  <si>
    <t>Laca</t>
  </si>
  <si>
    <t>Stock Inicial</t>
  </si>
  <si>
    <t xml:space="preserve">Salidas </t>
  </si>
  <si>
    <t>Costo (COP)</t>
  </si>
  <si>
    <t>Filamento 1</t>
  </si>
  <si>
    <t>Filamento 2</t>
  </si>
  <si>
    <t>Filamento 3</t>
  </si>
  <si>
    <t>Filamento 4</t>
  </si>
  <si>
    <t xml:space="preserve">Color </t>
  </si>
  <si>
    <t>PETG</t>
  </si>
  <si>
    <t>PLA</t>
  </si>
  <si>
    <t>COP/h</t>
  </si>
  <si>
    <t>Gramos</t>
  </si>
  <si>
    <t>Tiempo</t>
  </si>
  <si>
    <t>Filameno 1</t>
  </si>
  <si>
    <t>Filameno 2</t>
  </si>
  <si>
    <t>Filameno 3</t>
  </si>
  <si>
    <t>Filameno 4</t>
  </si>
  <si>
    <t>PTGE</t>
  </si>
  <si>
    <t>precio*gramo</t>
  </si>
  <si>
    <t>Referencia</t>
  </si>
  <si>
    <t>004</t>
  </si>
  <si>
    <t>005</t>
  </si>
  <si>
    <t xml:space="preserve"> </t>
  </si>
  <si>
    <t>Costo Unit</t>
  </si>
  <si>
    <t>Costo total</t>
  </si>
  <si>
    <t>Verde Claro</t>
  </si>
  <si>
    <t>negro</t>
  </si>
  <si>
    <t>Gris</t>
  </si>
  <si>
    <t>valor a comerio</t>
  </si>
  <si>
    <t>20%&gt;12 unidades</t>
  </si>
  <si>
    <t>ESPADA RUMI</t>
  </si>
  <si>
    <t>006</t>
  </si>
  <si>
    <t>007</t>
  </si>
  <si>
    <t>008</t>
  </si>
  <si>
    <t>009</t>
  </si>
  <si>
    <t>010</t>
  </si>
  <si>
    <t>011</t>
  </si>
  <si>
    <t>014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</si>
  <si>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</si>
  <si>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</si>
  <si>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</si>
  <si>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</si>
  <si>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</si>
  <si>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</si>
  <si>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</si>
  <si>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</si>
  <si>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</si>
  <si>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</si>
  <si>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</si>
  <si>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</si>
  <si>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</si>
  <si>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</si>
  <si>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</si>
  <si>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</si>
  <si>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</si>
  <si>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</si>
  <si>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</si>
  <si>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</si>
  <si>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</si>
  <si>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</si>
  <si>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ANGEL DE LA GUARDA</t>
  </si>
  <si>
    <t>CANTIDAD</t>
  </si>
  <si>
    <t>VENTA</t>
  </si>
  <si>
    <t>FILAMENTO 1</t>
  </si>
  <si>
    <t>REFERENCIA</t>
  </si>
  <si>
    <t>PROYECTO</t>
  </si>
  <si>
    <t>LLAVERO CATERPILLAR</t>
  </si>
  <si>
    <t>JOYERO</t>
  </si>
  <si>
    <t>SOPORTES DE TORRE DE IMPRESORA Y RESORTES</t>
  </si>
  <si>
    <t>CAJA MUNDIALISTA PEQUEÑA 1</t>
  </si>
  <si>
    <t>CAJA MUNDIALISTA PEQUEÑA 2</t>
  </si>
  <si>
    <t>BURBUJA PALOMERA</t>
  </si>
  <si>
    <t>ESCULTURA DIA DE LA MADRE</t>
  </si>
  <si>
    <t xml:space="preserve">VIRGEN MUÑECO DIA DE LA MADRE </t>
  </si>
  <si>
    <t>CAJAS MUNDIAL PEQUEÑAS RAFA</t>
  </si>
  <si>
    <t>CAJA MUNDIALISTA TAPA DESLIZANTE</t>
  </si>
  <si>
    <t>SOPORTE TUBOS AMS</t>
  </si>
  <si>
    <t>PIEZA DE AUDIFONOS</t>
  </si>
  <si>
    <t>NEW GACHA DE 4CM</t>
  </si>
  <si>
    <t>MUJER EMBARAZADA</t>
  </si>
  <si>
    <t>SOPORTE DE TUBOS DE ALIMENTACION AMS</t>
  </si>
  <si>
    <t>SOPORTE SUPERIOR AMS LITE PARA BAMBU LAB A1</t>
  </si>
  <si>
    <t>CUBO DE RESIDUOS A1 CON SOPORTE PARA RASQUETA</t>
  </si>
  <si>
    <t>CAJA MUNDIAL GRANDE BLANCO PORTA FIGURITAS 2026</t>
  </si>
  <si>
    <t>CAJA MUNDIAL GRANDE NEGRO  PORTA FIGURITAS 2026</t>
  </si>
  <si>
    <t>CAJA PERSONALIZADA GRANDE BLANCO PORTA FIGURITAS 2026</t>
  </si>
  <si>
    <t>ROSA DIA DE LA MADRE CON FRASE</t>
  </si>
  <si>
    <t>CAJA GRANDE PERSONALIZADA DIA DE LA MADRE RAFA</t>
  </si>
  <si>
    <t>BAMBU LAB A1 REFORZADOR</t>
  </si>
  <si>
    <t>CABALLERO NEGRO</t>
  </si>
  <si>
    <t>RECOGEDOR DE DESECHO FILAMENTO</t>
  </si>
  <si>
    <t>&lt;&lt;&lt;</t>
  </si>
  <si>
    <t>Cajas blancas pequeñas mundial</t>
  </si>
  <si>
    <t>COCODRILO</t>
  </si>
  <si>
    <t>CONEJITO CROCHE</t>
  </si>
  <si>
    <t>PINGÜINO FLEXI</t>
  </si>
  <si>
    <t>Gekko</t>
  </si>
  <si>
    <t>CONEJO SIUMPLE</t>
  </si>
  <si>
    <t>PULPO</t>
  </si>
  <si>
    <t>COPA CAJA PEQUEÑA</t>
  </si>
  <si>
    <t>038</t>
  </si>
  <si>
    <t>039</t>
  </si>
  <si>
    <t>040</t>
  </si>
  <si>
    <t>041</t>
  </si>
  <si>
    <t>042</t>
  </si>
  <si>
    <t>043</t>
  </si>
  <si>
    <t>044</t>
  </si>
  <si>
    <t>045</t>
  </si>
  <si>
    <t>DRAGÓN</t>
  </si>
  <si>
    <t>Tortuga</t>
  </si>
  <si>
    <t>Gato</t>
  </si>
  <si>
    <t>Obeja</t>
  </si>
  <si>
    <t xml:space="preserve">Carro </t>
  </si>
  <si>
    <t>Pikachu</t>
  </si>
  <si>
    <t>Nueva montura</t>
  </si>
  <si>
    <t>Toquepi</t>
  </si>
  <si>
    <t>soporte telefono</t>
  </si>
  <si>
    <t>Umbreon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</si>
  <si>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</si>
  <si>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</si>
  <si>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</si>
  <si>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</si>
  <si>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</si>
  <si>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</si>
  <si>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</si>
  <si>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</si>
  <si>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</si>
  <si>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</si>
  <si>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Jolteon</t>
  </si>
  <si>
    <t>GATO MODELO</t>
  </si>
  <si>
    <t xml:space="preserve">Hyundai color </t>
  </si>
  <si>
    <t xml:space="preserve">Hyundai </t>
  </si>
  <si>
    <t>estante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</si>
  <si>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</si>
  <si>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</si>
  <si>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</si>
  <si>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</si>
  <si>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</si>
  <si>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</si>
  <si>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</si>
  <si>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</si>
  <si>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</si>
  <si>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</si>
  <si>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</si>
  <si>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</si>
  <si>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</si>
  <si>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</si>
  <si>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</si>
  <si>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</si>
  <si>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</si>
  <si>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</si>
  <si>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</si>
  <si>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</si>
  <si>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</si>
  <si>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</si>
  <si>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</si>
  <si>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</si>
  <si>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</si>
  <si>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</si>
  <si>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</si>
  <si>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</si>
  <si>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</si>
  <si>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</si>
  <si>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</si>
  <si>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</si>
  <si>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</si>
  <si>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</si>
  <si>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</si>
  <si>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</si>
  <si>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</si>
  <si>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</si>
  <si>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</si>
  <si>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</si>
  <si>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</si>
  <si>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</si>
  <si>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</si>
  <si>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</si>
  <si>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</si>
  <si>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</si>
  <si>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</si>
  <si>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</si>
  <si>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</si>
  <si>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</si>
  <si>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</si>
  <si>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</si>
  <si>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</si>
  <si>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</si>
  <si>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</si>
  <si>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</si>
  <si>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</si>
  <si>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</si>
  <si>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</si>
  <si>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</si>
  <si>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</si>
  <si>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</si>
  <si>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</si>
  <si>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</si>
  <si>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</si>
  <si>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</si>
  <si>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</si>
  <si>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</si>
  <si>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</si>
  <si>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</si>
  <si>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</si>
  <si>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</si>
  <si>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</si>
  <si>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</si>
  <si>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</si>
  <si>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</si>
  <si>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</si>
  <si>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</si>
  <si>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</si>
  <si>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</si>
  <si>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</si>
  <si>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</si>
  <si>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</si>
  <si>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</si>
  <si>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</si>
  <si>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</si>
  <si>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</si>
  <si>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</si>
  <si>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</si>
  <si>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</si>
  <si>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</si>
  <si>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</si>
  <si>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</si>
  <si>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</si>
  <si>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</si>
  <si>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</si>
  <si>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</si>
  <si>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</si>
  <si>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</si>
  <si>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</si>
  <si>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</si>
  <si>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</si>
  <si>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</si>
  <si>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</si>
  <si>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</si>
  <si>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</si>
  <si>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</si>
  <si>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</si>
  <si>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</si>
  <si>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</si>
  <si>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</si>
  <si>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</si>
  <si>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rack</t>
  </si>
  <si>
    <t>shuckle</t>
  </si>
  <si>
    <t>carro pintado</t>
  </si>
  <si>
    <t>Llavero international</t>
  </si>
  <si>
    <t>Gardevoir chibi</t>
  </si>
  <si>
    <t xml:space="preserve">Gardevoir </t>
  </si>
  <si>
    <t>pikachu de ventana</t>
  </si>
  <si>
    <t>H</t>
  </si>
  <si>
    <t>Min</t>
  </si>
  <si>
    <t>Soporter</t>
  </si>
  <si>
    <t>Moneda</t>
  </si>
  <si>
    <t>silbestre bebe</t>
  </si>
  <si>
    <t>estrtella mario</t>
  </si>
  <si>
    <t>Llavero jcb</t>
  </si>
  <si>
    <t>corsa 2002</t>
  </si>
  <si>
    <t>pulpo costura</t>
  </si>
  <si>
    <t>guepardo</t>
  </si>
  <si>
    <t>Pez articulable</t>
  </si>
  <si>
    <t>sombrero mario</t>
  </si>
  <si>
    <t>|</t>
  </si>
  <si>
    <t>Lugia chibi</t>
  </si>
  <si>
    <t>soporte go</t>
  </si>
  <si>
    <t>gengar</t>
  </si>
  <si>
    <t xml:space="preserve">Carrotanque </t>
  </si>
  <si>
    <t>pulpo croche</t>
  </si>
  <si>
    <t>flores boda</t>
  </si>
  <si>
    <t>Espada Ponky</t>
  </si>
  <si>
    <t>meduza</t>
  </si>
  <si>
    <t>ajolote</t>
  </si>
  <si>
    <t>Total Gramos</t>
  </si>
  <si>
    <t>Total Gramos und</t>
  </si>
  <si>
    <t>arrow</t>
  </si>
  <si>
    <t>toprint</t>
  </si>
  <si>
    <t>3dfilm</t>
  </si>
  <si>
    <t>PETG Arrow Grey 1kg 1.75mm</t>
  </si>
  <si>
    <t>PETG Fill3D Rojo 1kg 1.75mm</t>
  </si>
  <si>
    <t>OK</t>
  </si>
  <si>
    <t>Morado</t>
  </si>
  <si>
    <t>PETG Fill3D Blanco 1kg 1.75mm</t>
  </si>
  <si>
    <t>PETG Fill3D Negro 1kg 1.75mm</t>
  </si>
  <si>
    <t>PLA Fill3D Rojo 1kg 1.75mm</t>
  </si>
  <si>
    <t>PLA Fill3D Turbo HS Morado 1kg 1.75mm</t>
  </si>
  <si>
    <t>PLA Fill3D Turbo HS Rojo 1kg 1.75mm</t>
  </si>
  <si>
    <t>PLA Fill3D Turbo HS Blanco 1kg 1.75mm</t>
  </si>
  <si>
    <t>PLA Fill3D Turbo HS Negro 1kg 1.75mm</t>
  </si>
  <si>
    <t>Llaveros Go fest Mewtwo</t>
  </si>
  <si>
    <t>Nombre</t>
  </si>
  <si>
    <t>Mano de obra</t>
  </si>
  <si>
    <t>Si</t>
  </si>
  <si>
    <t>No</t>
  </si>
  <si>
    <t>Costo Total Und</t>
  </si>
  <si>
    <t xml:space="preserve">Costo Total </t>
  </si>
  <si>
    <t>Nombre de Cliente</t>
  </si>
  <si>
    <t>Correo</t>
  </si>
  <si>
    <t>Teléfono</t>
  </si>
  <si>
    <t xml:space="preserve">Nombre de Cliente </t>
  </si>
  <si>
    <t>Empresa:</t>
  </si>
  <si>
    <t>Cliente:</t>
  </si>
  <si>
    <t>Prisma Lab</t>
  </si>
  <si>
    <t>Fecha Factura:</t>
  </si>
  <si>
    <t>Carrela 5 # 8 - 23</t>
  </si>
  <si>
    <t>Fecha Vencimiento:</t>
  </si>
  <si>
    <t>Ubate Cundinamarca</t>
  </si>
  <si>
    <t>Prismalab95@gmail.com</t>
  </si>
  <si>
    <t>Producto</t>
  </si>
  <si>
    <t>Precio Unit</t>
  </si>
  <si>
    <t>Total</t>
  </si>
  <si>
    <t>Información de pago</t>
  </si>
  <si>
    <t xml:space="preserve">Observaciones: </t>
  </si>
  <si>
    <t>Banco:</t>
  </si>
  <si>
    <t>Cuenta:</t>
  </si>
  <si>
    <t>Ahorros</t>
  </si>
  <si>
    <t>Nro. Cuenta:</t>
  </si>
  <si>
    <t>@oli142</t>
  </si>
  <si>
    <t>Teléfono:</t>
  </si>
  <si>
    <t>Total Gramos UND</t>
  </si>
  <si>
    <t xml:space="preserve">Total Gramos </t>
  </si>
  <si>
    <t>Costo adicional</t>
  </si>
  <si>
    <t>Costo material adicional</t>
  </si>
  <si>
    <t>Prencillas de llavero</t>
  </si>
  <si>
    <t>Pegante</t>
  </si>
  <si>
    <t>Pintura</t>
  </si>
  <si>
    <t>VALOR</t>
  </si>
  <si>
    <t xml:space="preserve">Costo Total con margen </t>
  </si>
  <si>
    <t>Costo total Desc.</t>
  </si>
  <si>
    <t>Costo Total con descuento</t>
  </si>
  <si>
    <t>Nu Banck</t>
  </si>
  <si>
    <t>Observaciones</t>
  </si>
  <si>
    <t>Factura de Venta</t>
  </si>
  <si>
    <t>N.° de Articulo</t>
  </si>
  <si>
    <t>Proveedor</t>
  </si>
  <si>
    <t>VALOR TOTAL DEL INVENTARIO</t>
  </si>
  <si>
    <t xml:space="preserve">PLA Arrow Marmol 1kg 1.75mm </t>
  </si>
  <si>
    <t>Código</t>
  </si>
  <si>
    <t>PLANTILLA DE BALANCE</t>
  </si>
  <si>
    <t>[ NOMBRE DE LA EMPRESA ]</t>
  </si>
  <si>
    <t>BALANCE</t>
  </si>
  <si>
    <t xml:space="preserve">Complete solo las celdas que no están sombreadas.  Las fórmulas se rellenan automáticamente. </t>
  </si>
  <si>
    <t>ACTIVOS</t>
  </si>
  <si>
    <t>[AÑO]</t>
  </si>
  <si>
    <t>PASIVOS Y PATRIMONIO DEL PROPIETARIO</t>
  </si>
  <si>
    <t>ACTIVOS ACTUALES</t>
  </si>
  <si>
    <t>PASIVOS ACTUALES</t>
  </si>
  <si>
    <t>Efectivo</t>
  </si>
  <si>
    <t>Cuentas por pagar</t>
  </si>
  <si>
    <t>Cuentas por cobrar</t>
  </si>
  <si>
    <t>Préstamos a corto plazo</t>
  </si>
  <si>
    <t>Inventario</t>
  </si>
  <si>
    <t>Impuestos sobre la renta a pagar</t>
  </si>
  <si>
    <t>Gastos prepagados</t>
  </si>
  <si>
    <t>Salarios y salarios acumulados</t>
  </si>
  <si>
    <t>Inversiones a corto plazo</t>
  </si>
  <si>
    <t>Ingresos no obtenidos</t>
  </si>
  <si>
    <t>ACTIVOS ACTUALES TOTALES</t>
  </si>
  <si>
    <t>Parte actual de la deuda a largo plazo</t>
  </si>
  <si>
    <t>ACTIVOS FIJOS (LARGO PLAZO)</t>
  </si>
  <si>
    <t>PASIVOS ACTUALES TOTALES</t>
  </si>
  <si>
    <t>Inversiones a largo plazo</t>
  </si>
  <si>
    <t>PASIVOS A LARGO PLAZO</t>
  </si>
  <si>
    <t>Propiedad / Equipo</t>
  </si>
  <si>
    <t>Deuda a largo plazo</t>
  </si>
  <si>
    <r>
      <t xml:space="preserve">(Menos depreciación acumulada) </t>
    </r>
    <r>
      <rPr>
        <i/>
        <sz val="8"/>
        <color theme="1"/>
        <rFont val="Century Gothic"/>
        <family val="1"/>
      </rPr>
      <t>inserte importe negativo</t>
    </r>
  </si>
  <si>
    <t>Impuesto sobre la renta diferido</t>
  </si>
  <si>
    <t>Activos intangibles</t>
  </si>
  <si>
    <t>Otro</t>
  </si>
  <si>
    <t>TOTAL DE ACTIVOS FIJOS</t>
  </si>
  <si>
    <t>PASIVOS A LARGO PLAZO TOTALES</t>
  </si>
  <si>
    <t>OTROS ACTIVOS</t>
  </si>
  <si>
    <t>PATRIMONIO DEL PROPIETARIO</t>
  </si>
  <si>
    <t>Inversión del propietario</t>
  </si>
  <si>
    <t>Ganancias retenidas</t>
  </si>
  <si>
    <t>TOTAL OTROS ACTIVOS</t>
  </si>
  <si>
    <t>PATRIMONIO TOTAL DEL PROPIETARIO</t>
  </si>
  <si>
    <t>TOTAL DE ACTIVOS</t>
  </si>
  <si>
    <t>PASIVOS Y PATRIMONIO DEL PROPIETARIO TOTALES</t>
  </si>
  <si>
    <t>RELACIÓN FINANCIERA COMÚN</t>
  </si>
  <si>
    <r>
      <t xml:space="preserve">Relación deuda  
</t>
    </r>
    <r>
      <rPr>
        <sz val="10"/>
        <color theme="1"/>
        <rFont val="Century Gothic"/>
        <family val="1"/>
      </rPr>
      <t>Pasivos totales / activos totales</t>
    </r>
  </si>
  <si>
    <r>
      <t xml:space="preserve">Relación activos  
</t>
    </r>
    <r>
      <rPr>
        <sz val="10"/>
        <color theme="1"/>
        <rFont val="Century Gothic"/>
        <family val="1"/>
      </rPr>
      <t>corrientes / pasivos corrientes</t>
    </r>
  </si>
  <si>
    <r>
      <t xml:space="preserve">Capital de trabajo  
</t>
    </r>
    <r>
      <rPr>
        <sz val="10"/>
        <color theme="1"/>
        <rFont val="Century Gothic"/>
        <family val="1"/>
      </rPr>
      <t>Activos corrientes - Pasivos corrientes</t>
    </r>
  </si>
  <si>
    <r>
      <t xml:space="preserve">Relación Activos/Patrimonio </t>
    </r>
    <r>
      <rPr>
        <sz val="10"/>
        <color theme="1"/>
        <rFont val="Century Gothic"/>
        <family val="1"/>
      </rPr>
      <t xml:space="preserve"> 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entury Gothic"/>
        <family val="1"/>
      </rPr>
      <t>Activos/Patrimonio del Propietario</t>
    </r>
  </si>
  <si>
    <r>
      <t xml:space="preserve">Relación Deuda/Patrimonio </t>
    </r>
    <r>
      <rPr>
        <sz val="10"/>
        <color theme="1"/>
        <rFont val="Century Gothic"/>
        <family val="1"/>
      </rPr>
      <t xml:space="preserve"> </t>
    </r>
    <r>
      <rPr>
        <sz val="11"/>
        <color theme="1"/>
        <rFont val="Calibri"/>
        <family val="2"/>
        <scheme val="minor"/>
      </rPr>
      <t xml:space="preserve">
</t>
    </r>
    <r>
      <rPr>
        <sz val="10"/>
        <color theme="1"/>
        <rFont val="Century Gothic"/>
        <family val="1"/>
      </rPr>
      <t>Total Pasivos/Patrimonio del propietario</t>
    </r>
  </si>
  <si>
    <t>PLANTILLA DE PANEL DE GANANCIAS Y PÉRDIDAS</t>
  </si>
  <si>
    <t xml:space="preserve">El usuario debe ingresar datos en la pestaña EN BLANCO - Entrada de datos, 
Los datos de EN BLANCO - Panel se completarán automáticamente. </t>
  </si>
  <si>
    <t xml:space="preserve">Utilice el menú desplegable para seleccionar el Mes. </t>
  </si>
  <si>
    <t>ESTADO DE GANANCIAS Y PÉRDIDAS MENSUALES</t>
  </si>
  <si>
    <t>ENE</t>
  </si>
  <si>
    <t>FRENTE AL MES ANTERIOR</t>
  </si>
  <si>
    <r>
      <t xml:space="preserve">PANEL DE GANANCIAS Y PÉRDIDAS </t>
    </r>
    <r>
      <rPr>
        <sz val="22"/>
        <color theme="1" tint="0.34998626667073579"/>
        <rFont val="Century Gothic"/>
        <family val="1"/>
      </rPr>
      <t>- ENTRADA DE DATOS</t>
    </r>
  </si>
  <si>
    <t xml:space="preserve">El usuario debe ingresar datos solo en los campos no sombreados. Los datos de EN BLANCO - Panel se completarán automáticamente. </t>
  </si>
  <si>
    <t>CATEGORÍA</t>
  </si>
  <si>
    <t>FEB</t>
  </si>
  <si>
    <t>MAR</t>
  </si>
  <si>
    <t>ABR</t>
  </si>
  <si>
    <t>MAYO</t>
  </si>
  <si>
    <t>JUN</t>
  </si>
  <si>
    <t>JUL</t>
  </si>
  <si>
    <t>AGO</t>
  </si>
  <si>
    <t>SEP</t>
  </si>
  <si>
    <t>OCT</t>
  </si>
  <si>
    <t>NOV</t>
  </si>
  <si>
    <t>DIC</t>
  </si>
  <si>
    <t>AÑO A LA FECHA</t>
  </si>
  <si>
    <t>VARIACIÓN</t>
  </si>
  <si>
    <t>MES SELECCIONADO</t>
  </si>
  <si>
    <t xml:space="preserve">Los cálculos se completan automáticamente, no modificar. </t>
  </si>
  <si>
    <t>MESES</t>
  </si>
  <si>
    <t>Indicadores clave del rendimiento (KPI)</t>
  </si>
  <si>
    <t>– / +</t>
  </si>
  <si>
    <t>Ingresos totales</t>
  </si>
  <si>
    <t>+ es bueno</t>
  </si>
  <si>
    <t>Costo de los bienes vendidos</t>
  </si>
  <si>
    <t>- es bueno</t>
  </si>
  <si>
    <t>Ganancia bruta</t>
  </si>
  <si>
    <t>Salarios y remuneraciones</t>
  </si>
  <si>
    <t>Gastos</t>
  </si>
  <si>
    <t>Marketing directo</t>
  </si>
  <si>
    <t>Ganancias antes de intereses e impuestos</t>
  </si>
  <si>
    <t>Publicidad</t>
  </si>
  <si>
    <t>Interés</t>
  </si>
  <si>
    <t>Materiales de oficina</t>
  </si>
  <si>
    <t>Ingresos antes de impuestos</t>
  </si>
  <si>
    <t>Servicios externos</t>
  </si>
  <si>
    <t>Impuestos sobre la renta</t>
  </si>
  <si>
    <t>Alquiler</t>
  </si>
  <si>
    <t>Ingresos netos</t>
  </si>
  <si>
    <t>Servicios públicos</t>
  </si>
  <si>
    <t>Valores</t>
  </si>
  <si>
    <t>Finaliza</t>
  </si>
  <si>
    <t>Pérdida negativa</t>
  </si>
  <si>
    <t>Ganancia negativa</t>
  </si>
  <si>
    <t>Pérdida positiva</t>
  </si>
  <si>
    <t>Ganancia positiva</t>
  </si>
  <si>
    <t>Línea Y</t>
  </si>
  <si>
    <t>Línea X</t>
  </si>
  <si>
    <t>Centro X</t>
  </si>
  <si>
    <t>X derecha</t>
  </si>
  <si>
    <t>X izquierda</t>
  </si>
  <si>
    <t>Etiqueta Y</t>
  </si>
  <si>
    <t>Etiqueta</t>
  </si>
  <si>
    <t>Depreciación</t>
  </si>
  <si>
    <t>Seguros</t>
  </si>
  <si>
    <t>GANANCIA BRUTA</t>
  </si>
  <si>
    <t>Licencias de tecnología</t>
  </si>
  <si>
    <t xml:space="preserve">Patentes </t>
  </si>
  <si>
    <t>Gastos del sitio web</t>
  </si>
  <si>
    <t>Comidas y entretenimiento</t>
  </si>
  <si>
    <t>Reparaciones y Mantenimiento</t>
  </si>
  <si>
    <t>Viajes</t>
  </si>
  <si>
    <t xml:space="preserve">Otro </t>
  </si>
  <si>
    <t>PLANTILLA DE PRESUPUESTO DE PEQUEÑAS EMPRESAS</t>
  </si>
  <si>
    <t>INGRESOS MENSUALES</t>
  </si>
  <si>
    <t>SEPT</t>
  </si>
  <si>
    <t>TOTAL ANUAL</t>
  </si>
  <si>
    <t>TOTALES</t>
  </si>
  <si>
    <t>GASTOS MENSUALES</t>
  </si>
  <si>
    <t>REGISTRO DE FLUJO DE CAJA</t>
  </si>
  <si>
    <t>SALDO INICIAL</t>
  </si>
  <si>
    <t>FECHA</t>
  </si>
  <si>
    <t>LIBRO DIARIO</t>
  </si>
  <si>
    <t>PERÍODO:</t>
  </si>
  <si>
    <t>ENERO 2026</t>
  </si>
  <si>
    <t>DENOMINACIÓN O RAZÓN SOCIAL:</t>
  </si>
  <si>
    <t>DETALLE DE LA OPERACIÓN</t>
  </si>
  <si>
    <t>CUENTA CONTABLE ASOCIADA A LA OPERACIÓN</t>
  </si>
  <si>
    <t>Nº</t>
  </si>
  <si>
    <t>GLOSA</t>
  </si>
  <si>
    <t>Cod. Libro</t>
  </si>
  <si>
    <t xml:space="preserve">Nº </t>
  </si>
  <si>
    <t>Nº Doc Sustet.</t>
  </si>
  <si>
    <t>CUENTA</t>
  </si>
  <si>
    <t>DENOMINACIÓN</t>
  </si>
  <si>
    <t>DEBE</t>
  </si>
  <si>
    <t>HABER</t>
  </si>
  <si>
    <t>POR MI ACTIVO, PASIVO Y PATRIMONIO</t>
  </si>
  <si>
    <t>CAJA</t>
  </si>
  <si>
    <t>FACTURAS POR COBRAR.</t>
  </si>
  <si>
    <t>MERCADERAS (ALMACEN)</t>
  </si>
  <si>
    <t>EQUIPOS DIVERSOS.</t>
  </si>
  <si>
    <t xml:space="preserve">  </t>
  </si>
  <si>
    <t>CAPITAL SOCIAL.</t>
  </si>
  <si>
    <t>VENTA DE MERCADERIAS-EFECTIVO</t>
  </si>
  <si>
    <t>01</t>
  </si>
  <si>
    <t>001-100</t>
  </si>
  <si>
    <t>IGV</t>
  </si>
  <si>
    <t>MERCADERIAS</t>
  </si>
  <si>
    <t>COMPRA DE MERCADERIAS-EFECTIVO</t>
  </si>
  <si>
    <t>COMPRAS</t>
  </si>
  <si>
    <t>TRANSFERENCIA</t>
  </si>
  <si>
    <t>VARIACION DE EXISTENCIAS</t>
  </si>
  <si>
    <t>COSTO DE VENTA</t>
  </si>
  <si>
    <t/>
  </si>
  <si>
    <t>DESCUENTO CONCEDIDO FUERA DE FACTURA-EFECTIVO</t>
  </si>
  <si>
    <t>07</t>
  </si>
  <si>
    <t>001-105</t>
  </si>
  <si>
    <t>DESCUENTO CONCEDIDO</t>
  </si>
  <si>
    <t>DESCUENTO OBTENIDO FUERA DE FACTURA-EFECTIVO</t>
  </si>
  <si>
    <t>001-200</t>
  </si>
  <si>
    <t>DESCUENTO OBTENIDO</t>
  </si>
  <si>
    <t>SERVICIO DE TRANSPORTE Y ALMACENAMIENTO-EFECTIVO</t>
  </si>
  <si>
    <t>002-100</t>
  </si>
  <si>
    <t>SERVICIO DE TRANSPORTE Y ALMACENAMIENTO</t>
  </si>
  <si>
    <t>GASTOS ADMINISTRATIVOS</t>
  </si>
  <si>
    <t>GASTOS DE VENTAS</t>
  </si>
  <si>
    <t>C.I.C.C</t>
  </si>
  <si>
    <t>001-20</t>
  </si>
  <si>
    <t>0021-200</t>
  </si>
  <si>
    <t>002-200</t>
  </si>
  <si>
    <t xml:space="preserve">CODIGO </t>
  </si>
  <si>
    <t xml:space="preserve">NOMBRE CUENTA </t>
  </si>
  <si>
    <t>NATURALEZA</t>
  </si>
  <si>
    <t xml:space="preserve">ACUMULA </t>
  </si>
  <si>
    <t>ACTIVO</t>
  </si>
  <si>
    <t>D</t>
  </si>
  <si>
    <t>SI</t>
  </si>
  <si>
    <t>EFECTIVO Y EQUIVALENTES DEL EFECTIVO</t>
  </si>
  <si>
    <t>CAJA GENERAL</t>
  </si>
  <si>
    <t>CAJA GENERAL (Nombrar segun criterio o necesidad)</t>
  </si>
  <si>
    <t>NO</t>
  </si>
  <si>
    <t>CAJA MENOR</t>
  </si>
  <si>
    <t>CAJA MENOR (Renombrar CM ejemplo administracion)</t>
  </si>
  <si>
    <t>BANCOS</t>
  </si>
  <si>
    <t>CUENTA CORRIENTE</t>
  </si>
  <si>
    <t>BANCO XXXX (Dar Nombre del Banco y # de Cuenta) Ejemplo BBVA CCTE 0465</t>
  </si>
  <si>
    <t>CUENTAS DE AHORRO</t>
  </si>
  <si>
    <t>BANCO XXXX (Nombre del Banco y # de Cuenta) Ejemplo BBVA CAHR 0465</t>
  </si>
  <si>
    <t>EFECTIVO Y EQUIVALENTES DE EFECTIVO DE USO RESTRINGIDO</t>
  </si>
  <si>
    <t>EN EFECTIVO</t>
  </si>
  <si>
    <t xml:space="preserve">EN EFECTIVO </t>
  </si>
  <si>
    <t>EN BANCOS</t>
  </si>
  <si>
    <t>BANCO XXXX (Nombre del Banco y # de Cuenta)</t>
  </si>
  <si>
    <t>CUENTAS COMERCIALES POR COBRAR Y OTRAS CUENTAS POR COBRAR</t>
  </si>
  <si>
    <t>CUENTAS COMERCIALES POR COBRAR</t>
  </si>
  <si>
    <t>CLIENTES</t>
  </si>
  <si>
    <t>NACIONALES</t>
  </si>
  <si>
    <t>CUENTAS POR COBRAR POR INGRESOS POR FACTURAR</t>
  </si>
  <si>
    <t>ESTIMACIONES CXC</t>
  </si>
  <si>
    <t>ESTIMACIONES CUENTAS POR COBRAR</t>
  </si>
  <si>
    <t>CUENTAS POR COBRAR A PARTES RELACIONADAS</t>
  </si>
  <si>
    <t>CUENTAS POR COBRAR  A SOCIOS Y ACCIONISTAS</t>
  </si>
  <si>
    <t>A ACCIONISTAS</t>
  </si>
  <si>
    <t xml:space="preserve">A ACCIONISTAS </t>
  </si>
  <si>
    <t>ANTICIPOS Y AVANCES ENTREGADOS EXIGIBLES</t>
  </si>
  <si>
    <t xml:space="preserve">POR SERVICIOS </t>
  </si>
  <si>
    <t>A CONTRATISTAS</t>
  </si>
  <si>
    <t xml:space="preserve">POR BIENES ADQUIRIDOS </t>
  </si>
  <si>
    <t>ANTICIPO DE IMPUESTOS Y CONTRIBUCIONES O SALDOS A FAVOR</t>
  </si>
  <si>
    <t xml:space="preserve">SALDO A FAVOR RENTA </t>
  </si>
  <si>
    <t xml:space="preserve">SALDOS A FAVOR EN RENTA </t>
  </si>
  <si>
    <t>ANTICIPO DE IMPUESTO DE RENTA Y COMPLEMENTARIOS</t>
  </si>
  <si>
    <t xml:space="preserve">PERIODO ACTUAL </t>
  </si>
  <si>
    <t xml:space="preserve">PERIODO ANTERIOR </t>
  </si>
  <si>
    <t>ANTICIPO DE INDUSTRIA Y COMERCIO</t>
  </si>
  <si>
    <t>RETENCION EN LA FUENTE</t>
  </si>
  <si>
    <t>IMPUESTO A LAS VENTAS RETENIDO</t>
  </si>
  <si>
    <t xml:space="preserve">IMPUESTO DE INDUSTRIA Y COMERCIO RETENIDO </t>
  </si>
  <si>
    <t xml:space="preserve">AUTORETENCION A TULO DE RENTA </t>
  </si>
  <si>
    <t>AUTORETENCION A TITULO DE RENTA</t>
  </si>
  <si>
    <t>CUENTAS POR COBRAR A TRABAJADORES</t>
  </si>
  <si>
    <t>POR PRESTAMOS</t>
  </si>
  <si>
    <t>EDUCACION</t>
  </si>
  <si>
    <t xml:space="preserve">OTROS DESCUENTOS DE NOMINA </t>
  </si>
  <si>
    <t>PRESTAMO A PARTICULARES</t>
  </si>
  <si>
    <t>PRESTAMOS</t>
  </si>
  <si>
    <t>A CONTRATISTAS Y/O PRESTADORES DE SERVICIO</t>
  </si>
  <si>
    <t xml:space="preserve">A EMPRESAS </t>
  </si>
  <si>
    <t>DEUDAS DE DIFICIL COBRO</t>
  </si>
  <si>
    <t>POR COBRAR A PARTES RELACIONADAS</t>
  </si>
  <si>
    <t>POR COBRAR A TRABAJADORES</t>
  </si>
  <si>
    <t>POR PRESTAMO A PARTICULARES</t>
  </si>
  <si>
    <t>OTROS</t>
  </si>
  <si>
    <t>DETERIORO</t>
  </si>
  <si>
    <t>C</t>
  </si>
  <si>
    <t>DE CUENTAS COMERCIALES POR COBRAR Y OTRAS CUENTAS POR COBRAR</t>
  </si>
  <si>
    <t>CUENTAS POR COBRAR A VINCULADOS ECONOMICOS</t>
  </si>
  <si>
    <t>CUENTAS POR COBRAR A SOCIOS Y ACCIONISTAS</t>
  </si>
  <si>
    <t>POR ANTICIPOS ENTREGADOS</t>
  </si>
  <si>
    <t>PROPIEDADES PLANTA Y EQUIPO</t>
  </si>
  <si>
    <t>TERRENOS</t>
  </si>
  <si>
    <t>URBANOS</t>
  </si>
  <si>
    <t>(IDENTIFICAR EL TERRENO, # MATRICULA, UBICACION )</t>
  </si>
  <si>
    <t>RURALES</t>
  </si>
  <si>
    <t>CONSTRUCCIONES EN CURSO</t>
  </si>
  <si>
    <t>CONSTRUCCIONES Y EDIFICACIONES</t>
  </si>
  <si>
    <t>(IDENTIFICAR EL BIEN, NOMBRE DE PROYECTO, UBICACION )</t>
  </si>
  <si>
    <t>MAQUINARIA Y EQUIPOS EN MONTAJE (Que esta en proceso, pero aun no esta lista para operar)</t>
  </si>
  <si>
    <t>MAQUINARIA Y EQUIPO</t>
  </si>
  <si>
    <t xml:space="preserve">IDENTIFICAR EL TIPO DE MAQUINARIA </t>
  </si>
  <si>
    <t>EQUIPO DE OFICINA</t>
  </si>
  <si>
    <t>IDENTIFICAR EL TIPO DE EQUIPO DE OFICINA, (por ejempo Aires acondicionado)</t>
  </si>
  <si>
    <t>EQUIPOS DE COMPUTACION Y COMUNICACIÓN</t>
  </si>
  <si>
    <t>EQUIPOS DE COMPUTACION Y COMUNICACION</t>
  </si>
  <si>
    <t>EDIFICIOS</t>
  </si>
  <si>
    <t>(IDENTIFICAR EL EDIFICIO, NOMBRE, # MATRICULA, UBICACION )</t>
  </si>
  <si>
    <t>OFICINAS</t>
  </si>
  <si>
    <t>(IDENTIFICAR EL EDIFICIO U OFICINA, NOMBRE, # MATRICULA, UBICACION )</t>
  </si>
  <si>
    <t>MAQUINARIA Y EQUIPO (Que esta en proceso, pero aun no esta lista para operar)</t>
  </si>
  <si>
    <t>MUEBLES Y ENSERES</t>
  </si>
  <si>
    <t>MUEBLES Y ENSERES (Que esta en proceso, pero aun no esta lista para operar)</t>
  </si>
  <si>
    <t>EQUIPOS</t>
  </si>
  <si>
    <t>EQUIPOS (Que esta en proceso, pero aun no esta lista para operar)</t>
  </si>
  <si>
    <t>EQUIPO DE COMPUTACION Y COMUNICACION</t>
  </si>
  <si>
    <t>EQUIPOS DE PROCESAMIENTO DE DATOS</t>
  </si>
  <si>
    <t xml:space="preserve">EQUIPO DE COMPUTO </t>
  </si>
  <si>
    <t>EQUIPOS DE TELECUMUNICACION</t>
  </si>
  <si>
    <t xml:space="preserve">EQUIPO DE COMUNICACION </t>
  </si>
  <si>
    <t>FLOTA Y EQUIPO DE TRANSPORTE</t>
  </si>
  <si>
    <t>AUTOS, CAMIONETAS Y CAMPEROS</t>
  </si>
  <si>
    <t xml:space="preserve">MARCA VEHICULO, PLACA Y MODELO </t>
  </si>
  <si>
    <t>MOTOCICLETA</t>
  </si>
  <si>
    <t xml:space="preserve">MARCA MOTO, PLACA Y MODELO </t>
  </si>
  <si>
    <t xml:space="preserve">IVA </t>
  </si>
  <si>
    <t xml:space="preserve">IVA VEHICULO O MOTO </t>
  </si>
  <si>
    <t xml:space="preserve">HIPOCONSUMO </t>
  </si>
  <si>
    <t xml:space="preserve">HIPOCONSUMO VEHICULO O MOTO </t>
  </si>
  <si>
    <t>ACTIVOS POR DERECHO DE USO - ARRENDAMIENTOS</t>
  </si>
  <si>
    <t>LEASING</t>
  </si>
  <si>
    <t># DE LEASING, BANCO E IDENTIFICACION DEL BIEN ADQUIRIDO (Ejemplo, inmueble o vehiculo)</t>
  </si>
  <si>
    <t>DEPRECIACION ACUMULADA</t>
  </si>
  <si>
    <t>CONTRUCCIONES Y EDIFICACIONES</t>
  </si>
  <si>
    <t>IDENTIFICACION DEL BIEN QUE COINCIDA CON ACTIVO QUE ESTA DEPRECIANDO</t>
  </si>
  <si>
    <t xml:space="preserve">MARCA VEHICULO, PLACA Y MODELO QUE ESTA DEPRECIANDO </t>
  </si>
  <si>
    <t>AMORTIZACION DE ACTIVOS POR DERECHO DE USO</t>
  </si>
  <si>
    <t xml:space="preserve">IDENTIFICACION DEL BIEN QUE COINCIDA CON ACTIVO QUE ESTA DETERIORANDO </t>
  </si>
  <si>
    <t>EQUIPO MEDICO - CIENTIFICO</t>
  </si>
  <si>
    <t xml:space="preserve">MARCA VEHICULO, PLACA Y MODELO QUE ESTA DETERIORANDO </t>
  </si>
  <si>
    <t>INTANGIBLES</t>
  </si>
  <si>
    <t>LICENCIAS</t>
  </si>
  <si>
    <t>LICENCIAS SOFWARE</t>
  </si>
  <si>
    <t xml:space="preserve">LICENCIAS SOFWARE IDENTIFICAR LA LICENCIA (nombre) </t>
  </si>
  <si>
    <t>DEPRECIACION Y/O AMORTIZACION ACUMULADA</t>
  </si>
  <si>
    <t>DIFERIDOS</t>
  </si>
  <si>
    <t>GASTOS PAGADOS POR ANTICIPADO</t>
  </si>
  <si>
    <t>SEGUROS Y FIANZAS</t>
  </si>
  <si>
    <t>ARRENDAMIENTOS OPERATIVOS</t>
  </si>
  <si>
    <t>BODEGAJE</t>
  </si>
  <si>
    <t>POR SERVICIOS</t>
  </si>
  <si>
    <t>ANTICIPOS Y AVANCES ENTREGADOS</t>
  </si>
  <si>
    <t>POR HONORARIOS</t>
  </si>
  <si>
    <t>PROPIEDAD PLANTA Y EQUPO</t>
  </si>
  <si>
    <t xml:space="preserve">PROPIEDAD PLANTA Y EQUIPO </t>
  </si>
  <si>
    <t>ACTIVOS POR IMPUESTOS DIFERIDOS</t>
  </si>
  <si>
    <t>PASIVO</t>
  </si>
  <si>
    <t>INSTRUMENTOS FINANCIEROS PASIVOS</t>
  </si>
  <si>
    <t>PASIVOS FINANCIEROS</t>
  </si>
  <si>
    <t xml:space="preserve">PRESTAMOS </t>
  </si>
  <si>
    <t xml:space="preserve">ENTIDAD, # CREDITO </t>
  </si>
  <si>
    <t xml:space="preserve">TARJETAS DE CREDITO </t>
  </si>
  <si>
    <t>ENTIDAD, # TC</t>
  </si>
  <si>
    <t>CUENTAS COMERCIALES POR PAGAR</t>
  </si>
  <si>
    <t>PROVEEDORES</t>
  </si>
  <si>
    <t>COSTOS Y GASTOS POR PAGAR</t>
  </si>
  <si>
    <t>HONORARIOS</t>
  </si>
  <si>
    <t xml:space="preserve">HONORARIOS PROFESIONALES </t>
  </si>
  <si>
    <t>SERVICIOS TECNICOS</t>
  </si>
  <si>
    <t>ARRENDAMIENTOS</t>
  </si>
  <si>
    <t>BIENES INMUEBES</t>
  </si>
  <si>
    <t>BIENES MUEBLES</t>
  </si>
  <si>
    <t>SERVICIOS PUBLICOS</t>
  </si>
  <si>
    <t xml:space="preserve">ELECTRICIDAD </t>
  </si>
  <si>
    <t>GAS</t>
  </si>
  <si>
    <t>ACUEDUCTO Y ALCANTARILLADO</t>
  </si>
  <si>
    <t>SEGUROS</t>
  </si>
  <si>
    <t>POLIZAS</t>
  </si>
  <si>
    <t>DEUDAS CON PARTES RELACIONADAS</t>
  </si>
  <si>
    <t>DEUDAS CON ACCIONISTAS O SOCIOS</t>
  </si>
  <si>
    <t>HONORARIOS Y COMISIONES</t>
  </si>
  <si>
    <t>HONORARIOS PERSONAS JURIDICAS 11%</t>
  </si>
  <si>
    <t>HONORARIOS NO DECLARANTES 10%</t>
  </si>
  <si>
    <t>COMISIONES PERSONAS JURIDICAS 11%</t>
  </si>
  <si>
    <t>COMISIONES NO DECLARANTES 10%</t>
  </si>
  <si>
    <t>SERVICIOS</t>
  </si>
  <si>
    <t>GENERALES DECLARANTES 4%</t>
  </si>
  <si>
    <t>GENERALES NO DECLARANTES 6%</t>
  </si>
  <si>
    <t>DE TRANSPORTE DE CARGA 1%</t>
  </si>
  <si>
    <t>DE TRANSPORTE DE PASAJEROS 3.5% DECLARANTES Y NO DECLARANTES</t>
  </si>
  <si>
    <t>DE HOTELES Y RESTAURANTES 3.5% DECLARANTES Y NO DECLARANTES</t>
  </si>
  <si>
    <t>DE LINCENCIAMIENTO O DERECHO DE USO DE SOFTWARE 3.5%</t>
  </si>
  <si>
    <t xml:space="preserve">DE BIENES MUEBLES 4% Declarantes y No declarantes </t>
  </si>
  <si>
    <t>DE BIENES INMUEBLES 3.5% DECLARANTES</t>
  </si>
  <si>
    <t>DE BIENES INMUEBLES 3.5% NO DECLARANTES</t>
  </si>
  <si>
    <t xml:space="preserve">RENDIMIENTOS FINANCIEROS </t>
  </si>
  <si>
    <t>RENDIMIENTOS O INTERESES FINANCIEROS 7%</t>
  </si>
  <si>
    <t xml:space="preserve">COMPRA 2.5% DECLARANTE </t>
  </si>
  <si>
    <t>COMPRAS 3.5% NO DECLARANTE</t>
  </si>
  <si>
    <t>ENAJENACION PPE</t>
  </si>
  <si>
    <t>OTROS INGRESOS TRIBUTARIOS</t>
  </si>
  <si>
    <t>GENERALES DECLARANTES 2.5%</t>
  </si>
  <si>
    <t>GENERALES NO DECLARANTES 3.5%</t>
  </si>
  <si>
    <t xml:space="preserve">RETENCION EN LA FUENTE POR PAGAR </t>
  </si>
  <si>
    <t xml:space="preserve">RETENCION DE ICA </t>
  </si>
  <si>
    <t>RETENCION DE ICA</t>
  </si>
  <si>
    <t>RETENCION DE ICA 9,66 * MIL</t>
  </si>
  <si>
    <t>RETENCION DE ICA 6.9x1000</t>
  </si>
  <si>
    <t>RETENCION DE ICA 8.66x1000</t>
  </si>
  <si>
    <t>ACREEDORES VARIOS</t>
  </si>
  <si>
    <t>IMPUESTO GRAVAMENES Y TASAS</t>
  </si>
  <si>
    <t xml:space="preserve">DE RENTA Y COMPLEMENTARIOS </t>
  </si>
  <si>
    <t xml:space="preserve">VIGENCIA FISCAL CORRIENTE </t>
  </si>
  <si>
    <t>VIGENCIA FISCAL CORRIENTE</t>
  </si>
  <si>
    <t>VIGENCIAS FISCALES ANTERIORES</t>
  </si>
  <si>
    <t>IMPUESTO SOBRE LAS VENTAS - IVA</t>
  </si>
  <si>
    <t xml:space="preserve">IVA GENERADO </t>
  </si>
  <si>
    <t>IVA GENERADO A LA TARIFA GENERAL 19%</t>
  </si>
  <si>
    <t>IVA GENERADO EN DEVOLUCIONES DE COMPRAS</t>
  </si>
  <si>
    <t>IVA EN DEVOLUCION EN COMPRAS A LA TARIFA GENERAL 19%</t>
  </si>
  <si>
    <t xml:space="preserve">IVA DESCONTABLE POR COMPRA DE BIENES </t>
  </si>
  <si>
    <t>A TARIFA GENERAL 19%</t>
  </si>
  <si>
    <t xml:space="preserve">IVA DESCONTABLE POR SERVICIOS </t>
  </si>
  <si>
    <t>IVA DESCONTABLE POR DEVOLUCIONES EN VENTAS</t>
  </si>
  <si>
    <t>A TARIFA GENERAL 19% DE BIENES</t>
  </si>
  <si>
    <t xml:space="preserve">A TARIFA GENERAL 19% DE SERVICIOS </t>
  </si>
  <si>
    <t xml:space="preserve">IMPUESTO A LAS VENTAS A PAGAR </t>
  </si>
  <si>
    <t>IMPUESTO A LAS VENTAS POR PAGAR</t>
  </si>
  <si>
    <t xml:space="preserve">DE INDUSTRIA Y COMERCIO </t>
  </si>
  <si>
    <t>VIGENCIA FISCAL ANTERIORES</t>
  </si>
  <si>
    <t>BENEFICIOS A LOS EMPLEADOS</t>
  </si>
  <si>
    <t>OBLIGACIONES LABORALES</t>
  </si>
  <si>
    <t>SALARIOS POR PAGAR</t>
  </si>
  <si>
    <t>SALARIOS</t>
  </si>
  <si>
    <t>CESANTIAS CONSOLIDADAS</t>
  </si>
  <si>
    <t>LEY 50 DE 1990 Y NORMAS POSTERIORES</t>
  </si>
  <si>
    <t>CESANTIAS ESTIMADAS DURANTE EL PERIODO</t>
  </si>
  <si>
    <t>CESANTIAS POR PAGAR</t>
  </si>
  <si>
    <t>INTERESES SOBRE CESANTIAS</t>
  </si>
  <si>
    <t>INTERESES DE CESANTIAS ESTIMADAS DURANTE EL PERIODO</t>
  </si>
  <si>
    <t>INTERESES DE CESANTIAS POR PAGAR</t>
  </si>
  <si>
    <t>PRIMA DE SERVICIOS</t>
  </si>
  <si>
    <t xml:space="preserve">PRIMA ESTIMADA DURANTE EL PERIODO </t>
  </si>
  <si>
    <t>PRIMA POR PAGAR</t>
  </si>
  <si>
    <t>VACACIONES CONSOLIDADAS</t>
  </si>
  <si>
    <t>VACACIONES ESTIMADA DURANTE EL PERIODO</t>
  </si>
  <si>
    <t>VACACIONES POR PAGAR</t>
  </si>
  <si>
    <t>INDEMNIZACIONES LABORALES</t>
  </si>
  <si>
    <t>RETENCIONES Y APORTES DE NOMINA</t>
  </si>
  <si>
    <t>APORTES A ENTIDADES PROMOTORAS DE SALUD EPS</t>
  </si>
  <si>
    <t>APORTES ENTIDADES PROMOTORAS DE SALUD EPS</t>
  </si>
  <si>
    <t>APORTES ARL</t>
  </si>
  <si>
    <t xml:space="preserve">APORTES ARL </t>
  </si>
  <si>
    <t>APORTES PARAFISCALES</t>
  </si>
  <si>
    <t>CAJA COMPENSACION FAMILIAR</t>
  </si>
  <si>
    <t>EMBARGOS JUDICIALES</t>
  </si>
  <si>
    <t>FONDOS</t>
  </si>
  <si>
    <t xml:space="preserve">FONDOS VOLUNTARIOS </t>
  </si>
  <si>
    <t>APORTES A FONDOS DE CESANTIAS Y/O PENSIONES</t>
  </si>
  <si>
    <t>FONDOS DE CESANTIAS Y/O PENSIONES</t>
  </si>
  <si>
    <t>FONDO DE PENSIONES OBLIGATORIAS</t>
  </si>
  <si>
    <t>INGRESOS RECIBIDOS POR ANTICIPADOS</t>
  </si>
  <si>
    <t>DE CLIENTES</t>
  </si>
  <si>
    <t>OTROS PASIVOS</t>
  </si>
  <si>
    <t>ANTICIPOS Y AVANCES RECIBIDOS</t>
  </si>
  <si>
    <t>DEPOSITOS RECIBIDOS</t>
  </si>
  <si>
    <t>DE VINCULADOS ECONOMICOS</t>
  </si>
  <si>
    <t>INGRESO DE CLIENTES</t>
  </si>
  <si>
    <t>INGRESOS RECIBIDOS PARA TERCEROS</t>
  </si>
  <si>
    <t>VALORES RECIBIDOS PARA TERCEROS</t>
  </si>
  <si>
    <t>PATRIMONIO</t>
  </si>
  <si>
    <t>CAPITAL SOCIAL</t>
  </si>
  <si>
    <t>APORTES SOCIALES</t>
  </si>
  <si>
    <t>KAREN LICETH TAPIAS RUBIANO</t>
  </si>
  <si>
    <t>RESERVAS</t>
  </si>
  <si>
    <t>RESERVAS OBLIGATORIAS</t>
  </si>
  <si>
    <t xml:space="preserve">RESERVAS LEGAL </t>
  </si>
  <si>
    <t>RESERVAS ESTATUTARIAS</t>
  </si>
  <si>
    <t>PARA FUTURAS CAPITALIZACIONES</t>
  </si>
  <si>
    <t>REVALORIZACION DEL PATRIMONIO</t>
  </si>
  <si>
    <t>AJUSTES POR INFLACION</t>
  </si>
  <si>
    <t>DE CAPITAL SOCIAL</t>
  </si>
  <si>
    <t>RESULTADO DEL EJERCICIO</t>
  </si>
  <si>
    <t>UTILIDAD DEL EJERCICIO</t>
  </si>
  <si>
    <t>RESULTADO DEL EJERCICIO - utilidad</t>
  </si>
  <si>
    <t>PERDIDA DEL EJERCICIO</t>
  </si>
  <si>
    <t>RESULTADO DEL EJERCICIO - Perdida</t>
  </si>
  <si>
    <t>RESULTADOS DE EJERCICIOS ANTERIORES</t>
  </si>
  <si>
    <t>EXCEDENTES ACUMULADOS</t>
  </si>
  <si>
    <t>UTILIDADES AÑOS ANTERIORES</t>
  </si>
  <si>
    <t>PERDIDAS ACUMULADAS</t>
  </si>
  <si>
    <t>PERDIDA AÑOS ANTERIORES</t>
  </si>
  <si>
    <t>INGRESOS</t>
  </si>
  <si>
    <t>OPERACIONALES</t>
  </si>
  <si>
    <t>INGRESOS DE ACTIVIDADES ORDINARIAS</t>
  </si>
  <si>
    <t>ACTIVIDAD 1</t>
  </si>
  <si>
    <t>ACTIVIDAD 2</t>
  </si>
  <si>
    <t>DEVOLUCIONES, REBAJAS Y DESCUENTOS EN VENTAS (DB)</t>
  </si>
  <si>
    <t>DEVOLUCION REBAS Y DESCUENTOS EN VENTAS</t>
  </si>
  <si>
    <t>NO OPERACIONALES</t>
  </si>
  <si>
    <t>FINANCIEROS</t>
  </si>
  <si>
    <t>INTERESES</t>
  </si>
  <si>
    <t xml:space="preserve">INTERESES BANCARIOS </t>
  </si>
  <si>
    <t>RECUPERACIONES</t>
  </si>
  <si>
    <t>INGRESOS AÑOS ANTERIORES</t>
  </si>
  <si>
    <t>INGRESOS AÑOS ANTERIORES - GRAVADOS</t>
  </si>
  <si>
    <t>INGRESOS AÑOS ANTERIORES - NO GRAVADOS (por ejemplo ingresos por provisiones, o gastos no fiscales)</t>
  </si>
  <si>
    <t>DIVERSOS</t>
  </si>
  <si>
    <t>APROVECHAMIENTOS</t>
  </si>
  <si>
    <t xml:space="preserve">APROVECHAMIENTOS </t>
  </si>
  <si>
    <t>INGRESOS NO GRAVADOS</t>
  </si>
  <si>
    <t xml:space="preserve">INGRESOS NO GRAVADOS </t>
  </si>
  <si>
    <t>AJUSTE AL PESO</t>
  </si>
  <si>
    <t xml:space="preserve">AJUSTE AL PESO </t>
  </si>
  <si>
    <t>GASTOS</t>
  </si>
  <si>
    <t>OPERACIONALES DE ADMINISTRACION</t>
  </si>
  <si>
    <t>GASTOS DE PERSONAL</t>
  </si>
  <si>
    <t>SALARIO INTEGRAL</t>
  </si>
  <si>
    <t>SUELDOS</t>
  </si>
  <si>
    <t xml:space="preserve">SUELDOS </t>
  </si>
  <si>
    <t>HORAS EXTRAS Y RECARGOS</t>
  </si>
  <si>
    <t xml:space="preserve">HORAS EXTRAS  Y RECARGOS </t>
  </si>
  <si>
    <t>VIATICOS</t>
  </si>
  <si>
    <t>AUXILIO DE TRANSPORTE</t>
  </si>
  <si>
    <t>CESANTIAS</t>
  </si>
  <si>
    <t>VACACIONES</t>
  </si>
  <si>
    <t>BONIFICACIONES</t>
  </si>
  <si>
    <t>DOTACION Y SUMINISTRO A TRABAJADORES</t>
  </si>
  <si>
    <t>DOTACION Y SUMINSTRO A TRABAJADORES</t>
  </si>
  <si>
    <t>INDEMNIZACION LABORAL</t>
  </si>
  <si>
    <t>CAPACITACION AL PERSONAL</t>
  </si>
  <si>
    <t xml:space="preserve">CAPACITACION AL PERSONAL </t>
  </si>
  <si>
    <t>APORTES ADMINISTRADORA RIESGOS</t>
  </si>
  <si>
    <t>APORTES AL I.S.S</t>
  </si>
  <si>
    <t>APORTES A EPS</t>
  </si>
  <si>
    <t>APORTES A FONDOS DE PENSIONES</t>
  </si>
  <si>
    <t>APORTES CAJAS DE COMPENSACION FAMILIAR</t>
  </si>
  <si>
    <t xml:space="preserve">OTROS </t>
  </si>
  <si>
    <t>ASESORIA FINANCIERA</t>
  </si>
  <si>
    <t>ASESORIA FINANCIERA - (No declarantes 10%) Persona Natural</t>
  </si>
  <si>
    <t>ASESORIA FINANCIERA - (Declarantes 11%) - Naturales o Juridica</t>
  </si>
  <si>
    <t>ASESORIA FINANCIERA - 11% Persona Juridica</t>
  </si>
  <si>
    <t xml:space="preserve">AUDITORIA </t>
  </si>
  <si>
    <t>AUDITORIA EXTERNA - (No declarantes 10%) Persona Natural</t>
  </si>
  <si>
    <t>AUDITORIA EXTERNA - (Declarantes 11%) - Naturales o Juridica</t>
  </si>
  <si>
    <t>AUDITORIA EXTERNA - 11% Persona Juridica</t>
  </si>
  <si>
    <t xml:space="preserve">AVALUOS </t>
  </si>
  <si>
    <t>AVALUOS  - (No declarantes 10%) Persona Natural</t>
  </si>
  <si>
    <t>AVALUOS  - (Declarantes 11%) - Naturales o Juridica</t>
  </si>
  <si>
    <t>AVALUOS  - 11% Persona Juridica</t>
  </si>
  <si>
    <t>ASESORIA JURIDICA</t>
  </si>
  <si>
    <t>ASESORIA JURIDICA - (No declarantes 10%) Persona Natural</t>
  </si>
  <si>
    <t>ASESORIA JURIDICA - (Declarantes 11%) - Naturales o Juridica</t>
  </si>
  <si>
    <t>ASESORIA JURIDICA - 11% Persona Juridica</t>
  </si>
  <si>
    <t>ASESORIA TECNICA</t>
  </si>
  <si>
    <t>ASESORIA TECNICA - (No declarantes 10%) Persona Natural</t>
  </si>
  <si>
    <t>ASESORIA TECNICA - (Declarantes 11%) - Naturales o Juridica</t>
  </si>
  <si>
    <t>ASESORIA TECNICA - 11% Persona Juridica</t>
  </si>
  <si>
    <t>OTROS - (No declarantes 10%) Persona Natural</t>
  </si>
  <si>
    <t>OTROS - (Declarantes 11%) - Naturales o Juridica</t>
  </si>
  <si>
    <t>OTROS - 11% Persona Juridica</t>
  </si>
  <si>
    <t>IMPUESTOS</t>
  </si>
  <si>
    <t xml:space="preserve">INDUSTRIAY COMERCIO </t>
  </si>
  <si>
    <t>INDUSTRIA Y COMERCIO - Bogota (ejemplo en el caso que presente ICA en diferenetes ciudades, o puede reemplazar ciudad por %)</t>
  </si>
  <si>
    <t>INDUSTRIA Y COMERCIO - Medellin (ejemplo en el caso que presente ICA en diferenetes ciudades, o puede reemplazar ciudad por %)</t>
  </si>
  <si>
    <t xml:space="preserve">IVA MAYOR VALOR DEL GASTO </t>
  </si>
  <si>
    <t>IVA MAYOR VALOR DEL GASTO  por ej. Por honorarios</t>
  </si>
  <si>
    <t>IVA MAYOR VALOR DEL GASTO  por ej. Por Arrendamientos</t>
  </si>
  <si>
    <t>IVA MAYOR VALOR DEL GASTO  por ej. (segun el tipo de gastos, por si quieren identificarlos pensando en exogena)</t>
  </si>
  <si>
    <t>BIENES INMUEBLES</t>
  </si>
  <si>
    <t xml:space="preserve">BIENES INMUEBLES/  declarantes y no declarantes Persona Natural </t>
  </si>
  <si>
    <t>BIENES INMUEBLES/  declarantes y no declarantes Persona Juridica</t>
  </si>
  <si>
    <t xml:space="preserve">BIENES MUEBLES/  declarantes y no declarantes Persona Natural </t>
  </si>
  <si>
    <t>BIENES MUEBLES/  declarantes y no declarantes Persona Juridica</t>
  </si>
  <si>
    <t>DE CUMPLIMINETO</t>
  </si>
  <si>
    <t xml:space="preserve">POLIZA DE SEGUROS VEHICULOS </t>
  </si>
  <si>
    <t>RESPONSABILIDAD CIVIL Y EXTRACONTRACTUAL</t>
  </si>
  <si>
    <t>ASEO Y VIGILANCIA</t>
  </si>
  <si>
    <t>ENERGIA ELECTRICA</t>
  </si>
  <si>
    <t xml:space="preserve">TELEFONO - CELULAR </t>
  </si>
  <si>
    <t xml:space="preserve">TELEFONO </t>
  </si>
  <si>
    <t xml:space="preserve">CELULAR </t>
  </si>
  <si>
    <t>INTERNET</t>
  </si>
  <si>
    <t>CORREO, PORTES Y TELEGRAMAS</t>
  </si>
  <si>
    <t>TRANSPORTE, FLETES Y ACARREOS</t>
  </si>
  <si>
    <t>GASTOS LEGALES</t>
  </si>
  <si>
    <t>NOTARIALES</t>
  </si>
  <si>
    <t>REGISTRO MERCANTIL</t>
  </si>
  <si>
    <t>CERTIFICADOS DIGITALES</t>
  </si>
  <si>
    <t xml:space="preserve">CAMARA COMERCIO </t>
  </si>
  <si>
    <t xml:space="preserve">CAMARA DE COMERCIO </t>
  </si>
  <si>
    <t>MANTENIMIENTO Y REPARACIONES</t>
  </si>
  <si>
    <t>PROPIOS</t>
  </si>
  <si>
    <t xml:space="preserve">ARRENDADOS </t>
  </si>
  <si>
    <t xml:space="preserve">VEHICULOS </t>
  </si>
  <si>
    <t>ADECUACION E INSTALACION</t>
  </si>
  <si>
    <t>REPARACIONES LOCATIVAS</t>
  </si>
  <si>
    <t xml:space="preserve">REPARACIONES LOCATIVAS BIENES INMMUEBLES </t>
  </si>
  <si>
    <t>GASTOS DE VIAJE</t>
  </si>
  <si>
    <t>ALOJAMIENTO Y MANUTENCION</t>
  </si>
  <si>
    <t>PASAJES AEREOS</t>
  </si>
  <si>
    <t xml:space="preserve">PASAJES AEREOS </t>
  </si>
  <si>
    <t>PASAJES TERRESTRES</t>
  </si>
  <si>
    <t>DEPRECIACIONES</t>
  </si>
  <si>
    <t xml:space="preserve">EQUIPO COMUNICACION </t>
  </si>
  <si>
    <t>AMORTIZACIONES</t>
  </si>
  <si>
    <t xml:space="preserve">GASTOS REPRESENTACION </t>
  </si>
  <si>
    <t>ELEMENTOS DE ASEO Y CAFETERIA</t>
  </si>
  <si>
    <t>UTILES, PAPELERIA Y FOTOCOPIAS</t>
  </si>
  <si>
    <t>COMBUSTIBLE Y LUBRICANTES</t>
  </si>
  <si>
    <t>TAXIS Y BUSES</t>
  </si>
  <si>
    <t>CASINO Y RESTAURANTE</t>
  </si>
  <si>
    <t>PARQUEADEROS</t>
  </si>
  <si>
    <t xml:space="preserve">GRAVAMEN A LOS MOVIMIENTOS FINANCIEROS </t>
  </si>
  <si>
    <t xml:space="preserve">GASTOS BANCARIOS </t>
  </si>
  <si>
    <t>COMISIONES</t>
  </si>
  <si>
    <t>GASTOS EXTRAORDINARIOS</t>
  </si>
  <si>
    <t>COSTOS Y GASTOS DE EJERCICIOS ANTERIORES</t>
  </si>
  <si>
    <t>IMPUESTOS ASUMIDOS</t>
  </si>
  <si>
    <t xml:space="preserve">RETENCIONES EN LA FUENTE </t>
  </si>
  <si>
    <t>GASTOS DIVERSOS</t>
  </si>
  <si>
    <t xml:space="preserve">GASTOS ASUMIDOS </t>
  </si>
  <si>
    <t xml:space="preserve">APORTES SEGURIDAD SOCIAL NO DEDUCIBLE </t>
  </si>
  <si>
    <t>MULTAS, SANCIONES Y LITIGIOS</t>
  </si>
  <si>
    <t>DONACIONES</t>
  </si>
  <si>
    <t xml:space="preserve">IMPUESTO DE RENTA Y COMPLEMENTARIO </t>
  </si>
  <si>
    <t xml:space="preserve">IMPUESTO DE RENTA Y COMPLEMENTARIOS </t>
  </si>
  <si>
    <t>GANANCIAS Y PERDIDAS</t>
  </si>
  <si>
    <t xml:space="preserve">GANANCIAS Y PERDIDAS </t>
  </si>
  <si>
    <t>COSTOS DE VENTA</t>
  </si>
  <si>
    <t xml:space="preserve">COOSTO DE VENTAS Y PRESTACIN DE SERVICIOS </t>
  </si>
  <si>
    <t xml:space="preserve">COMPRAS </t>
  </si>
  <si>
    <t>DE MERCNCIAS</t>
  </si>
  <si>
    <t>Nombre Segun la necesidad de la empresa</t>
  </si>
  <si>
    <t xml:space="preserve">DE MATERIAS PRIMAS </t>
  </si>
  <si>
    <t>DE MATERIALES INIRECTOS</t>
  </si>
  <si>
    <t>COMPRA DE ENERGIA</t>
  </si>
  <si>
    <t>LIBRO MAYOR</t>
  </si>
  <si>
    <t>CODIGO</t>
  </si>
  <si>
    <t>DENOMINACION</t>
  </si>
  <si>
    <t>FECHA DE LA OPERACIÓN</t>
  </si>
  <si>
    <t>DETALLE</t>
  </si>
  <si>
    <t>SALDOS Y MOVIMIENTOS</t>
  </si>
  <si>
    <t>Totales</t>
  </si>
  <si>
    <t>Saldo próximo mes</t>
  </si>
  <si>
    <t>PG</t>
  </si>
  <si>
    <t>PL</t>
  </si>
  <si>
    <t>CÓDIGO</t>
  </si>
  <si>
    <t>COLORES</t>
  </si>
  <si>
    <t>Violeta</t>
  </si>
  <si>
    <t>Beige</t>
  </si>
  <si>
    <t>Amarillo Limon</t>
  </si>
  <si>
    <t>AM01</t>
  </si>
  <si>
    <t>AZ01</t>
  </si>
  <si>
    <t>GR01</t>
  </si>
  <si>
    <t>AM02</t>
  </si>
  <si>
    <t>AZ02</t>
  </si>
  <si>
    <t>BG01</t>
  </si>
  <si>
    <t>BL00</t>
  </si>
  <si>
    <t>GD01</t>
  </si>
  <si>
    <t>CB01</t>
  </si>
  <si>
    <t>MM01</t>
  </si>
  <si>
    <t>NJ02</t>
  </si>
  <si>
    <t>NT01</t>
  </si>
  <si>
    <t>NE11</t>
  </si>
  <si>
    <t>RB01</t>
  </si>
  <si>
    <t>RJ01</t>
  </si>
  <si>
    <t>RS01</t>
  </si>
  <si>
    <t>VR01</t>
  </si>
  <si>
    <t>VR02</t>
  </si>
  <si>
    <t>VL01</t>
  </si>
  <si>
    <t>Azul Grisaseo</t>
  </si>
  <si>
    <t>Marmol Amarillo</t>
  </si>
  <si>
    <t>Marmol Azul</t>
  </si>
  <si>
    <t>Marmol gris</t>
  </si>
  <si>
    <t>AM03</t>
  </si>
  <si>
    <t>MM02</t>
  </si>
  <si>
    <t>MM03</t>
  </si>
  <si>
    <t>MM04</t>
  </si>
  <si>
    <t>Naranja</t>
  </si>
  <si>
    <t>NJ01</t>
  </si>
  <si>
    <t>Imanes</t>
  </si>
  <si>
    <t>Azul Pastel</t>
  </si>
  <si>
    <t>PLA Arrow Silk Bright Gold  1kg 1.75mm</t>
  </si>
  <si>
    <t>PLA ARROW Chameleon Reddish Brown 1kg 1.75mm</t>
  </si>
  <si>
    <t>Blanco Menta</t>
  </si>
  <si>
    <t>BL01</t>
  </si>
  <si>
    <t>Granito</t>
  </si>
  <si>
    <t>GT01</t>
  </si>
  <si>
    <t>Rojo Frambuesa</t>
  </si>
  <si>
    <t>RJ02</t>
  </si>
  <si>
    <t>Plateado</t>
  </si>
  <si>
    <t>PD01</t>
  </si>
  <si>
    <t>Blanco Jade</t>
  </si>
  <si>
    <t>Amarillo Girasol</t>
  </si>
  <si>
    <t>Naranja Calabaza</t>
  </si>
  <si>
    <t>Verde Brillante</t>
  </si>
  <si>
    <t>Verde Bambú</t>
  </si>
  <si>
    <t>Verde Muerdago</t>
  </si>
  <si>
    <t>Rosado</t>
  </si>
  <si>
    <t>Rosado Intenso</t>
  </si>
  <si>
    <t>Magenta</t>
  </si>
  <si>
    <t>Rojo Grante</t>
  </si>
  <si>
    <t>Morado Índigo</t>
  </si>
  <si>
    <t>Turquesa</t>
  </si>
  <si>
    <t>Cian</t>
  </si>
  <si>
    <t>Azul Cobalto</t>
  </si>
  <si>
    <t>Marrón Cacao</t>
  </si>
  <si>
    <t>Gris Oscuro</t>
  </si>
  <si>
    <t>Blanco Marfil Mate</t>
  </si>
  <si>
    <t>Blanco Hueso Mate</t>
  </si>
  <si>
    <t>Amarillo Limón Mate</t>
  </si>
  <si>
    <t>Naranja Mandarina Mate</t>
  </si>
  <si>
    <t>Rosa Sakura Mate</t>
  </si>
  <si>
    <t>Morado Lila Mate</t>
  </si>
  <si>
    <t>Ciruela Mate</t>
  </si>
  <si>
    <t>Rojo Escarlata Mate</t>
  </si>
  <si>
    <t>Rojo Oscuro Mate</t>
  </si>
  <si>
    <t>Verde Manzana Mate</t>
  </si>
  <si>
    <t>Verde Hierba Mate</t>
  </si>
  <si>
    <t>Verde Oscuro Mate</t>
  </si>
  <si>
    <t>Azul Hielo Mate</t>
  </si>
  <si>
    <t>Azul Cielo Mate</t>
  </si>
  <si>
    <t>Azul Marino Mate</t>
  </si>
  <si>
    <t>Azul Oscuro Mate</t>
  </si>
  <si>
    <t>Marrón Desierto Mate</t>
  </si>
  <si>
    <t>Marrón Latte Mate</t>
  </si>
  <si>
    <t>Caramelo Mate</t>
  </si>
  <si>
    <t>Terracota Mate</t>
  </si>
  <si>
    <t>Marrón Oscuro Mate</t>
  </si>
  <si>
    <t>Chocolate Oscuro Mate</t>
  </si>
  <si>
    <t>Gris Ceniza Mate</t>
  </si>
  <si>
    <t>Gris Nardo Mate</t>
  </si>
  <si>
    <t>Carbón Mate</t>
  </si>
  <si>
    <t>Azul Marino</t>
  </si>
  <si>
    <t>Beige Oscuro</t>
  </si>
  <si>
    <t>Marrón Oscuro</t>
  </si>
  <si>
    <t>Azul Brumoso</t>
  </si>
  <si>
    <t>BL02</t>
  </si>
  <si>
    <t>AM04</t>
  </si>
  <si>
    <t>BL03</t>
  </si>
  <si>
    <t>BL04</t>
  </si>
  <si>
    <t>GR04</t>
  </si>
  <si>
    <t>AZ03</t>
  </si>
  <si>
    <t>AZ04</t>
  </si>
  <si>
    <t>AZ05</t>
  </si>
  <si>
    <t>AZ06</t>
  </si>
  <si>
    <t>AZ07</t>
  </si>
  <si>
    <t>AZ08</t>
  </si>
  <si>
    <t>AZ09</t>
  </si>
  <si>
    <t>AZ10</t>
  </si>
  <si>
    <t>BG02</t>
  </si>
  <si>
    <t>CR01</t>
  </si>
  <si>
    <t>CN01</t>
  </si>
  <si>
    <t>CH01</t>
  </si>
  <si>
    <t>CI01</t>
  </si>
  <si>
    <t>CL01</t>
  </si>
  <si>
    <t>GR02</t>
  </si>
  <si>
    <t>GR03</t>
  </si>
  <si>
    <t>MG01</t>
  </si>
  <si>
    <t>MN01</t>
  </si>
  <si>
    <t>MN02</t>
  </si>
  <si>
    <t>MN03</t>
  </si>
  <si>
    <t>MN04</t>
  </si>
  <si>
    <t>MN05</t>
  </si>
  <si>
    <t>MN06</t>
  </si>
  <si>
    <t>MR01</t>
  </si>
  <si>
    <t>MR02</t>
  </si>
  <si>
    <t>MR03</t>
  </si>
  <si>
    <t>NJ03</t>
  </si>
  <si>
    <t>NJ04</t>
  </si>
  <si>
    <t>RJ03</t>
  </si>
  <si>
    <t>RJ04</t>
  </si>
  <si>
    <t>RJ05</t>
  </si>
  <si>
    <t>RS02</t>
  </si>
  <si>
    <t>RS03</t>
  </si>
  <si>
    <t>RS04</t>
  </si>
  <si>
    <t>TC01</t>
  </si>
  <si>
    <t>TQ01</t>
  </si>
  <si>
    <t>VR03</t>
  </si>
  <si>
    <t>VR04</t>
  </si>
  <si>
    <t>VR05</t>
  </si>
  <si>
    <t>VR06</t>
  </si>
  <si>
    <t>VR07</t>
  </si>
  <si>
    <t>VR08</t>
  </si>
  <si>
    <t>Columna1</t>
  </si>
  <si>
    <t>PGAM01-01</t>
  </si>
  <si>
    <t>PLAZ01-01</t>
  </si>
  <si>
    <t>PLAZ02-01</t>
  </si>
  <si>
    <t>PGBL00-01</t>
  </si>
  <si>
    <t>PGBL00-02</t>
  </si>
  <si>
    <t>PGBL00-03</t>
  </si>
  <si>
    <t>PGBL00-04</t>
  </si>
  <si>
    <t>PGBL00-05</t>
  </si>
  <si>
    <t>PLBL00-01</t>
  </si>
  <si>
    <t>PLBL00-02</t>
  </si>
  <si>
    <t>PLGD01-01</t>
  </si>
  <si>
    <t>PLCB01-01</t>
  </si>
  <si>
    <t>PGGR01-01</t>
  </si>
  <si>
    <t>PLMM01-01</t>
  </si>
  <si>
    <t>PLMR01-01</t>
  </si>
  <si>
    <t>PLNJ02-01</t>
  </si>
  <si>
    <t>PLNT01-01</t>
  </si>
  <si>
    <t>PGNE11-01</t>
  </si>
  <si>
    <t>PGNE11-02</t>
  </si>
  <si>
    <t>PGNE11-03</t>
  </si>
  <si>
    <t>PLNE11-01</t>
  </si>
  <si>
    <t>PLNE11-02</t>
  </si>
  <si>
    <t>PLRB01-01</t>
  </si>
  <si>
    <t>PLRJ01-01</t>
  </si>
  <si>
    <t>PGRJ01-02</t>
  </si>
  <si>
    <t>PGRJ01-03</t>
  </si>
  <si>
    <t>PGRJ01-04</t>
  </si>
  <si>
    <t>PGRJ01-01</t>
  </si>
  <si>
    <t>PLRS01-01</t>
  </si>
  <si>
    <t>PGVR01-01</t>
  </si>
  <si>
    <t>PLVR02-01</t>
  </si>
  <si>
    <t>PLRJ01-02</t>
  </si>
  <si>
    <t>ID Asiento</t>
  </si>
  <si>
    <t>Código PUC</t>
  </si>
  <si>
    <t>Nombre de Cuenta</t>
  </si>
  <si>
    <t>Descripción / Documento</t>
  </si>
  <si>
    <t>Debe</t>
  </si>
  <si>
    <t>Haber</t>
  </si>
  <si>
    <t>INGRESOS DE EXPLOTACIÓN (Clase 4)</t>
  </si>
  <si>
    <t>Costos de explotación (menos)</t>
  </si>
  <si>
    <t>Gastos de administración y ventas (menos)</t>
  </si>
  <si>
    <t>PRISMA LAB</t>
  </si>
  <si>
    <t>TOTAL ACTIVOS CIRCULANTES:</t>
  </si>
  <si>
    <t>Disponible (Caja y Bancos)</t>
  </si>
  <si>
    <t>Deudores por cobrar</t>
  </si>
  <si>
    <t>Inventarios</t>
  </si>
  <si>
    <t>TOTAL ACTIVOS FIJOS:</t>
  </si>
  <si>
    <t>Depreciación (menos)</t>
  </si>
  <si>
    <t>OTROS ACTIVOS:</t>
  </si>
  <si>
    <t>TOTAL ACTIVOS</t>
  </si>
  <si>
    <t>PASIVOS</t>
  </si>
  <si>
    <t>TOTAL PASIVOS CIRCULANTES:</t>
  </si>
  <si>
    <t>Cuentas por pagar y Proveedores</t>
  </si>
  <si>
    <t>Impuestos, gravámenes y tasas</t>
  </si>
  <si>
    <t>TOTAL PASIVOS A LARGO PLAZO:</t>
  </si>
  <si>
    <t>Obligaciones Bancarias</t>
  </si>
  <si>
    <t>TOTAL PATRIMONIO:</t>
  </si>
  <si>
    <t>Capital pagado</t>
  </si>
  <si>
    <t>TOTAL PASIVOS Y PATRIM.</t>
  </si>
  <si>
    <t>Categoría</t>
  </si>
  <si>
    <t>Ingreso ( + )</t>
  </si>
  <si>
    <t>Credito ( – )</t>
  </si>
  <si>
    <t>🧽aseo</t>
  </si>
  <si>
    <t>🏬Arriendo</t>
  </si>
  <si>
    <t>🧻Rollos de filamento</t>
  </si>
  <si>
    <t>🪑 Mantenimiento</t>
  </si>
  <si>
    <t>🖨Impresora 3D</t>
  </si>
  <si>
    <t>Otros</t>
  </si>
  <si>
    <t>🖨Impresora 3D Secador de filamento</t>
  </si>
  <si>
    <t>Caja General</t>
  </si>
  <si>
    <t>Migrado</t>
  </si>
  <si>
    <t>ASEO</t>
  </si>
  <si>
    <t>ARRIENDO</t>
  </si>
  <si>
    <t>MATERIALES</t>
  </si>
  <si>
    <t>MANTENIMIENTO</t>
  </si>
  <si>
    <t>PAPELERIA</t>
  </si>
  <si>
    <t>Migrar</t>
  </si>
  <si>
    <t>Ingresos Financieros (Intereses)</t>
  </si>
  <si>
    <t>Elementos de Aseo y Cafetería</t>
  </si>
  <si>
    <t>Arrendamientos</t>
  </si>
  <si>
    <t>Materiales y Suministros</t>
  </si>
  <si>
    <t>Mantenimiento y Reparaciones</t>
  </si>
  <si>
    <t>Maquinaria y Equipo</t>
  </si>
  <si>
    <t>Útiles, Papelería y Fotocopias</t>
  </si>
  <si>
    <t>🚚Transporte</t>
  </si>
  <si>
    <t>Servicios Públicos</t>
  </si>
  <si>
    <t>Transporte, Fletes y Acarreos</t>
  </si>
  <si>
    <t>RESULTADO DE EXPLOTACIÓN (UTILIDAD BRUTA)</t>
  </si>
  <si>
    <t>Margen Bruto (Rentabilidad del Proceso):</t>
  </si>
  <si>
    <t>Maquinarias y equipos</t>
  </si>
  <si>
    <t>ESTADOS DE RESULTADOS MENSUAL</t>
  </si>
  <si>
    <t>AÑO:</t>
  </si>
  <si>
    <t>MES (1-12):</t>
  </si>
  <si>
    <t>Desde:</t>
  </si>
  <si>
    <t>Hasta:</t>
  </si>
  <si>
    <t>UTILIDAD (pérdida) DEL MES</t>
  </si>
  <si>
    <t>INDICADORES DE RENTABILIDAD DEL MES</t>
  </si>
  <si>
    <t>Margen Neto (Rentabilidad Final libre):</t>
  </si>
  <si>
    <t>ESTADO DE FLUJO DE EFECTIVO MENSUAL</t>
  </si>
  <si>
    <t>Recaudación del mes (Ingresos a Caja/Bancos)</t>
  </si>
  <si>
    <t>Pagos del mes (proveedores, nómina, gastos)</t>
  </si>
  <si>
    <t>FLUJO NETO DEL MES</t>
  </si>
  <si>
    <t>SALDO INICIAL DE EFECTIVO (Meses Anteriores)</t>
  </si>
  <si>
    <t>SALDO FINAL DISPONIBLE EN CAJA Y BANCOS</t>
  </si>
  <si>
    <t>BALANCE GENERAL (ACUMULADO HISTÓRICO)</t>
  </si>
  <si>
    <t>Utilidad (pérdida) histórica total</t>
  </si>
  <si>
    <t>Cotización de Venta</t>
  </si>
  <si>
    <t>Costo de Ventas - Impresión 3D</t>
  </si>
  <si>
    <t>Inv. Materias Primas</t>
  </si>
  <si>
    <t>Serial</t>
  </si>
  <si>
    <t>MAYOR Y BALANCES - PRISMA LAB</t>
  </si>
  <si>
    <t>DÉBITOS MES</t>
  </si>
  <si>
    <t>CRÉDITOS MES</t>
  </si>
  <si>
    <t>NUEVO SALDO</t>
  </si>
  <si>
    <t>CUENTA DEL PUC / AUXILIAR</t>
  </si>
  <si>
    <t>Caja</t>
  </si>
  <si>
    <t>Ingresos Op. - Industrias Manufactureras</t>
  </si>
  <si>
    <t>Costo de Ventas - Industrias Manufactureras</t>
  </si>
  <si>
    <t>Inventario de Materias Primas</t>
  </si>
  <si>
    <t>Servicios (Energía, Agua, Internet)</t>
  </si>
  <si>
    <t>Costos de Producción - Costos Indirectos (CIF)</t>
  </si>
  <si>
    <t>Ingresos Financieros</t>
  </si>
  <si>
    <t>Gastos Diversos (Útiles, Elementos Taller)</t>
  </si>
  <si>
    <t>Ingresos por Ventas</t>
  </si>
  <si>
    <t>Costo de Venta Manufactura</t>
  </si>
  <si>
    <t>Inv. Productos Terminados</t>
  </si>
  <si>
    <t>Inventario de Productos Terminados</t>
  </si>
  <si>
    <t>Costos de Producción</t>
  </si>
  <si>
    <t>Costos y Gastos por Pagar</t>
  </si>
  <si>
    <t>Costos de Producción - Materia Prima</t>
  </si>
  <si>
    <t>CATEGORIA</t>
  </si>
  <si>
    <t>PUC</t>
  </si>
  <si>
    <t>VENTAS</t>
  </si>
  <si>
    <t>IMPRESIÓN 3D</t>
  </si>
  <si>
    <t>PRODUCTO TERMINADO</t>
  </si>
  <si>
    <t>Ingreso por servicios de impresión</t>
  </si>
  <si>
    <t>Servicios de Diseño</t>
  </si>
  <si>
    <t xml:space="preserve">DISEÑO </t>
  </si>
  <si>
    <t>MODELADO</t>
  </si>
  <si>
    <t>RENDIMIENTOS</t>
  </si>
  <si>
    <t>UTILIDADES BANCARIAS</t>
  </si>
  <si>
    <t>INTERESES GANADOS</t>
  </si>
  <si>
    <t>RENTABILIDAD</t>
  </si>
  <si>
    <t>Otros Ingresos Diversos</t>
  </si>
  <si>
    <t>OTROS INGRESOS</t>
  </si>
  <si>
    <t>REEMBOLSOS</t>
  </si>
  <si>
    <t>INGRESOS EXTRAS</t>
  </si>
  <si>
    <t>COSTOS DE PRODUCCIÓN Y COMPRAS</t>
  </si>
  <si>
    <t>FILAMENTO</t>
  </si>
  <si>
    <t>RESINA</t>
  </si>
  <si>
    <t>PINTURA</t>
  </si>
  <si>
    <t>INSUMOS</t>
  </si>
  <si>
    <t>De Mercancias (Compras)</t>
  </si>
  <si>
    <t>MERCANCIA</t>
  </si>
  <si>
    <t>COMPRA PARA VENTA</t>
  </si>
  <si>
    <t>GASTOS DE ADMINISTRACIÓN Y VENTA</t>
  </si>
  <si>
    <t>Servicios publicos</t>
  </si>
  <si>
    <t>LIZ</t>
  </si>
  <si>
    <t>AGUA</t>
  </si>
  <si>
    <t>TELEFONO</t>
  </si>
  <si>
    <t>ALQUILER</t>
  </si>
  <si>
    <t>LOCAL</t>
  </si>
  <si>
    <t>Transporte, Fletes, Acarreos</t>
  </si>
  <si>
    <t>TRANSPORTE</t>
  </si>
  <si>
    <t>FLETES</t>
  </si>
  <si>
    <t>ENVIOS</t>
  </si>
  <si>
    <t>DOMICILIOS</t>
  </si>
  <si>
    <t>MENSAJERIA</t>
  </si>
  <si>
    <t>Inversión inicial</t>
  </si>
  <si>
    <t>Capital inicial</t>
  </si>
  <si>
    <t>Aportes Sociales</t>
  </si>
  <si>
    <t>USO INTERNO</t>
  </si>
  <si>
    <t>Costo Material Venta: USO INTERNO</t>
  </si>
  <si>
    <t>Salida Filamento Venta: USO INTERNO</t>
  </si>
  <si>
    <t>Mano de Obra Venta (10%): USO INTERNO</t>
  </si>
  <si>
    <t>Salarios por Pagar (Nómina)</t>
  </si>
  <si>
    <t>Provisión MOD Venta: USO INTERNO</t>
  </si>
  <si>
    <t>Costos Indirectos Venta (CIF): USO INTERNO</t>
  </si>
  <si>
    <t>Provisión CIF Venta: USO INTERNO</t>
  </si>
  <si>
    <t>PRD-003</t>
  </si>
  <si>
    <t>Costo Material Venta: Prisma Lab</t>
  </si>
  <si>
    <t>Salida Filamento Venta: Prisma Lab</t>
  </si>
  <si>
    <t>Mano de Obra Venta (10%): Prisma Lab</t>
  </si>
  <si>
    <t>Provisión MOD Venta: Prisma Lab</t>
  </si>
  <si>
    <t>Costos Indirectos Venta (CIF): Prisma Lab</t>
  </si>
  <si>
    <t>Provisión CIF Venta: Prisma Lab</t>
  </si>
  <si>
    <t>PRD-005</t>
  </si>
  <si>
    <t>Multicolor</t>
  </si>
  <si>
    <t>PRD-006</t>
  </si>
  <si>
    <t>uso interno</t>
  </si>
  <si>
    <t>Costo Material Venta: uso interno</t>
  </si>
  <si>
    <t>Salida Filamento Venta: uso interno</t>
  </si>
  <si>
    <t>Mano de Obra Venta (10%): uso interno</t>
  </si>
  <si>
    <t>Provisión MOD Venta: uso interno</t>
  </si>
  <si>
    <t>Costos Indirectos Venta (CIF): uso interno</t>
  </si>
  <si>
    <t>Provisión CIF Venta: uso interno</t>
  </si>
  <si>
    <t>Costo Material Venta: PRISMA LAB</t>
  </si>
  <si>
    <t>Salida Filamento Venta: PRISMA LAB</t>
  </si>
  <si>
    <t>Mano de Obra Venta (10%): PRISMA LAB</t>
  </si>
  <si>
    <t>Provisión MOD Venta: PRISMA LAB</t>
  </si>
  <si>
    <t>Costos Indirectos Venta (CIF): PRISMA LAB</t>
  </si>
  <si>
    <t>Provisión CIF Venta: PRISMA LAB</t>
  </si>
  <si>
    <t>PRD-007</t>
  </si>
  <si>
    <t xml:space="preserve">Rafael </t>
  </si>
  <si>
    <t xml:space="preserve">Costo Material Venta: Rafael </t>
  </si>
  <si>
    <t xml:space="preserve">Salida Filamento Venta: Rafael </t>
  </si>
  <si>
    <t xml:space="preserve">Mano de Obra Venta (10%): Rafael </t>
  </si>
  <si>
    <t xml:space="preserve">Provisión MOD Venta: Rafael </t>
  </si>
  <si>
    <t xml:space="preserve">Costos Indirectos Venta (CIF): Rafael </t>
  </si>
  <si>
    <t xml:space="preserve">Provisión CIF Venta: Rafael </t>
  </si>
  <si>
    <t>PRD-008</t>
  </si>
  <si>
    <t>PIEZA AUDIFONOS</t>
  </si>
  <si>
    <t>Manuel Gomez</t>
  </si>
  <si>
    <t>Costo Material Venta: Manuel Gomez</t>
  </si>
  <si>
    <t>Salida Filamento Venta: Manuel Gomez</t>
  </si>
  <si>
    <t>Mano de Obra Venta (10%): Manuel Gomez</t>
  </si>
  <si>
    <t>Provisión MOD Venta: Manuel Gomez</t>
  </si>
  <si>
    <t>Costos Indirectos Venta (CIF): Manuel Gomez</t>
  </si>
  <si>
    <t>Provisión CIF Venta: Manuel Gomez</t>
  </si>
  <si>
    <t>PRD-009</t>
  </si>
  <si>
    <t>EQUIPO BAMBULAB REFORZADOR</t>
  </si>
  <si>
    <t>Uso interno</t>
  </si>
  <si>
    <t>Costo Material Venta: Uso interno</t>
  </si>
  <si>
    <t>Salida Filamento Venta: Uso interno</t>
  </si>
  <si>
    <t>Mano de Obra Venta (10%): Uso interno</t>
  </si>
  <si>
    <t>Provisión MOD Venta: Uso interno</t>
  </si>
  <si>
    <t>Costos Indirectos Venta (CIF): Uso interno</t>
  </si>
  <si>
    <t>Provisión CIF Venta: Uso interno</t>
  </si>
  <si>
    <t>PRD-010</t>
  </si>
  <si>
    <t>LLAVERO CATERPILAR</t>
  </si>
  <si>
    <t>Leonardo Ojeda</t>
  </si>
  <si>
    <t>Costo Material Venta: Leonardo Ojeda</t>
  </si>
  <si>
    <t>Salida Filamento Venta: Leonardo Ojeda</t>
  </si>
  <si>
    <t>Mano de Obra Venta (10%): Leonardo Ojeda</t>
  </si>
  <si>
    <t>Provisión MOD Venta: Leonardo Ojeda</t>
  </si>
  <si>
    <t>Costos Indirectos Venta (CIF): Leonardo Ojeda</t>
  </si>
  <si>
    <t>Provisión CIF Venta: Leonardo Ojeda</t>
  </si>
  <si>
    <t>PRD-011</t>
  </si>
  <si>
    <t>PALOMERA BUBBLE</t>
  </si>
  <si>
    <t>Jose Montañez</t>
  </si>
  <si>
    <t>Costo Material Venta: Jose Montañez</t>
  </si>
  <si>
    <t>Salida Filamento Venta: Jose Montañez</t>
  </si>
  <si>
    <t>Mano de Obra Venta (10%): Jose Montañez</t>
  </si>
  <si>
    <t>Provisión MOD Venta: Jose Montañez</t>
  </si>
  <si>
    <t>Costos Indirectos Venta (CIF): Jose Montañez</t>
  </si>
  <si>
    <t>Provisión CIF Venta: Jose Montañez</t>
  </si>
  <si>
    <t>PRD-012</t>
  </si>
  <si>
    <t>AMARILLO</t>
  </si>
  <si>
    <t>ARROW</t>
  </si>
  <si>
    <t>Ingreso Material: PETG Arrow Yellow 1kg 1.75mm (Prov: ARROW)</t>
  </si>
  <si>
    <t>Obligación Compra Material: PETG Arrow Yellow 1kg 1.75mm (Prov: ARROW)</t>
  </si>
  <si>
    <t>BLANCO</t>
  </si>
  <si>
    <t>TOPRINT</t>
  </si>
  <si>
    <t>Ingreso Material: PETG Toprint Blanco 1 kg 1.75mm (Prov: TOPRINT)</t>
  </si>
  <si>
    <t>Obligación Compra Material: PETG Toprint Blanco 1 kg 1.75mm (Prov: TOPRINT)</t>
  </si>
  <si>
    <t>FILL3D</t>
  </si>
  <si>
    <t>Ingreso Material: PETG Fill3D Blanco 1kg 1.75mm (Prov: FILL3D)</t>
  </si>
  <si>
    <t>Obligación Compra Material: PETG Fill3D Blanco 1kg 1.75mm (Prov: FILL3D)</t>
  </si>
  <si>
    <t>GRIS</t>
  </si>
  <si>
    <t>Ingreso Material: PETG Arrow Grey 1kg 1.75mm (Prov: ARROW)</t>
  </si>
  <si>
    <t>Obligación Compra Material: PETG Arrow Grey 1kg 1.75mm (Prov: ARROW)</t>
  </si>
  <si>
    <t>NEGRO</t>
  </si>
  <si>
    <t>Ingreso Material: PETG Fill3D Negro 1kg 1.75mm (Prov: FILL3D)</t>
  </si>
  <si>
    <t>Obligación Compra Material: PETG Fill3D Negro 1kg 1.75mm (Prov: FILL3D)</t>
  </si>
  <si>
    <t>ROJO</t>
  </si>
  <si>
    <t>Ingreso Material: PETG Arrow Red 1kg 1.75mm (Prov: ARROW)</t>
  </si>
  <si>
    <t>Obligación Compra Material: PETG Arrow Red 1kg 1.75mm (Prov: ARROW)</t>
  </si>
  <si>
    <t>Ingreso Material: PETG Fill3D Rojo 1kg 1.75mm (Prov: FILL3D)</t>
  </si>
  <si>
    <t>Obligación Compra Material: PETG Fill3D Rojo 1kg 1.75mm (Prov: FILL3D)</t>
  </si>
  <si>
    <t>VERDE CLARO</t>
  </si>
  <si>
    <t>Ingreso Material: PETG Arrow Green 1kg 1.75mm (Prov: ARROW)</t>
  </si>
  <si>
    <t>Obligación Compra Material: PETG Arrow Green 1kg 1.75mm (Prov: ARROW)</t>
  </si>
  <si>
    <t>AZUL PASTEL</t>
  </si>
  <si>
    <t>Ingreso Material: PLA Toprint Azul Pastel 1kg 1.75mm (Prov: TOPRINT)</t>
  </si>
  <si>
    <t>Obligación Compra Material: PLA Toprint Azul Pastel 1kg 1.75mm (Prov: TOPRINT)</t>
  </si>
  <si>
    <t>AZUL REY</t>
  </si>
  <si>
    <t>Ingreso Material: PLA Toprint Azul Rey 1kg 1.75mm (Prov: TOPRINT)</t>
  </si>
  <si>
    <t>Obligación Compra Material: PLA Toprint Azul Rey 1kg 1.75mm (Prov: TOPRINT)</t>
  </si>
  <si>
    <t>Ingreso Material: PLA Fill3D Turbo HS Blanco 1kg 1.75mm (Prov: FILL3D)</t>
  </si>
  <si>
    <t>Obligación Compra Material: PLA Fill3D Turbo HS Blanco 1kg 1.75mm (Prov: FILL3D)</t>
  </si>
  <si>
    <t>TURBO</t>
  </si>
  <si>
    <t>BRONCE SEDA</t>
  </si>
  <si>
    <t>Ingreso Material: PLA Toprint Bronce Seda 1kg 1.75 mm (Prov: TOPRINT)</t>
  </si>
  <si>
    <t>Obligación Compra Material: PLA Toprint Bronce Seda 1kg 1.75 mm (Prov: TOPRINT)</t>
  </si>
  <si>
    <t>DORADO</t>
  </si>
  <si>
    <t>Ingreso Material: PLA Arrow Silk Bright Gold  1kg 1.75mm (Prov: ARROW)</t>
  </si>
  <si>
    <t>Obligación Compra Material: PLA Arrow Silk Bright Gold  1kg 1.75mm (Prov: ARROW)</t>
  </si>
  <si>
    <t>Dorado</t>
  </si>
  <si>
    <t>MARMOL</t>
  </si>
  <si>
    <t>Ingreso Material: PLA Arrow Marmol 1kg 1.75mm  (Prov: ARROW)</t>
  </si>
  <si>
    <t>Obligación Compra Material: PLA Arrow Marmol 1kg 1.75mm  (Prov: ARROW)</t>
  </si>
  <si>
    <t>MORADO</t>
  </si>
  <si>
    <t>Ingreso Material: PLA Fill3D Turbo HS Morado 1kg 1.75mm (Prov: FILL3D)</t>
  </si>
  <si>
    <t>Obligación Compra Material: PLA Fill3D Turbo HS Morado 1kg 1.75mm (Prov: FILL3D)</t>
  </si>
  <si>
    <t>Ingreso Material: PLA Fill3D Turbo HS Negro 1kg 1.75mm (Prov: FILL3D)</t>
  </si>
  <si>
    <t>Obligación Compra Material: PLA Fill3D Turbo HS Negro 1kg 1.75mm (Prov: FILL3D)</t>
  </si>
  <si>
    <t>NARANJA NEON</t>
  </si>
  <si>
    <t>Ingreso Material: PLA Toprint Naranja Neon 1 kg 1.75mm (Prov: TOPRINT)</t>
  </si>
  <si>
    <t>Obligación Compra Material: PLA Toprint Naranja Neon 1 kg 1.75mm (Prov: TOPRINT)</t>
  </si>
  <si>
    <t>NATURAL</t>
  </si>
  <si>
    <t>Ingreso Material: PLA Toprint Natural 1kg 1.75mm (Prov: TOPRINT)</t>
  </si>
  <si>
    <t>Obligación Compra Material: PLA Toprint Natural 1kg 1.75mm (Prov: TOPRINT)</t>
  </si>
  <si>
    <t>REDDISH BROWN</t>
  </si>
  <si>
    <t>MORADO ESCARCHADO</t>
  </si>
  <si>
    <t>Ingreso Material: PLA ARROW Chameleon Reddish Brown 1kg 1.75mm (Prov: ARROW)</t>
  </si>
  <si>
    <t>Obligación Compra Material: PLA ARROW Chameleon Reddish Brown 1kg 1.75mm (Prov: ARROW)</t>
  </si>
  <si>
    <t>Ingreso Material: PLA Fill3D Turbo HS Rojo 1kg 1.75mm (Prov: FILL3D)</t>
  </si>
  <si>
    <t>Obligación Compra Material: PLA Fill3D Turbo HS Rojo 1kg 1.75mm (Prov: FILL3D)</t>
  </si>
  <si>
    <t>ROSADO PIEL</t>
  </si>
  <si>
    <t>Ingreso Material: PLA Toprint Rosado Piel 1kg 1.75mm (Prov: TOPRINT)</t>
  </si>
  <si>
    <t>Obligación Compra Material: PLA Toprint Rosado Piel 1kg 1.75mm (Prov: TOPRINT)</t>
  </si>
  <si>
    <t>VERDE PINO</t>
  </si>
  <si>
    <t>Ingreso Material: PLA Toprint Verde Pino 1kg 1.75mm (Prov: TOPRINT)</t>
  </si>
  <si>
    <t>Obligación Compra Material: PLA Toprint Verde Pino 1kg 1.75mm (Prov: TOPRINT)</t>
  </si>
  <si>
    <t xml:space="preserve">PLA CREALITY PLUS Beige 1 kg 1,75mm </t>
  </si>
  <si>
    <t>BEIGE</t>
  </si>
  <si>
    <t>MAKER 3D</t>
  </si>
  <si>
    <t>PLBG01-01</t>
  </si>
  <si>
    <t xml:space="preserve">PLA CREALITY Silk Silver 1 kg 1,75mm </t>
  </si>
  <si>
    <t>PLATEADO</t>
  </si>
  <si>
    <t>SILK</t>
  </si>
  <si>
    <t>PLPD01-01</t>
  </si>
  <si>
    <t xml:space="preserve">PETG CREALITY HIPER Yellow 1 kg 1,75mm </t>
  </si>
  <si>
    <t>AMARILLO LIMON</t>
  </si>
  <si>
    <t>PGAM03-01</t>
  </si>
  <si>
    <t xml:space="preserve">PLA CREALITY HIPER BROWN 1 kg 1,75mm </t>
  </si>
  <si>
    <t>MARRON</t>
  </si>
  <si>
    <t>Marron</t>
  </si>
  <si>
    <t>PLMN01-01</t>
  </si>
  <si>
    <t>PLA SUNLU GRIS 1kg 1,75mm</t>
  </si>
  <si>
    <t>SUNLU</t>
  </si>
  <si>
    <t>PLGR01-01</t>
  </si>
  <si>
    <t>PLA SUNLU ROJO 1kg 1,75mm</t>
  </si>
  <si>
    <t>Azul klein</t>
  </si>
  <si>
    <t>PLA SUNLU AZUL KLEIN 1kg 1,75mm</t>
  </si>
  <si>
    <t>AZUL KLEIN</t>
  </si>
  <si>
    <t>PLAZ05-01</t>
  </si>
  <si>
    <t>Ingreso Material: PLA SUNLU AZUL KLEIN 1kg 1,75mm (Prov: SUNLU)</t>
  </si>
  <si>
    <t>Obligación Compra Material: PLA SUNLU AZUL KLEIN 1kg 1,75mm (Prov: SUNLU)</t>
  </si>
  <si>
    <t>Verde bambu</t>
  </si>
  <si>
    <t>Verde Bambu</t>
  </si>
  <si>
    <t>PLA SUNLU VERDE BAMBU 1kg 1,75mm</t>
  </si>
  <si>
    <t>VERDE BAMBU</t>
  </si>
  <si>
    <t>PLVR03-01</t>
  </si>
  <si>
    <t>Ingreso Material: PLA SUNLU VERDE BAMBU 1kg 1,75mm (Prov: SUNLU)</t>
  </si>
  <si>
    <t>Obligación Compra Material: PLA SUNLU VERDE BAMBU 1kg 1,75mm (Prov: SUNLU)</t>
  </si>
  <si>
    <t>PLA SUNLU BLANCO 1kg 1,75mm</t>
  </si>
  <si>
    <t>PLBL00-03</t>
  </si>
  <si>
    <t>Ingreso Material: PLA SUNLU BLANCO 1kg 1,75mm (Prov: SUNLU)</t>
  </si>
  <si>
    <t>Obligación Compra Material: PLA SUNLU BLANCO 1kg 1,75mm (Prov: SUNLU)</t>
  </si>
  <si>
    <t>PLA SUNLU NEGRO 1kg 1,75mm</t>
  </si>
  <si>
    <t>PLNE11-03</t>
  </si>
  <si>
    <t>Ingreso Material: PLA SUNLU NEGRO 1kg 1,75mm (Prov: SUNLU)</t>
  </si>
  <si>
    <t>Obligación Compra Material: PLA SUNLU NEGRO 1kg 1,75mm (Prov: SUNLU)</t>
  </si>
  <si>
    <t>PLA SUNLU AMARILLO 1kg 1,75mm</t>
  </si>
  <si>
    <t>PLAM01-01</t>
  </si>
  <si>
    <t>Ingreso Material: PLA SUNLU AMARILLO 1kg 1,75mm (Prov: SUNLU)</t>
  </si>
  <si>
    <t>Obligación Compra Material: PLA SUNLU AMARILLO 1kg 1,75mm (Prov: SUNLU)</t>
  </si>
  <si>
    <t>PLA SUNLU SUNNY ORANGE 1kg 1,75mm</t>
  </si>
  <si>
    <t>NARANJA</t>
  </si>
  <si>
    <t>PLNJ01-01</t>
  </si>
  <si>
    <t>Ingreso Material: PLA SUNLU SUNNY ORANGE 1kg 1,75mm (Prov: SUNLU)</t>
  </si>
  <si>
    <t>Obligación Compra Material: PLA SUNLU SUNNY ORANGE 1kg 1,75mm (Prov: SUNLU)</t>
  </si>
  <si>
    <t>PLA SUNLU BLUE GRAY 1kg 1,75mm</t>
  </si>
  <si>
    <t>PLAZ02-02</t>
  </si>
  <si>
    <t>Ingreso Material: PLA SUNLU BLUE GRAY 1kg 1,75mm (Prov: SUNLU)</t>
  </si>
  <si>
    <t>Obligación Compra Material: PLA SUNLU BLUE GRAY 1kg 1,75mm (Prov: SUNLU)</t>
  </si>
  <si>
    <t>PLA SUNLU GREEN 1kg 1,75mm</t>
  </si>
  <si>
    <t>PLVR01-01</t>
  </si>
  <si>
    <t>Ingreso Material: PLA SUNLU GREEN 1kg 1,75mm (Prov: SUNLU)</t>
  </si>
  <si>
    <t>Obligación Compra Material: PLA SUNLU GREEN 1kg 1,75mm (Prov: SUNLU)</t>
  </si>
  <si>
    <t>PETG SUNLU BLACK 1kg 1,75mm</t>
  </si>
  <si>
    <t>PGNE11-04</t>
  </si>
  <si>
    <t>Ingreso Material: PETG SUNLU BLACK 1kg 1,75mm (Prov: SUNLU)</t>
  </si>
  <si>
    <t>Obligación Compra Material: PETG SUNLU BLACK 1kg 1,75mm (Prov: SUNLU)</t>
  </si>
  <si>
    <t>PETG SUNLU GREEN 1kg 1,75mm</t>
  </si>
  <si>
    <t>PGVR01-02</t>
  </si>
  <si>
    <t>Ingreso Material: PETG SUNLU GREEN 1kg 1,75mm (Prov: SUNLU)</t>
  </si>
  <si>
    <t>Obligación Compra Material: PETG SUNLU GREEN 1kg 1,75mm (Prov: SUNLU)</t>
  </si>
  <si>
    <t>PETG SUNNY ORANGE 1kg 1,75mm</t>
  </si>
  <si>
    <t>PGNJ01-01</t>
  </si>
  <si>
    <t>Ingreso Material: PETG SUNNY ORANGE 1kg 1,75mm (Prov: SUNLU)</t>
  </si>
  <si>
    <t>Obligación Compra Material: PETG SUNNY ORANGE 1kg 1,75mm (Prov: SUNLU)</t>
  </si>
  <si>
    <t>PETG SUNLU KLEIN BLUE 1kg 1,75mm</t>
  </si>
  <si>
    <t>PGAZ05-01</t>
  </si>
  <si>
    <t>Ingreso Material: PETG SUNLU KLEIN BLUE 1kg 1,75mm (Prov: SUNLU)</t>
  </si>
  <si>
    <t>Obligación Compra Material: PETG SUNLU KLEIN BLUE 1kg 1,75mm (Prov: SUNLU)</t>
  </si>
  <si>
    <t>PETG SUNLU YELLOW 1kg 1,75mm</t>
  </si>
  <si>
    <t>PGAM01-02</t>
  </si>
  <si>
    <t>Ingreso Material: PETG SUNLU YELLOW 1kg 1,75mm (Prov: SUNLU)</t>
  </si>
  <si>
    <t>Obligación Compra Material: PETG SUNLU YELLOW 1kg 1,75mm (Prov: SUNLU)</t>
  </si>
  <si>
    <t>PETG SUNLU PINK 1kg 1,75mm</t>
  </si>
  <si>
    <t>VIOLETA</t>
  </si>
  <si>
    <t>PGVL01-01</t>
  </si>
  <si>
    <t>Ingreso Material: PETG SUNLU PINK 1kg 1,75mm (Prov: SUNLU)</t>
  </si>
  <si>
    <t>Obligación Compra Material: PETG SUNLU PINK 1kg 1,75mm (Prov: SUNLU)</t>
  </si>
  <si>
    <t>PETG SUNLU GREY 1kg 1,75mm</t>
  </si>
  <si>
    <t>PGGR01-02</t>
  </si>
  <si>
    <t>Ingreso Material: PETG SUNLU GREY 1kg 1,75mm (Prov: SUNLU)</t>
  </si>
  <si>
    <t>Obligación Compra Material: PETG SUNLU GREY 1kg 1,75mm (Prov: SUNLU)</t>
  </si>
  <si>
    <t>PETG SUNLU NATURAL 1kg 1,75mm</t>
  </si>
  <si>
    <t xml:space="preserve">NATURAL </t>
  </si>
  <si>
    <t>Ingreso Material: PETG SUNLU NATURAL 1kg 1,75mm (Prov: SUNLU)</t>
  </si>
  <si>
    <t>Obligación Compra Material: PETG SUNLU NATURAL 1kg 1,75mm (Prov: SUNLU)</t>
  </si>
  <si>
    <t>PGNT01-01</t>
  </si>
  <si>
    <t>PETG SUNLU RED 1kg 1,75mm</t>
  </si>
  <si>
    <t>PGRJ01-05</t>
  </si>
  <si>
    <t>Ingreso Material: PETG SUNLU RED 1kg 1,75mm (Prov: SUNLU)</t>
  </si>
  <si>
    <t>Obligación Compra Material: PETG SUNLU RED 1kg 1,75mm (Prov: SUNLU)</t>
  </si>
  <si>
    <t>PETG SUNLU WHITE 1kg 1,75mm</t>
  </si>
  <si>
    <t>PGBL00-06</t>
  </si>
  <si>
    <t>Ingreso Material: PETG SUNLU WHITE 1kg 1,75mm (Prov: SUNLU)</t>
  </si>
  <si>
    <t>Obligación Compra Material: PETG SUNLU WHITE 1kg 1,75mm (Prov: SUNLU)</t>
  </si>
  <si>
    <t>Marmol Verde</t>
  </si>
  <si>
    <t>PLA SUNLU FOREST GREEN MARBLE 1kg 1,75mm</t>
  </si>
  <si>
    <t>MARMOL VERDE</t>
  </si>
  <si>
    <t>PLMM03-01</t>
  </si>
  <si>
    <t>Ingreso Material: PLA SUNLU FOREST GREEN MARBLE 1kg 1,75mm (Prov: SUNLU)</t>
  </si>
  <si>
    <t>Obligación Compra Material: PLA SUNLU FOREST GREEN MARBLE 1kg 1,75mm (Prov: SUNLU)</t>
  </si>
  <si>
    <t>PLA SUNLU CHESTNUT BROWN MARBLE 1kg 1,75mm</t>
  </si>
  <si>
    <t>MARMOL AMARILLO</t>
  </si>
  <si>
    <t>PLMM02-01</t>
  </si>
  <si>
    <t>Ingreso Material: PLA SUNLU CHESTNUT BROWN MARBLE 1kg 1,75mm (Prov: SUNLU)</t>
  </si>
  <si>
    <t>Obligación Compra Material: PLA SUNLU CHESTNUT BROWN MARBLE 1kg 1,75mm (Prov: SUNLU)</t>
  </si>
  <si>
    <t>PLA SUNLU OREO MARBLE 1kg 1,75mm</t>
  </si>
  <si>
    <t>PLMM01-02</t>
  </si>
  <si>
    <t>Ingreso Material: PLA SUNLU OREO MARBLE 1kg 1,75mm (Prov: SUNLU)</t>
  </si>
  <si>
    <t>Obligación Compra Material: PLA SUNLU OREO MARBLE 1kg 1,75mm (Prov: SUNLU)</t>
  </si>
  <si>
    <t>PLA SUNLU SHADOW STORM MARBLE 1kg 1,75mm</t>
  </si>
  <si>
    <t>MARMOL GRIS</t>
  </si>
  <si>
    <t>PLMM04-01</t>
  </si>
  <si>
    <t>Ingreso Material: PLA SUNLU SHADOW STORM MARBLE 1kg 1,75mm (Prov: SUNLU)</t>
  </si>
  <si>
    <t>Obligación Compra Material: PLA SUNLU SHADOW STORM MARBLE 1kg 1,75mm (Prov: SUNLU)</t>
  </si>
  <si>
    <t>ABS</t>
  </si>
  <si>
    <t>ASA</t>
  </si>
  <si>
    <t>TPU</t>
  </si>
  <si>
    <t>AB</t>
  </si>
  <si>
    <t>AS</t>
  </si>
  <si>
    <t>TP</t>
  </si>
  <si>
    <t>ABS SUNLU NEGRO 1kg 1.75mm</t>
  </si>
  <si>
    <t>Ingreso Material: ABS SUNLU NEGRO 1kg 1.75mm (Prov: SUNLU)</t>
  </si>
  <si>
    <t>Obligación Compra Material: ABS SUNLU NEGRO 1kg 1.75mm (Prov: SUNLU)</t>
  </si>
  <si>
    <t>ABNE11-01</t>
  </si>
  <si>
    <t>IMPRESORA 3D</t>
  </si>
  <si>
    <t>Perforadora</t>
  </si>
  <si>
    <t>Pegante super bonder</t>
  </si>
  <si>
    <t>Pegante super bonder 2und</t>
  </si>
  <si>
    <t>Venta de: 1x CAJA MUNDIAL GRANDE BLANCO PORTA FIGURITAS 2026 a Cliente Anonimo</t>
  </si>
  <si>
    <t>Costo salida: 1x CAJA MUNDIAL GRANDE BLANCO PORTA FIGURITAS 2026</t>
  </si>
  <si>
    <t>Costo salida: 3x ROSA DIA DE LA MADRE CON FRASE</t>
  </si>
  <si>
    <t>Salarios por Pagar</t>
  </si>
  <si>
    <t>Venta de: 1x CAJA MUNDIAL GRANDE NEGRO  PORTA FIGURITAS 2026 a Cliente Anonimo</t>
  </si>
  <si>
    <t>Costo salida: 1x CAJA MUNDIAL GRANDE NEGRO  PORTA FIGURITAS 2026</t>
  </si>
  <si>
    <t>Venta de: 3x ROSA DIA DE LA MADRE CON FRASE a Cliente anonimo</t>
  </si>
  <si>
    <t>Venta de: 3x CAJA GRANDE PERSONALIZADA DIA DE LA MADRE RAFA a Rafael Friends</t>
  </si>
  <si>
    <t>Costo salida: 3x CAJA GRANDE PERSONALIZADA DIA DE LA MADRE RAFA</t>
  </si>
  <si>
    <t>Costo salida: 2x ROSA DIA DE LA MADRE CON FRASE</t>
  </si>
  <si>
    <t xml:space="preserve">ROSA DIA DE LA MADRE CON FRASE </t>
  </si>
  <si>
    <t xml:space="preserve">Consumo Filamento: ROSA DIA DE LA MADRE CON FRASE </t>
  </si>
  <si>
    <t xml:space="preserve">Mano de Obra Directa (10%): ROSA DIA DE LA MADRE CON FRASE </t>
  </si>
  <si>
    <t xml:space="preserve">Provisión MOD: ROSA DIA DE LA MADRE CON FRASE </t>
  </si>
  <si>
    <t xml:space="preserve">Costos Indirectos (CIF): ROSA DIA DE LA MADRE CON FRASE </t>
  </si>
  <si>
    <t xml:space="preserve">Provisión CIF / Taller: ROSA DIA DE LA MADRE CON FRASE </t>
  </si>
  <si>
    <t xml:space="preserve">Producción Terminada: ROSA DIA DE LA MADRE CON FRASE </t>
  </si>
  <si>
    <t xml:space="preserve">Cierre de Costos a Vitrina: ROSA DIA DE LA MADRE CON FRASE </t>
  </si>
  <si>
    <t>CAJA PEQUEÑA FIGURITAS 2026</t>
  </si>
  <si>
    <t>Consumo Filamento: CAJA PEQUEÑA FIGURITAS 2026</t>
  </si>
  <si>
    <t>Mano de Obra Directa (10%): CAJA PEQUEÑA FIGURITAS 2026</t>
  </si>
  <si>
    <t>Provisión MOD: CAJA PEQUEÑA FIGURITAS 2026</t>
  </si>
  <si>
    <t>Costos Indirectos (CIF): CAJA PEQUEÑA FIGURITAS 2026</t>
  </si>
  <si>
    <t>Provisión CIF / Taller: CAJA PEQUEÑA FIGURITAS 2026</t>
  </si>
  <si>
    <t>Producción Terminada: CAJA PEQUEÑA FIGURITAS 2026</t>
  </si>
  <si>
    <t>Cierre de Costos a Vitrina: CAJA PEQUEÑA FIGURITAS 2026</t>
  </si>
  <si>
    <t>CAJA PEQUEÑA FIGURITAS NEGRA 2026</t>
  </si>
  <si>
    <t>PRD-013</t>
  </si>
  <si>
    <t>Consumo Filamento: CAJA PEQUEÑA FIGURITAS NEGRA 2026</t>
  </si>
  <si>
    <t>Mano de Obra Directa (10%): CAJA PEQUEÑA FIGURITAS NEGRA 2026</t>
  </si>
  <si>
    <t>Provisión MOD: CAJA PEQUEÑA FIGURITAS NEGRA 2026</t>
  </si>
  <si>
    <t>Costos Indirectos (CIF): CAJA PEQUEÑA FIGURITAS NEGRA 2026</t>
  </si>
  <si>
    <t>Provisión CIF / Taller: CAJA PEQUEÑA FIGURITAS NEGRA 2026</t>
  </si>
  <si>
    <t>Producción Terminada: CAJA PEQUEÑA FIGURITAS NEGRA 2026</t>
  </si>
  <si>
    <t>Cierre de Costos a Vitrina: CAJA PEQUEÑA FIGURITAS NEGRA 2026</t>
  </si>
  <si>
    <t>CAJA PEQUEÑA FIGURITAS BLANCA 2026</t>
  </si>
  <si>
    <t>PRD-014</t>
  </si>
  <si>
    <t>Consumo Filamento: CAJA PEQUEÑA FIGURITAS BLANCA 2026</t>
  </si>
  <si>
    <t>Mano de Obra Directa (10%): CAJA PEQUEÑA FIGURITAS BLANCA 2026</t>
  </si>
  <si>
    <t>Provisión MOD: CAJA PEQUEÑA FIGURITAS BLANCA 2026</t>
  </si>
  <si>
    <t>Costos Indirectos (CIF): CAJA PEQUEÑA FIGURITAS BLANCA 2026</t>
  </si>
  <si>
    <t>Provisión CIF / Taller: CAJA PEQUEÑA FIGURITAS BLANCA 2026</t>
  </si>
  <si>
    <t>Producción Terminada: CAJA PEQUEÑA FIGURITAS BLANCA 2026</t>
  </si>
  <si>
    <t>Cierre de Costos a Vitrina: CAJA PEQUEÑA FIGURITAS BLANCA 2026</t>
  </si>
  <si>
    <t>COPAS MUNDO DORADAS 2026</t>
  </si>
  <si>
    <t>PRD-015</t>
  </si>
  <si>
    <t>Consumo Filamento: COPAS MUNDO DORADAS 2026</t>
  </si>
  <si>
    <t>Mano de Obra Directa (10%): COPAS MUNDO DORADAS 2026</t>
  </si>
  <si>
    <t>Provisión MOD: COPAS MUNDO DORADAS 2026</t>
  </si>
  <si>
    <t>Costos Indirectos (CIF): COPAS MUNDO DORADAS 2026</t>
  </si>
  <si>
    <t>Provisión CIF / Taller: COPAS MUNDO DORADAS 2026</t>
  </si>
  <si>
    <t>Producción Terminada: COPAS MUNDO DORADAS 2026</t>
  </si>
  <si>
    <t>Cierre de Costos a Vitrina: COPAS MUNDO DORADAS 2026</t>
  </si>
  <si>
    <t>GUIA DE SOPORTE A PRESICIÓN PARA PTFE Y CABLE A1</t>
  </si>
  <si>
    <t>PRD-016</t>
  </si>
  <si>
    <t>AMS LITE HUB ARMOR PARA A1</t>
  </si>
  <si>
    <t>PRD-017</t>
  </si>
  <si>
    <t>CAJA DE ALMACENAMIENTO COPA MUNDIAL</t>
  </si>
  <si>
    <t>PRD-018</t>
  </si>
  <si>
    <t>Consumo Filamento: CAJA DE ALMACENAMIENTO COPA MUNDIAL</t>
  </si>
  <si>
    <t>Mano de Obra Directa (10%): CAJA DE ALMACENAMIENTO COPA MUNDIAL</t>
  </si>
  <si>
    <t>Provisión MOD: CAJA DE ALMACENAMIENTO COPA MUNDIAL</t>
  </si>
  <si>
    <t>Costos Indirectos (CIF): CAJA DE ALMACENAMIENTO COPA MUNDIAL</t>
  </si>
  <si>
    <t>Provisión CIF / Taller: CAJA DE ALMACENAMIENTO COPA MUNDIAL</t>
  </si>
  <si>
    <t>Producción Terminada: CAJA DE ALMACENAMIENTO COPA MUNDIAL</t>
  </si>
  <si>
    <t>Cierre de Costos a Vitrina: CAJA DE ALMACENAMIENTO COPA MUNDIAL</t>
  </si>
  <si>
    <t>PRD-019</t>
  </si>
  <si>
    <t>Consumo Filamento: ANGEL DE LA GUARDA</t>
  </si>
  <si>
    <t>Mano de Obra Directa (10%): ANGEL DE LA GUARDA</t>
  </si>
  <si>
    <t>Provisión MOD: ANGEL DE LA GUARDA</t>
  </si>
  <si>
    <t>Costos Indirectos (CIF): ANGEL DE LA GUARDA</t>
  </si>
  <si>
    <t>Provisión CIF / Taller: ANGEL DE LA GUARDA</t>
  </si>
  <si>
    <t>Producción Terminada: ANGEL DE LA GUARDA</t>
  </si>
  <si>
    <t>Cierre de Costos a Vitrina: ANGEL DE LA GUARDA</t>
  </si>
  <si>
    <t>CARLOS ENRIQUE</t>
  </si>
  <si>
    <t>Costo Material Venta: CARLOS ENRIQUE</t>
  </si>
  <si>
    <t>Salida Filamento Venta: CARLOS ENRIQUE</t>
  </si>
  <si>
    <t>Mano de Obra Venta (10%): CARLOS ENRIQUE</t>
  </si>
  <si>
    <t>Provisión MOD Venta: CARLOS ENRIQUE</t>
  </si>
  <si>
    <t>Costos Indirectos Venta (CIF): CARLOS ENRIQUE</t>
  </si>
  <si>
    <t>Provisión CIF Venta: CARLOS ENRIQUE</t>
  </si>
  <si>
    <t>PRD-020</t>
  </si>
  <si>
    <t>PRD-021</t>
  </si>
  <si>
    <t>Consumo Filamento: CABALLERO NEGRO</t>
  </si>
  <si>
    <t>Mano de Obra Directa (10%): CABALLERO NEGRO</t>
  </si>
  <si>
    <t>Provisión MOD: CABALLERO NEGRO</t>
  </si>
  <si>
    <t>Costos Indirectos (CIF): CABALLERO NEGRO</t>
  </si>
  <si>
    <t>Provisión CIF / Taller: CABALLERO NEGRO</t>
  </si>
  <si>
    <t>Producción Terminada: CABALLERO NEGRO</t>
  </si>
  <si>
    <t>Cierre de Costos a Vitrina: CABALLERO NEGRO</t>
  </si>
  <si>
    <t>PRD-022</t>
  </si>
  <si>
    <t>COCODRILOS ARTICULADOS</t>
  </si>
  <si>
    <t>PRD-023</t>
  </si>
  <si>
    <t>Consumo Filamento: COCODRILOS ARTICULADOS</t>
  </si>
  <si>
    <t>Mano de Obra Directa (10%): COCODRILOS ARTICULADOS</t>
  </si>
  <si>
    <t>Provisión MOD: COCODRILOS ARTICULADOS</t>
  </si>
  <si>
    <t>Costos Indirectos (CIF): COCODRILOS ARTICULADOS</t>
  </si>
  <si>
    <t>Provisión CIF / Taller: COCODRILOS ARTICULADOS</t>
  </si>
  <si>
    <t>Producción Terminada: COCODRILOS ARTICULADOS</t>
  </si>
  <si>
    <t>Cierre de Costos a Vitrina: COCODRILOS ARTICULADOS</t>
  </si>
  <si>
    <t>CARAS CAJA MUNDIALISTA</t>
  </si>
  <si>
    <t>PRD-024</t>
  </si>
  <si>
    <t>Consumo Filamento: CARAS CAJA MUNDIALISTA</t>
  </si>
  <si>
    <t>Mano de Obra Directa (10%): CARAS CAJA MUNDIALISTA</t>
  </si>
  <si>
    <t>Provisión MOD: CARAS CAJA MUNDIALISTA</t>
  </si>
  <si>
    <t>Costos Indirectos (CIF): CARAS CAJA MUNDIALISTA</t>
  </si>
  <si>
    <t>Provisión CIF / Taller: CARAS CAJA MUNDIALISTA</t>
  </si>
  <si>
    <t>Producción Terminada: CARAS CAJA MUNDIALISTA</t>
  </si>
  <si>
    <t>Cierre de Costos a Vitrina: CARAS CAJA MUNDIALISTA</t>
  </si>
  <si>
    <t>CONEJOS PELUDOS</t>
  </si>
  <si>
    <t>PRD-025</t>
  </si>
  <si>
    <t>Consumo Filamento: CONEJOS PELUDOS</t>
  </si>
  <si>
    <t>Mano de Obra Directa (10%): CONEJOS PELUDOS</t>
  </si>
  <si>
    <t>Provisión MOD: CONEJOS PELUDOS</t>
  </si>
  <si>
    <t>Costos Indirectos (CIF): CONEJOS PELUDOS</t>
  </si>
  <si>
    <t>Provisión CIF / Taller: CONEJOS PELUDOS</t>
  </si>
  <si>
    <t>Producción Terminada: CONEJOS PELUDOS</t>
  </si>
  <si>
    <t>Cierre de Costos a Vitrina: CONEJOS PELUDOS</t>
  </si>
  <si>
    <t>Venta de: 4x ROSA DIA DE LA MADRE CON FRASE a cLIENTE ANONIMO</t>
  </si>
  <si>
    <t>Costo salida: 4x ROSA DIA DE LA MADRE CON FRASE</t>
  </si>
  <si>
    <t>Venta de: 4x ROSA DIA DE LA MADRE CON FRASE a A</t>
  </si>
  <si>
    <t>Venta de: 7x ROSA DIA DE LA MADRE CON FRASE a ANO</t>
  </si>
  <si>
    <t>Consumo Filamento: ROSA DIA DE LA MADRE CON FRASE</t>
  </si>
  <si>
    <t>Mano de Obra Directa (10%): ROSA DIA DE LA MADRE CON FRASE</t>
  </si>
  <si>
    <t>Provisión MOD: ROSA DIA DE LA MADRE CON FRASE</t>
  </si>
  <si>
    <t>Costos Indirectos (CIF): ROSA DIA DE LA MADRE CON FRASE</t>
  </si>
  <si>
    <t>Provisión CIF / Taller: ROSA DIA DE LA MADRE CON FRASE</t>
  </si>
  <si>
    <t>Producción Terminada: ROSA DIA DE LA MADRE CON FRASE</t>
  </si>
  <si>
    <t>Cierre de Costos a Vitrina: ROSA DIA DE LA MADRE CON FRASE</t>
  </si>
  <si>
    <t>Prisma lab</t>
  </si>
  <si>
    <t>Venta de: 12x ROSA DIA DE LA MADRE CON FRASE a SAS</t>
  </si>
  <si>
    <t>Costo salida: 12x ROSA DIA DE LA MADRE CON FRASE</t>
  </si>
  <si>
    <t>Venta de: 3x ROSA DIA DE LA MADRE CON FRASE a ASD</t>
  </si>
  <si>
    <t xml:space="preserve">LAGARTO ARTICULADO </t>
  </si>
  <si>
    <t>PRD-026</t>
  </si>
  <si>
    <t xml:space="preserve">Consumo Filamento: LAGARTO ARTICULADO </t>
  </si>
  <si>
    <t xml:space="preserve">Mano de Obra Directa (10%): LAGARTO ARTICULADO </t>
  </si>
  <si>
    <t xml:space="preserve">Provisión MOD: LAGARTO ARTICULADO </t>
  </si>
  <si>
    <t xml:space="preserve">Costos Indirectos (CIF): LAGARTO ARTICULADO </t>
  </si>
  <si>
    <t xml:space="preserve">Provisión CIF / Taller: LAGARTO ARTICULADO </t>
  </si>
  <si>
    <t xml:space="preserve">Producción Terminada: LAGARTO ARTICULADO </t>
  </si>
  <si>
    <t xml:space="preserve">Cierre de Costos a Vitrina: LAGARTO ARTICULADO </t>
  </si>
  <si>
    <t>BEBE DRAGON</t>
  </si>
  <si>
    <t>PRD-027</t>
  </si>
  <si>
    <t>Consumo Filamento: BEBE DRAGON</t>
  </si>
  <si>
    <t>Mano de Obra Directa (10%): BEBE DRAGON</t>
  </si>
  <si>
    <t>Provisión MOD: BEBE DRAGON</t>
  </si>
  <si>
    <t>Costos Indirectos (CIF): BEBE DRAGON</t>
  </si>
  <si>
    <t>Provisión CIF / Taller: BEBE DRAGON</t>
  </si>
  <si>
    <t>Producción Terminada: BEBE DRAGON</t>
  </si>
  <si>
    <t>Cierre de Costos a Vitrina: BEBE DRAGON</t>
  </si>
  <si>
    <t>CORDERITO ADORABLE</t>
  </si>
  <si>
    <t>PRD-028</t>
  </si>
  <si>
    <t>Consumo Filamento: CORDERITO ADORABLE</t>
  </si>
  <si>
    <t>Mano de Obra Directa (10%): CORDERITO ADORABLE</t>
  </si>
  <si>
    <t>Provisión MOD: CORDERITO ADORABLE</t>
  </si>
  <si>
    <t>Costos Indirectos (CIF): CORDERITO ADORABLE</t>
  </si>
  <si>
    <t>Provisión CIF / Taller: CORDERITO ADORABLE</t>
  </si>
  <si>
    <t>Producción Terminada: CORDERITO ADORABLE</t>
  </si>
  <si>
    <t>Cierre de Costos a Vitrina: CORDERITO ADORABLE</t>
  </si>
  <si>
    <t>GATO ACOSTADO</t>
  </si>
  <si>
    <t>PRD-029</t>
  </si>
  <si>
    <t>Consumo Filamento: GATO ACOSTADO</t>
  </si>
  <si>
    <t>Mano de Obra Directa (10%): GATO ACOSTADO</t>
  </si>
  <si>
    <t>Provisión MOD: GATO ACOSTADO</t>
  </si>
  <si>
    <t>Costos Indirectos (CIF): GATO ACOSTADO</t>
  </si>
  <si>
    <t>Provisión CIF / Taller: GATO ACOSTADO</t>
  </si>
  <si>
    <t>Producción Terminada: GATO ACOSTADO</t>
  </si>
  <si>
    <t>Cierre de Costos a Vitrina: GATO ACOSTADO</t>
  </si>
  <si>
    <t>Venta de: 1x CAJA MUNDIAL GRANDE NEGRO  PORTA FIGURITAS 2026 a RAFAEL FRIENDS</t>
  </si>
  <si>
    <t>Venta de: 1x CAJA PEQUEÑA FIGURITAS NEGRA 2026 a RAFAEL FRIENDS</t>
  </si>
  <si>
    <t>Costo salida: 1x CAJA PEQUEÑA FIGURITAS NEGRA 2026</t>
  </si>
  <si>
    <t>Venta de: 1x CAJA PEQUEÑA FIGURITAS BLANCA 2026 a RAFAEL FRIENDS</t>
  </si>
  <si>
    <t>Costo salida: 1x CAJA PEQUEÑA FIGURITAS BLANCA 2026</t>
  </si>
  <si>
    <t>Venta de: 10x BEBE DRAGON a RAFAEL FRIENDS</t>
  </si>
  <si>
    <t>Costo salida: 10x BEBE DRAGON</t>
  </si>
  <si>
    <t>Venta de: 10x GATO ACOSTADO a RAFAEL FRIENDS</t>
  </si>
  <si>
    <t>Costo salida: 10x GATO ACOSTADO</t>
  </si>
  <si>
    <t>Venta de: 10x CONEJOS PELUDOS a RAFAEL FRIENDS</t>
  </si>
  <si>
    <t>Costo salida: 10x CONEJOS PELUDOS</t>
  </si>
  <si>
    <t>Venta de: 10x COCODRILOS ARTICULADOS a RAFAEL FRIENDS</t>
  </si>
  <si>
    <t>Costo salida: 10x COCODRILOS ARTICULADOS</t>
  </si>
  <si>
    <t>Venta de: 10x CORDERITO ADORABLE a RAFAEL FRIENDS</t>
  </si>
  <si>
    <t>Costo salida: 10x CORDERITO ADORABLE</t>
  </si>
  <si>
    <t>Venta de: 1x PALOMERA BUBBLE a JOSE MONTAÑEZ</t>
  </si>
  <si>
    <t>Costo salida: 1x PALOMERA BUBBLE</t>
  </si>
  <si>
    <t>PRISMALAB</t>
  </si>
  <si>
    <t>Costo Material Venta: PRISMALAB</t>
  </si>
  <si>
    <t>Salida Filamento Venta: PRISMALAB</t>
  </si>
  <si>
    <t>Mano de Obra Venta (10%): PRISMALAB</t>
  </si>
  <si>
    <t>Provisión MOD Venta: PRISMALAB</t>
  </si>
  <si>
    <t>Costos Indirectos Venta (CIF): PRISMALAB</t>
  </si>
  <si>
    <t>Provisión CIF Venta: PRISMALAB</t>
  </si>
  <si>
    <t>Venta de: 1x CAJA DE ALMACENAMIENTO COPA MUNDIAL a RAFAEL FRIENDS</t>
  </si>
  <si>
    <t>Costo salida: 1x CAJA DE ALMACENAMIENTO COPA MUNDIAL</t>
  </si>
  <si>
    <t>Venta de: 1x CAJA MUNDIAL GRANDE NEGRO  PORTA FIGURITAS 2026 a RAFAEL</t>
  </si>
  <si>
    <t>Venta de: 3x LLAVERO CATERPILAR a LEONARDO</t>
  </si>
  <si>
    <t>Costo salida: 3x LLAVERO CATERPILAR</t>
  </si>
  <si>
    <t>Venta de: 1x CAJA MUNDIAL GRANDE BLANCO PORTA FIGURITAS 2026 a LEO</t>
  </si>
  <si>
    <t>Venta de: 2x COCODRILOS ARTICULADOS a RAFAEL FRIENDS</t>
  </si>
  <si>
    <t>Costo salida: 2x COCODRILOS ARTICULADOS</t>
  </si>
  <si>
    <t>Venta de: 2x CONEJOS PELUDOS a RAFAEL FRIENDS</t>
  </si>
  <si>
    <t>Costo salida: 2x CONEJOS PELUDOS</t>
  </si>
  <si>
    <t>Venta de: 1x BEBE DRAGON a RAFAEL FRIENDS</t>
  </si>
  <si>
    <t>Costo salida: 1x BEBE DRAGON</t>
  </si>
  <si>
    <t>Venta de: 2x GATO ACOSTADO a RAFAEL FRIENDS</t>
  </si>
  <si>
    <t>Costo salida: 2x GATO ACOSTADO</t>
  </si>
  <si>
    <t>💰 Rentabilidad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</si>
  <si>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</si>
  <si>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</si>
  <si>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</si>
  <si>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</si>
  <si>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</si>
  <si>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</si>
  <si>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</si>
  <si>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</si>
  <si>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</si>
  <si>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</si>
  <si>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</si>
  <si>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</si>
  <si>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TOTAL</t>
  </si>
  <si>
    <t>Diferencia</t>
  </si>
  <si>
    <t>CAJA DE ALMACENAMIENTO COPA MUNDIAL PERSONALIZADA</t>
  </si>
  <si>
    <t>PRD-030</t>
  </si>
  <si>
    <t>Consumo Filamento: CAJA DE ALMACENAMIENTO COPA MUNDIAL PERSONALIZADA</t>
  </si>
  <si>
    <t>Mano de Obra Directa (10%): CAJA DE ALMACENAMIENTO COPA MUNDIAL PERSONALIZADA</t>
  </si>
  <si>
    <t>Provisión MOD: CAJA DE ALMACENAMIENTO COPA MUNDIAL PERSONALIZADA</t>
  </si>
  <si>
    <t>Costos Indirectos (CIF): CAJA DE ALMACENAMIENTO COPA MUNDIAL PERSONALIZADA</t>
  </si>
  <si>
    <t>Provisión CIF / Taller: CAJA DE ALMACENAMIENTO COPA MUNDIAL PERSONALIZADA</t>
  </si>
  <si>
    <t>Producción Terminada: CAJA DE ALMACENAMIENTO COPA MUNDIAL PERSONALIZADA</t>
  </si>
  <si>
    <t>Cierre de Costos a Vitrina: CAJA DE ALMACENAMIENTO COPA MUNDIAL PERSONALIZADA</t>
  </si>
  <si>
    <t>PRUEBA TEMPERATURA</t>
  </si>
  <si>
    <t>PRD-031</t>
  </si>
  <si>
    <t>PIKACHU MULTICOLOR</t>
  </si>
  <si>
    <t>PRD-032</t>
  </si>
  <si>
    <t>Consumo Filamento: PIKACHU MULTICOLOR</t>
  </si>
  <si>
    <t>Mano de Obra Directa (10%): PIKACHU MULTICOLOR</t>
  </si>
  <si>
    <t>Provisión MOD: PIKACHU MULTICOLOR</t>
  </si>
  <si>
    <t>Costos Indirectos (CIF): PIKACHU MULTICOLOR</t>
  </si>
  <si>
    <t>Provisión CIF / Taller: PIKACHU MULTICOLOR</t>
  </si>
  <si>
    <t>Producción Terminada: PIKACHU MULTICOLOR</t>
  </si>
  <si>
    <t>Cierre de Costos a Vitrina: PIKACHU MULTICOLOR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</si>
</sst>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d\.m"/>
    <numFmt numFmtId="165" formatCode="yyyy\-mm\-dd"/>
    <numFmt numFmtId="166" formatCode="&quot;$&quot;#,##0.00"/>
    <numFmt numFmtId="167" formatCode="_(&quot;$&quot;* #,##0.00_);_(&quot;$&quot;* \(#,##0.00\);_(&quot;$&quot;* &quot;-&quot;??_);_(@_)"/>
    <numFmt numFmtId="168" formatCode="_(* #,##0_);_(* \(#,##0\);_(* &quot;-&quot;_);_(@_)"/>
    <numFmt numFmtId="169" formatCode="0.0%"/>
    <numFmt numFmtId="170" formatCode="0;\-0;;"/>
    <numFmt numFmtId="171" formatCode="[$$-409]#,##0.0_ ;[Red]\-[$$-409]#,##0.0\ "/>
    <numFmt numFmtId="172" formatCode="_ * #,##0.00_ ;_ * \-#,##0.00_ ;_ * &quot;-&quot;??_ ;_ @_ "/>
    <numFmt numFmtId="173" formatCode=";;;"/>
    <numFmt numFmtId="174" formatCode="dd/mm/yyyy\ hh:mm:ss"/>
    <numFmt numFmtId="175" formatCode="dd/mm/yyyy"/>
  </numFmts>
  <fonts count="9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1F1F1F"/>
      <name val="Segoe UI"/>
      <family val="2"/>
    </font>
    <font>
      <b/>
      <sz val="8"/>
      <color rgb="FF333333"/>
      <name val="Segoe UI"/>
      <family val="2"/>
    </font>
    <font>
      <sz val="11"/>
      <color rgb="FFFFFFFF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22"/>
      <color theme="0" tint="-0.499984740745262"/>
      <name val="Century Gothic"/>
      <family val="1"/>
    </font>
    <font>
      <b/>
      <sz val="22"/>
      <color theme="4"/>
      <name val="Century Gothic"/>
      <family val="1"/>
    </font>
    <font>
      <sz val="11"/>
      <color theme="1"/>
      <name val="Century Gothic"/>
      <family val="1"/>
    </font>
    <font>
      <sz val="11"/>
      <color theme="1"/>
      <name val="Calibri"/>
      <family val="2"/>
    </font>
    <font>
      <sz val="20"/>
      <color theme="1"/>
      <name val="Century Gothic"/>
      <family val="1"/>
    </font>
    <font>
      <sz val="18"/>
      <color theme="1"/>
      <name val="Century Gothic"/>
      <family val="1"/>
    </font>
    <font>
      <b/>
      <sz val="20"/>
      <color theme="1"/>
      <name val="Century Gothic"/>
      <family val="1"/>
    </font>
    <font>
      <sz val="22"/>
      <color theme="0" tint="-0.499984740745262"/>
      <name val="Century Gothic"/>
      <family val="1"/>
    </font>
    <font>
      <sz val="20"/>
      <color theme="1"/>
      <name val="Calibri"/>
      <family val="2"/>
      <scheme val="minor"/>
    </font>
    <font>
      <sz val="9"/>
      <color theme="1"/>
      <name val="Century Gothic"/>
      <family val="1"/>
    </font>
    <font>
      <sz val="13"/>
      <color theme="1"/>
      <name val="Century Gothic"/>
      <family val="1"/>
    </font>
    <font>
      <b/>
      <sz val="12"/>
      <color theme="1"/>
      <name val="Century Gothic"/>
      <family val="1"/>
    </font>
    <font>
      <b/>
      <sz val="11"/>
      <color theme="1"/>
      <name val="Century Gothic"/>
      <family val="1"/>
    </font>
    <font>
      <sz val="13"/>
      <color theme="1"/>
      <name val="Calibri"/>
      <family val="2"/>
      <scheme val="minor"/>
    </font>
    <font>
      <sz val="12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alibri"/>
      <family val="2"/>
      <scheme val="minor"/>
    </font>
    <font>
      <i/>
      <sz val="8"/>
      <color theme="1"/>
      <name val="Century Gothic"/>
      <family val="1"/>
    </font>
    <font>
      <sz val="13"/>
      <color rgb="FF3E3E3E"/>
      <name val="Arial"/>
      <family val="2"/>
    </font>
    <font>
      <b/>
      <sz val="22"/>
      <color theme="1" tint="0.34998626667073579"/>
      <name val="Century Gothic"/>
      <family val="1"/>
    </font>
    <font>
      <b/>
      <sz val="22"/>
      <color theme="1"/>
      <name val="Century Gothic"/>
      <family val="1"/>
    </font>
    <font>
      <sz val="11"/>
      <color theme="1" tint="0.34998626667073579"/>
      <name val="Century Gothic"/>
      <family val="1"/>
    </font>
    <font>
      <sz val="22"/>
      <color theme="1" tint="0.34998626667073579"/>
      <name val="Century Gothic"/>
      <family val="1"/>
    </font>
    <font>
      <sz val="14"/>
      <color theme="1" tint="0.34998626667073579"/>
      <name val="Century Gothic"/>
      <family val="1"/>
    </font>
    <font>
      <b/>
      <sz val="14"/>
      <color theme="1"/>
      <name val="Century Gothic"/>
      <family val="1"/>
    </font>
    <font>
      <b/>
      <sz val="12"/>
      <color theme="1"/>
      <name val="Segoe UI"/>
      <family val="2"/>
    </font>
    <font>
      <sz val="10"/>
      <color theme="1" tint="0.34998626667073579"/>
      <name val="Century Gothic"/>
      <family val="1"/>
    </font>
    <font>
      <sz val="12"/>
      <color theme="1" tint="0.249977111117893"/>
      <name val="Century Gothic"/>
      <family val="1"/>
    </font>
    <font>
      <sz val="10"/>
      <color theme="1" tint="0.249977111117893"/>
      <name val="Century Gothic"/>
      <family val="1"/>
    </font>
    <font>
      <b/>
      <sz val="10"/>
      <color rgb="FFFF0000"/>
      <name val="Century Gothic"/>
      <family val="1"/>
    </font>
    <font>
      <i/>
      <sz val="10"/>
      <color theme="1"/>
      <name val="Century Gothic"/>
      <family val="1"/>
    </font>
    <font>
      <sz val="11"/>
      <color theme="1" tint="0.249977111117893"/>
      <name val="Century Gothic"/>
      <family val="1"/>
    </font>
    <font>
      <sz val="10"/>
      <color rgb="FFFF0000"/>
      <name val="Century Gothic"/>
      <family val="1"/>
    </font>
    <font>
      <b/>
      <sz val="10"/>
      <color theme="1" tint="0.34998626667073579"/>
      <name val="Century Gothic"/>
      <family val="1"/>
    </font>
    <font>
      <i/>
      <sz val="10"/>
      <color theme="1" tint="0.34998626667073579"/>
      <name val="Century Gothic"/>
      <family val="1"/>
    </font>
    <font>
      <b/>
      <sz val="10"/>
      <color rgb="FF7F7F7F"/>
      <name val="Century Gothic"/>
      <family val="1"/>
    </font>
    <font>
      <b/>
      <i/>
      <sz val="10"/>
      <color theme="1" tint="0.34998626667073579"/>
      <name val="Century Gothic"/>
      <family val="1"/>
    </font>
    <font>
      <b/>
      <i/>
      <sz val="11"/>
      <color theme="1" tint="0.34998626667073579"/>
      <name val="Segoe UI"/>
      <family val="2"/>
    </font>
    <font>
      <i/>
      <sz val="11"/>
      <color theme="1" tint="0.34998626667073579"/>
      <name val="Segoe UI"/>
      <family val="2"/>
    </font>
    <font>
      <i/>
      <sz val="10"/>
      <name val="Calibri"/>
      <family val="2"/>
      <charset val="162"/>
      <scheme val="minor"/>
    </font>
    <font>
      <i/>
      <sz val="11"/>
      <name val="Calibri"/>
      <family val="2"/>
      <charset val="162"/>
      <scheme val="minor"/>
    </font>
    <font>
      <sz val="12"/>
      <color theme="1"/>
      <name val="Arial"/>
      <family val="2"/>
    </font>
    <font>
      <b/>
      <sz val="22"/>
      <color rgb="FF76210D"/>
      <name val="Century Gothic"/>
      <family val="1"/>
    </font>
    <font>
      <sz val="22"/>
      <color rgb="FF7F7F7F"/>
      <name val="Century Gothic"/>
      <family val="1"/>
    </font>
    <font>
      <sz val="12"/>
      <color theme="1"/>
      <name val="Calibri"/>
      <family val="2"/>
    </font>
    <font>
      <b/>
      <sz val="14"/>
      <color theme="0"/>
      <name val="Century Gothic"/>
      <family val="1"/>
    </font>
    <font>
      <sz val="12"/>
      <color theme="0"/>
      <name val="Century Gothic"/>
      <family val="1"/>
    </font>
    <font>
      <b/>
      <sz val="22"/>
      <color rgb="FF836700"/>
      <name val="Century Gothic"/>
      <family val="1"/>
    </font>
    <font>
      <sz val="12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sz val="11"/>
      <color theme="10"/>
      <name val="Calibri"/>
      <family val="2"/>
    </font>
    <font>
      <sz val="8"/>
      <color theme="1"/>
      <name val="Calibri"/>
      <family val="2"/>
    </font>
    <font>
      <b/>
      <sz val="11"/>
      <color theme="0"/>
      <name val="Calibri"/>
      <family val="2"/>
    </font>
    <font>
      <b/>
      <sz val="8"/>
      <color theme="0"/>
      <name val="Calibri"/>
      <family val="2"/>
    </font>
    <font>
      <sz val="8"/>
      <name val="Arial"/>
      <family val="2"/>
    </font>
    <font>
      <sz val="8"/>
      <name val="Tahoma"/>
      <family val="2"/>
    </font>
    <font>
      <sz val="8"/>
      <color rgb="FFFF0000"/>
      <name val="Tahoma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Century Gothic"/>
      <family val="1"/>
    </font>
    <font>
      <sz val="12"/>
      <color rgb="FF59F14D"/>
      <name val="Arial"/>
      <family val="2"/>
    </font>
    <font>
      <sz val="10"/>
      <color rgb="FF59F14D"/>
      <name val="Century Gothic"/>
      <family val="1"/>
    </font>
    <font>
      <sz val="11"/>
      <color rgb="FF96969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theme="0"/>
        <bgColor indexed="64"/>
      </patternFill>
    </fill>
    <fill>
      <patternFill patternType="solid">
        <fgColor rgb="FFECEF79"/>
        <bgColor indexed="64"/>
      </patternFill>
    </fill>
    <fill>
      <patternFill patternType="solid">
        <fgColor rgb="FF59F14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2EF3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rgb="FF1F4E7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6DBAD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theme="3" tint="0.79998168889431442"/>
        <bgColor theme="4" tint="0.79998168889431442"/>
      </patternFill>
    </fill>
    <fill>
      <patternFill patternType="solid">
        <fgColor rgb="FFEAEEF3"/>
        <bgColor theme="4" tint="0.79998168889431442"/>
      </patternFill>
    </fill>
    <fill>
      <patternFill patternType="solid">
        <fgColor theme="3" tint="0.39997558519241921"/>
        <bgColor rgb="FF836700"/>
      </patternFill>
    </fill>
    <fill>
      <patternFill patternType="solid">
        <fgColor theme="3" tint="-0.249977111117893"/>
        <bgColor rgb="FF864A04"/>
      </patternFill>
    </fill>
    <fill>
      <patternFill patternType="solid">
        <fgColor theme="3" tint="0.39997558519241921"/>
        <bgColor rgb="FF864A04"/>
      </patternFill>
    </fill>
    <fill>
      <patternFill patternType="solid">
        <fgColor theme="3" tint="0.39997558519241921"/>
        <bgColor rgb="FF6A461B"/>
      </patternFill>
    </fill>
    <fill>
      <patternFill patternType="solid">
        <fgColor theme="3" tint="-0.249977111117893"/>
        <bgColor rgb="FF6A461B"/>
      </patternFill>
    </fill>
    <fill>
      <patternFill patternType="solid">
        <fgColor theme="3" tint="-0.249977111117893"/>
        <bgColor rgb="FF773709"/>
      </patternFill>
    </fill>
    <fill>
      <patternFill patternType="solid">
        <fgColor theme="3" tint="0.39997558519241921"/>
        <bgColor rgb="FF773709"/>
      </patternFill>
    </fill>
    <fill>
      <patternFill patternType="solid">
        <fgColor theme="3" tint="0.39997558519241921"/>
        <bgColor rgb="FF76210D"/>
      </patternFill>
    </fill>
    <fill>
      <patternFill patternType="solid">
        <fgColor theme="3" tint="-0.249977111117893"/>
        <bgColor rgb="FF76210D"/>
      </patternFill>
    </fill>
    <fill>
      <patternFill patternType="solid">
        <fgColor theme="3" tint="-0.249977111117893"/>
        <bgColor rgb="FF836700"/>
      </patternFill>
    </fill>
    <fill>
      <patternFill patternType="solid">
        <fgColor rgb="FFF9F8FA"/>
        <bgColor rgb="FFF9F8FA"/>
      </patternFill>
    </fill>
    <fill>
      <patternFill patternType="solid">
        <fgColor rgb="FFF2F2F2"/>
        <bgColor rgb="FFF2F2F2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3" tint="0.79998168889431442"/>
        <bgColor rgb="FF836700"/>
      </patternFill>
    </fill>
    <fill>
      <patternFill patternType="solid">
        <fgColor theme="3" tint="0.79998168889431442"/>
        <bgColor rgb="FFFDE9D1"/>
      </patternFill>
    </fill>
    <fill>
      <patternFill patternType="solid">
        <fgColor theme="3" tint="0.79998168889431442"/>
        <bgColor rgb="FFF5E8D8"/>
      </patternFill>
    </fill>
    <fill>
      <patternFill patternType="solid">
        <fgColor theme="3" tint="0.79998168889431442"/>
        <bgColor rgb="FFFBE2D0"/>
      </patternFill>
    </fill>
    <fill>
      <patternFill patternType="solid">
        <fgColor theme="3" tint="0.79998168889431442"/>
        <bgColor rgb="FFF9DAD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6AA84F"/>
        <bgColor rgb="FF6AA84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F0D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8DCF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theme="1"/>
        <bgColor theme="1"/>
      </patternFill>
    </fill>
  </fills>
  <borders count="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theme="0" tint="-0.249977111117893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77111117893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77111117893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rgb="FFA5A5A5"/>
      </left>
      <right style="medium">
        <color rgb="FFA5A5A5"/>
      </right>
      <top style="medium">
        <color rgb="FFA5A5A5"/>
      </top>
      <bottom style="thin">
        <color rgb="FFA5A5A5"/>
      </bottom>
      <diagonal/>
    </border>
    <border>
      <left/>
      <right style="thin">
        <color rgb="FFA5A5A5"/>
      </right>
      <top style="medium">
        <color rgb="FFA5A5A5"/>
      </top>
      <bottom style="thin">
        <color rgb="FFA5A5A5"/>
      </bottom>
      <diagonal/>
    </border>
    <border>
      <left style="thin">
        <color rgb="FFA5A5A5"/>
      </left>
      <right style="thin">
        <color rgb="FFA5A5A5"/>
      </right>
      <top style="medium">
        <color rgb="FFA5A5A5"/>
      </top>
      <bottom style="thin">
        <color rgb="FFA5A5A5"/>
      </bottom>
      <diagonal/>
    </border>
    <border>
      <left style="thin">
        <color rgb="FFA5A5A5"/>
      </left>
      <right style="double">
        <color rgb="FFA5A5A5"/>
      </right>
      <top style="medium">
        <color rgb="FFA5A5A5"/>
      </top>
      <bottom style="thin">
        <color rgb="FFA5A5A5"/>
      </bottom>
      <diagonal/>
    </border>
    <border>
      <left style="thin">
        <color rgb="FFA5A5A5"/>
      </left>
      <right style="medium">
        <color rgb="FFA5A5A5"/>
      </right>
      <top style="medium">
        <color rgb="FFA5A5A5"/>
      </top>
      <bottom style="thin">
        <color rgb="FFA5A5A5"/>
      </bottom>
      <diagonal/>
    </border>
    <border>
      <left/>
      <right style="medium">
        <color rgb="FFA5A5A5"/>
      </right>
      <top style="medium">
        <color rgb="FFA5A5A5"/>
      </top>
      <bottom style="thin">
        <color rgb="FFA5A5A5"/>
      </bottom>
      <diagonal/>
    </border>
    <border>
      <left style="medium">
        <color rgb="FFA5A5A5"/>
      </left>
      <right style="medium">
        <color rgb="FFA5A5A5"/>
      </right>
      <top style="thin">
        <color rgb="FFA5A5A5"/>
      </top>
      <bottom style="thin">
        <color rgb="FFA5A5A5"/>
      </bottom>
      <diagonal/>
    </border>
    <border>
      <left/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 style="double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 style="medium">
        <color rgb="FFA5A5A5"/>
      </right>
      <top style="thin">
        <color rgb="FFA5A5A5"/>
      </top>
      <bottom style="thin">
        <color rgb="FFA5A5A5"/>
      </bottom>
      <diagonal/>
    </border>
    <border>
      <left/>
      <right style="medium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rgb="FFA5A5A5"/>
      </left>
      <right style="medium">
        <color rgb="FFA5A5A5"/>
      </right>
      <top style="thin">
        <color rgb="FFA5A5A5"/>
      </top>
      <bottom style="medium">
        <color rgb="FFA5A5A5"/>
      </bottom>
      <diagonal/>
    </border>
    <border>
      <left/>
      <right style="thin">
        <color rgb="FFA5A5A5"/>
      </right>
      <top style="thin">
        <color rgb="FFA5A5A5"/>
      </top>
      <bottom style="medium">
        <color rgb="FFA5A5A5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medium">
        <color rgb="FFA5A5A5"/>
      </bottom>
      <diagonal/>
    </border>
    <border>
      <left style="thin">
        <color rgb="FFA5A5A5"/>
      </left>
      <right style="double">
        <color rgb="FFA5A5A5"/>
      </right>
      <top style="thin">
        <color rgb="FFA5A5A5"/>
      </top>
      <bottom style="medium">
        <color rgb="FFA5A5A5"/>
      </bottom>
      <diagonal/>
    </border>
    <border>
      <left style="thin">
        <color rgb="FFA5A5A5"/>
      </left>
      <right style="medium">
        <color rgb="FFA5A5A5"/>
      </right>
      <top style="thin">
        <color rgb="FFA5A5A5"/>
      </top>
      <bottom style="medium">
        <color rgb="FFA5A5A5"/>
      </bottom>
      <diagonal/>
    </border>
    <border>
      <left/>
      <right style="medium">
        <color rgb="FFA5A5A5"/>
      </right>
      <top style="thin">
        <color rgb="FFA5A5A5"/>
      </top>
      <bottom style="medium">
        <color rgb="FFA5A5A5"/>
      </bottom>
      <diagonal/>
    </border>
    <border>
      <left style="medium">
        <color rgb="FFA5A5A5"/>
      </left>
      <right/>
      <top style="medium">
        <color rgb="FFA5A5A5"/>
      </top>
      <bottom style="medium">
        <color rgb="FFA5A5A5"/>
      </bottom>
      <diagonal/>
    </border>
    <border>
      <left/>
      <right style="double">
        <color rgb="FFA5A5A5"/>
      </right>
      <top style="medium">
        <color rgb="FFA5A5A5"/>
      </top>
      <bottom style="medium">
        <color rgb="FFA5A5A5"/>
      </bottom>
      <diagonal/>
    </border>
    <border>
      <left style="double">
        <color rgb="FFA5A5A5"/>
      </left>
      <right/>
      <top style="medium">
        <color rgb="FFA5A5A5"/>
      </top>
      <bottom style="medium">
        <color rgb="FFA5A5A5"/>
      </bottom>
      <diagonal/>
    </border>
    <border>
      <left/>
      <right/>
      <top style="medium">
        <color rgb="FFA5A5A5"/>
      </top>
      <bottom style="thin">
        <color rgb="FFA5A5A5"/>
      </bottom>
      <diagonal/>
    </border>
    <border>
      <left style="double">
        <color rgb="FFA5A5A5"/>
      </left>
      <right style="thin">
        <color rgb="FFA5A5A5"/>
      </right>
      <top style="medium">
        <color rgb="FFA5A5A5"/>
      </top>
      <bottom style="thin">
        <color rgb="FFA5A5A5"/>
      </bottom>
      <diagonal/>
    </border>
    <border>
      <left/>
      <right/>
      <top style="thin">
        <color rgb="FFA5A5A5"/>
      </top>
      <bottom style="thin">
        <color rgb="FFA5A5A5"/>
      </bottom>
      <diagonal/>
    </border>
    <border>
      <left style="double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A5A5A5"/>
      </top>
      <bottom style="medium">
        <color rgb="FFA5A5A5"/>
      </bottom>
      <diagonal/>
    </border>
    <border>
      <left/>
      <right/>
      <top style="medium">
        <color rgb="FFA5A5A5"/>
      </top>
      <bottom/>
      <diagonal/>
    </border>
    <border>
      <left/>
      <right/>
      <top/>
      <bottom style="thin">
        <color rgb="FFA5A5A5"/>
      </bottom>
      <diagonal/>
    </border>
    <border>
      <left style="double">
        <color rgb="FFA5A5A5"/>
      </left>
      <right style="thin">
        <color rgb="FFA5A5A5"/>
      </right>
      <top/>
      <bottom style="thin">
        <color rgb="FFA5A5A5"/>
      </bottom>
      <diagonal/>
    </border>
    <border>
      <left style="thin">
        <color rgb="FFA5A5A5"/>
      </left>
      <right style="double">
        <color rgb="FFA5A5A5"/>
      </right>
      <top/>
      <bottom style="thin">
        <color rgb="FFA5A5A5"/>
      </bottom>
      <diagonal/>
    </border>
    <border>
      <left/>
      <right style="medium">
        <color rgb="FFA5A5A5"/>
      </right>
      <top/>
      <bottom style="thin">
        <color rgb="FFA5A5A5"/>
      </bottom>
      <diagonal/>
    </border>
    <border>
      <left/>
      <right style="medium">
        <color rgb="FFA5A5A5"/>
      </right>
      <top style="thin">
        <color rgb="FFA5A5A5"/>
      </top>
      <bottom/>
      <diagonal/>
    </border>
    <border>
      <left/>
      <right/>
      <top style="thin">
        <color rgb="FFA5A5A5"/>
      </top>
      <bottom/>
      <diagonal/>
    </border>
    <border>
      <left style="double">
        <color rgb="FFA5A5A5"/>
      </left>
      <right style="thin">
        <color rgb="FFA5A5A5"/>
      </right>
      <top style="thin">
        <color rgb="FFA5A5A5"/>
      </top>
      <bottom/>
      <diagonal/>
    </border>
    <border>
      <left style="thin">
        <color rgb="FFA5A5A5"/>
      </left>
      <right style="double">
        <color rgb="FFA5A5A5"/>
      </right>
      <top style="thin">
        <color rgb="FFA5A5A5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" fillId="0" borderId="0"/>
    <xf numFmtId="0" fontId="13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67" fontId="2" fillId="0" borderId="0" applyFont="0" applyFill="0" applyBorder="0" applyAlignment="0" applyProtection="0"/>
    <xf numFmtId="0" fontId="63" fillId="0" borderId="0"/>
    <xf numFmtId="0" fontId="80" fillId="0" borderId="0"/>
  </cellStyleXfs>
  <cellXfs count="44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3" fillId="0" borderId="0" xfId="3"/>
    <xf numFmtId="0" fontId="4" fillId="0" borderId="0" xfId="3" applyFont="1"/>
    <xf numFmtId="164" fontId="4" fillId="0" borderId="0" xfId="3" applyNumberFormat="1" applyFont="1"/>
    <xf numFmtId="3" fontId="4" fillId="0" borderId="0" xfId="3" applyNumberFormat="1" applyFont="1"/>
    <xf numFmtId="165" fontId="4" fillId="0" borderId="0" xfId="3" applyNumberFormat="1" applyFont="1"/>
    <xf numFmtId="43" fontId="0" fillId="0" borderId="0" xfId="1" applyFont="1"/>
    <xf numFmtId="43" fontId="0" fillId="0" borderId="0" xfId="0" applyNumberFormat="1"/>
    <xf numFmtId="3" fontId="0" fillId="0" borderId="0" xfId="0" applyNumberFormat="1"/>
    <xf numFmtId="0" fontId="0" fillId="0" borderId="0" xfId="0" applyAlignment="1">
      <alignment vertical="center"/>
    </xf>
    <xf numFmtId="44" fontId="0" fillId="0" borderId="0" xfId="2" applyFont="1"/>
    <xf numFmtId="44" fontId="1" fillId="2" borderId="1" xfId="2" applyFont="1" applyFill="1" applyBorder="1" applyAlignment="1">
      <alignment horizontal="center" vertical="center" wrapText="1"/>
    </xf>
    <xf numFmtId="9" fontId="1" fillId="2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44" fontId="0" fillId="0" borderId="1" xfId="2" applyFont="1" applyBorder="1"/>
    <xf numFmtId="43" fontId="0" fillId="0" borderId="1" xfId="1" applyFont="1" applyBorder="1"/>
    <xf numFmtId="43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44" fontId="0" fillId="3" borderId="1" xfId="2" applyFont="1" applyFill="1" applyBorder="1"/>
    <xf numFmtId="43" fontId="0" fillId="3" borderId="1" xfId="1" applyFont="1" applyFill="1" applyBorder="1"/>
    <xf numFmtId="43" fontId="0" fillId="3" borderId="1" xfId="0" applyNumberFormat="1" applyFill="1" applyBorder="1"/>
    <xf numFmtId="2" fontId="0" fillId="3" borderId="1" xfId="0" applyNumberForma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44" fontId="0" fillId="4" borderId="1" xfId="2" applyFont="1" applyFill="1" applyBorder="1"/>
    <xf numFmtId="43" fontId="0" fillId="4" borderId="1" xfId="1" applyFont="1" applyFill="1" applyBorder="1"/>
    <xf numFmtId="43" fontId="0" fillId="4" borderId="1" xfId="0" applyNumberFormat="1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 vertical="center"/>
    </xf>
    <xf numFmtId="44" fontId="0" fillId="5" borderId="1" xfId="2" applyFont="1" applyFill="1" applyBorder="1"/>
    <xf numFmtId="43" fontId="0" fillId="5" borderId="1" xfId="1" applyFont="1" applyFill="1" applyBorder="1"/>
    <xf numFmtId="43" fontId="0" fillId="5" borderId="1" xfId="0" applyNumberFormat="1" applyFill="1" applyBorder="1"/>
    <xf numFmtId="0" fontId="7" fillId="0" borderId="1" xfId="0" applyFont="1" applyBorder="1"/>
    <xf numFmtId="0" fontId="0" fillId="0" borderId="1" xfId="0" applyNumberFormat="1" applyBorder="1"/>
    <xf numFmtId="0" fontId="0" fillId="6" borderId="1" xfId="0" applyFill="1" applyBorder="1"/>
    <xf numFmtId="0" fontId="0" fillId="0" borderId="1" xfId="0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9" borderId="1" xfId="0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/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vertical="center" wrapText="1"/>
    </xf>
    <xf numFmtId="0" fontId="0" fillId="0" borderId="0" xfId="0" applyFont="1" applyFill="1"/>
    <xf numFmtId="0" fontId="9" fillId="0" borderId="0" xfId="0" applyFont="1" applyFill="1"/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vertical="center" wrapText="1"/>
    </xf>
    <xf numFmtId="43" fontId="10" fillId="0" borderId="0" xfId="1" applyFont="1" applyFill="1" applyBorder="1" applyAlignment="1">
      <alignment horizontal="center" vertical="center" wrapText="1"/>
    </xf>
    <xf numFmtId="43" fontId="8" fillId="0" borderId="0" xfId="1" applyFont="1" applyFill="1" applyBorder="1" applyAlignment="1">
      <alignment horizontal="center" vertical="center" wrapText="1"/>
    </xf>
    <xf numFmtId="44" fontId="10" fillId="0" borderId="0" xfId="2" applyFont="1" applyFill="1" applyBorder="1" applyAlignment="1">
      <alignment horizontal="center" vertical="center" wrapText="1"/>
    </xf>
    <xf numFmtId="0" fontId="0" fillId="3" borderId="0" xfId="0" applyFill="1"/>
    <xf numFmtId="43" fontId="10" fillId="0" borderId="0" xfId="1" applyFont="1" applyFill="1" applyBorder="1" applyAlignment="1">
      <alignment vertical="center" wrapText="1"/>
    </xf>
    <xf numFmtId="43" fontId="10" fillId="0" borderId="0" xfId="0" applyNumberFormat="1" applyFont="1" applyFill="1" applyBorder="1" applyAlignment="1">
      <alignment horizontal="center" vertical="center" wrapText="1"/>
    </xf>
    <xf numFmtId="0" fontId="14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14" fontId="0" fillId="0" borderId="0" xfId="0" applyNumberFormat="1"/>
    <xf numFmtId="0" fontId="13" fillId="0" borderId="0" xfId="4"/>
    <xf numFmtId="0" fontId="12" fillId="13" borderId="1" xfId="0" applyFont="1" applyFill="1" applyBorder="1" applyAlignment="1">
      <alignment horizontal="center"/>
    </xf>
    <xf numFmtId="166" fontId="0" fillId="0" borderId="1" xfId="0" applyNumberFormat="1" applyBorder="1"/>
    <xf numFmtId="0" fontId="0" fillId="0" borderId="14" xfId="0" applyBorder="1"/>
    <xf numFmtId="0" fontId="1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0" fillId="0" borderId="0" xfId="0" quotePrefix="1" applyFont="1" applyFill="1" applyBorder="1" applyAlignment="1">
      <alignment horizontal="center" vertical="center" wrapText="1"/>
    </xf>
    <xf numFmtId="0" fontId="12" fillId="0" borderId="0" xfId="0" applyFont="1" applyFill="1" applyBorder="1"/>
    <xf numFmtId="0" fontId="0" fillId="0" borderId="0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vertical="center" wrapText="1"/>
    </xf>
    <xf numFmtId="43" fontId="0" fillId="3" borderId="0" xfId="1" applyFont="1" applyFill="1"/>
    <xf numFmtId="0" fontId="1" fillId="2" borderId="3" xfId="0" applyFont="1" applyFill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29" fillId="0" borderId="0" xfId="0" applyFont="1" applyAlignment="1">
      <alignment horizontal="right" vertical="center"/>
    </xf>
    <xf numFmtId="0" fontId="30" fillId="0" borderId="0" xfId="0" applyFont="1"/>
    <xf numFmtId="0" fontId="24" fillId="0" borderId="0" xfId="0" applyFont="1"/>
    <xf numFmtId="0" fontId="31" fillId="0" borderId="0" xfId="0" applyFont="1" applyAlignment="1">
      <alignment vertical="center"/>
    </xf>
    <xf numFmtId="0" fontId="32" fillId="0" borderId="0" xfId="0" applyFont="1"/>
    <xf numFmtId="0" fontId="33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5" fillId="0" borderId="0" xfId="0" applyFont="1"/>
    <xf numFmtId="0" fontId="36" fillId="0" borderId="0" xfId="0" applyFont="1"/>
    <xf numFmtId="0" fontId="17" fillId="15" borderId="24" xfId="0" applyFont="1" applyFill="1" applyBorder="1" applyAlignment="1">
      <alignment horizontal="left" vertical="center" indent="1"/>
    </xf>
    <xf numFmtId="168" fontId="37" fillId="15" borderId="25" xfId="7" applyNumberFormat="1" applyFont="1" applyFill="1" applyBorder="1" applyAlignment="1" applyProtection="1">
      <alignment vertical="center"/>
    </xf>
    <xf numFmtId="168" fontId="37" fillId="15" borderId="26" xfId="7" applyNumberFormat="1" applyFont="1" applyFill="1" applyBorder="1" applyAlignment="1" applyProtection="1">
      <alignment vertical="center"/>
    </xf>
    <xf numFmtId="0" fontId="38" fillId="0" borderId="0" xfId="0" applyFont="1"/>
    <xf numFmtId="0" fontId="37" fillId="16" borderId="27" xfId="0" applyFont="1" applyFill="1" applyBorder="1" applyAlignment="1" applyProtection="1">
      <alignment horizontal="left" vertical="center" indent="2"/>
      <protection locked="0"/>
    </xf>
    <xf numFmtId="167" fontId="37" fillId="0" borderId="27" xfId="7" applyFont="1" applyFill="1" applyBorder="1" applyAlignment="1" applyProtection="1">
      <alignment vertical="center"/>
      <protection locked="0"/>
    </xf>
    <xf numFmtId="0" fontId="37" fillId="16" borderId="27" xfId="0" applyFont="1" applyFill="1" applyBorder="1" applyAlignment="1" applyProtection="1">
      <alignment horizontal="left" vertical="center" wrapText="1" indent="2"/>
      <protection locked="0"/>
    </xf>
    <xf numFmtId="0" fontId="37" fillId="16" borderId="28" xfId="0" applyFont="1" applyFill="1" applyBorder="1" applyAlignment="1" applyProtection="1">
      <alignment horizontal="left" vertical="center" indent="2"/>
      <protection locked="0"/>
    </xf>
    <xf numFmtId="167" fontId="37" fillId="0" borderId="28" xfId="7" applyFont="1" applyFill="1" applyBorder="1" applyAlignment="1" applyProtection="1">
      <alignment vertical="center"/>
      <protection locked="0"/>
    </xf>
    <xf numFmtId="0" fontId="37" fillId="16" borderId="28" xfId="0" applyFont="1" applyFill="1" applyBorder="1" applyAlignment="1" applyProtection="1">
      <alignment horizontal="left" vertical="center" wrapText="1" indent="2"/>
      <protection locked="0"/>
    </xf>
    <xf numFmtId="0" fontId="17" fillId="17" borderId="29" xfId="0" applyFont="1" applyFill="1" applyBorder="1" applyAlignment="1">
      <alignment horizontal="right" vertical="center" indent="1"/>
    </xf>
    <xf numFmtId="167" fontId="37" fillId="17" borderId="29" xfId="7" applyFont="1" applyFill="1" applyBorder="1" applyAlignment="1" applyProtection="1">
      <alignment vertical="center"/>
    </xf>
    <xf numFmtId="0" fontId="17" fillId="17" borderId="28" xfId="0" applyFont="1" applyFill="1" applyBorder="1" applyAlignment="1">
      <alignment horizontal="right" vertical="center" indent="1"/>
    </xf>
    <xf numFmtId="167" fontId="37" fillId="17" borderId="28" xfId="7" applyFont="1" applyFill="1" applyBorder="1" applyAlignment="1" applyProtection="1">
      <alignment vertical="center"/>
    </xf>
    <xf numFmtId="0" fontId="17" fillId="18" borderId="28" xfId="0" applyFont="1" applyFill="1" applyBorder="1" applyAlignment="1">
      <alignment horizontal="right" vertical="center" indent="1"/>
    </xf>
    <xf numFmtId="167" fontId="17" fillId="18" borderId="25" xfId="0" applyNumberFormat="1" applyFont="1" applyFill="1" applyBorder="1" applyAlignment="1">
      <alignment vertical="center"/>
    </xf>
    <xf numFmtId="167" fontId="17" fillId="18" borderId="28" xfId="0" applyNumberFormat="1" applyFont="1" applyFill="1" applyBorder="1" applyAlignment="1">
      <alignment vertical="center"/>
    </xf>
    <xf numFmtId="0" fontId="40" fillId="0" borderId="0" xfId="0" applyFont="1"/>
    <xf numFmtId="0" fontId="17" fillId="18" borderId="28" xfId="0" applyFont="1" applyFill="1" applyBorder="1" applyAlignment="1">
      <alignment horizontal="right" vertical="center" wrapText="1" indent="1"/>
    </xf>
    <xf numFmtId="0" fontId="17" fillId="15" borderId="28" xfId="0" applyFont="1" applyFill="1" applyBorder="1" applyAlignment="1">
      <alignment horizontal="left" vertical="center" wrapText="1" indent="1"/>
    </xf>
    <xf numFmtId="2" fontId="17" fillId="16" borderId="28" xfId="5" applyNumberFormat="1" applyFont="1" applyFill="1" applyBorder="1" applyAlignment="1" applyProtection="1">
      <alignment horizontal="center" vertical="center"/>
    </xf>
    <xf numFmtId="167" fontId="17" fillId="16" borderId="28" xfId="7" applyFont="1" applyFill="1" applyBorder="1" applyAlignment="1" applyProtection="1">
      <alignment vertical="center"/>
    </xf>
    <xf numFmtId="0" fontId="21" fillId="0" borderId="0" xfId="0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/>
    </xf>
    <xf numFmtId="0" fontId="43" fillId="0" borderId="0" xfId="0" applyFont="1" applyAlignment="1">
      <alignment horizontal="center" vertical="center" wrapText="1"/>
    </xf>
    <xf numFmtId="0" fontId="27" fillId="19" borderId="30" xfId="0" applyFont="1" applyFill="1" applyBorder="1" applyAlignment="1" applyProtection="1">
      <alignment horizontal="center" vertical="center"/>
      <protection locked="0"/>
    </xf>
    <xf numFmtId="0" fontId="45" fillId="0" borderId="31" xfId="0" applyFont="1" applyBorder="1" applyAlignment="1">
      <alignment horizontal="left" vertical="center"/>
    </xf>
    <xf numFmtId="0" fontId="42" fillId="0" borderId="31" xfId="0" applyFont="1" applyBorder="1" applyAlignment="1">
      <alignment horizontal="left" vertical="center"/>
    </xf>
    <xf numFmtId="0" fontId="21" fillId="0" borderId="31" xfId="0" applyFont="1" applyBorder="1" applyAlignment="1">
      <alignment horizontal="left" vertical="center"/>
    </xf>
    <xf numFmtId="0" fontId="45" fillId="0" borderId="0" xfId="0" applyFont="1" applyAlignment="1">
      <alignment horizontal="left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169" fontId="37" fillId="0" borderId="0" xfId="5" applyNumberFormat="1" applyFont="1" applyFill="1" applyAlignment="1">
      <alignment vertical="center"/>
    </xf>
    <xf numFmtId="1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169" fontId="46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0" borderId="31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37" fillId="18" borderId="32" xfId="6" applyFont="1" applyFill="1" applyBorder="1" applyAlignment="1">
      <alignment horizontal="left" vertical="center" indent="1"/>
    </xf>
    <xf numFmtId="0" fontId="49" fillId="18" borderId="28" xfId="6" applyFont="1" applyFill="1" applyBorder="1" applyAlignment="1">
      <alignment horizontal="center" vertical="center"/>
    </xf>
    <xf numFmtId="0" fontId="49" fillId="18" borderId="28" xfId="6" applyFont="1" applyFill="1" applyBorder="1" applyAlignment="1">
      <alignment horizontal="center" vertical="center" wrapText="1"/>
    </xf>
    <xf numFmtId="0" fontId="50" fillId="3" borderId="0" xfId="6" applyFont="1" applyFill="1" applyBorder="1" applyAlignment="1">
      <alignment horizontal="center" vertical="center"/>
    </xf>
    <xf numFmtId="0" fontId="50" fillId="15" borderId="28" xfId="6" applyFont="1" applyFill="1" applyBorder="1" applyAlignment="1">
      <alignment horizontal="center" vertical="center" wrapText="1"/>
    </xf>
    <xf numFmtId="0" fontId="51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4" fillId="0" borderId="0" xfId="0" applyFont="1" applyAlignment="1" applyProtection="1">
      <alignment horizontal="center" vertical="center"/>
      <protection hidden="1"/>
    </xf>
    <xf numFmtId="0" fontId="53" fillId="0" borderId="0" xfId="6" applyFont="1" applyFill="1" applyAlignment="1">
      <alignment horizontal="left" vertical="center" wrapText="1"/>
    </xf>
    <xf numFmtId="0" fontId="53" fillId="0" borderId="0" xfId="6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7" fillId="17" borderId="34" xfId="6" applyFont="1" applyFill="1" applyBorder="1" applyAlignment="1" applyProtection="1">
      <alignment horizontal="left" vertical="center" indent="1"/>
      <protection hidden="1"/>
    </xf>
    <xf numFmtId="0" fontId="37" fillId="0" borderId="35" xfId="6" applyFont="1" applyFill="1" applyBorder="1" applyAlignment="1" applyProtection="1">
      <alignment horizontal="center" vertical="center"/>
      <protection hidden="1"/>
    </xf>
    <xf numFmtId="0" fontId="37" fillId="18" borderId="35" xfId="6" applyFont="1" applyFill="1" applyBorder="1" applyAlignment="1" applyProtection="1">
      <alignment horizontal="center" vertical="center"/>
      <protection hidden="1"/>
    </xf>
    <xf numFmtId="0" fontId="48" fillId="3" borderId="0" xfId="6" applyFont="1" applyFill="1" applyBorder="1" applyAlignment="1" applyProtection="1">
      <alignment horizontal="center" vertical="center"/>
      <protection hidden="1"/>
    </xf>
    <xf numFmtId="169" fontId="37" fillId="15" borderId="27" xfId="5" applyNumberFormat="1" applyFont="1" applyFill="1" applyBorder="1" applyAlignment="1">
      <alignment horizontal="center" vertical="center"/>
    </xf>
    <xf numFmtId="0" fontId="54" fillId="0" borderId="0" xfId="0" applyFont="1" applyAlignment="1">
      <alignment vertical="center"/>
    </xf>
    <xf numFmtId="0" fontId="55" fillId="16" borderId="28" xfId="6" applyFont="1" applyFill="1" applyBorder="1" applyAlignment="1" applyProtection="1">
      <alignment horizontal="center" vertical="center"/>
      <protection hidden="1"/>
    </xf>
    <xf numFmtId="0" fontId="37" fillId="18" borderId="36" xfId="6" applyFont="1" applyFill="1" applyBorder="1" applyAlignment="1" applyProtection="1">
      <alignment horizontal="left" vertical="center" wrapText="1" indent="1"/>
      <protection hidden="1"/>
    </xf>
    <xf numFmtId="1" fontId="56" fillId="17" borderId="23" xfId="6" applyNumberFormat="1" applyFont="1" applyFill="1" applyBorder="1" applyAlignment="1" applyProtection="1">
      <alignment horizontal="center" vertical="center"/>
      <protection hidden="1"/>
    </xf>
    <xf numFmtId="0" fontId="24" fillId="15" borderId="28" xfId="0" applyFont="1" applyFill="1" applyBorder="1" applyAlignment="1" applyProtection="1">
      <alignment horizontal="center" vertical="center"/>
      <protection hidden="1"/>
    </xf>
    <xf numFmtId="0" fontId="37" fillId="18" borderId="32" xfId="6" applyFont="1" applyFill="1" applyBorder="1" applyAlignment="1" applyProtection="1">
      <alignment horizontal="left" vertical="center" wrapText="1" indent="1"/>
      <protection hidden="1"/>
    </xf>
    <xf numFmtId="169" fontId="57" fillId="20" borderId="28" xfId="6" applyNumberFormat="1" applyFont="1" applyFill="1" applyBorder="1" applyAlignment="1">
      <alignment horizontal="center" vertical="center"/>
    </xf>
    <xf numFmtId="0" fontId="37" fillId="17" borderId="28" xfId="0" quotePrefix="1" applyFont="1" applyFill="1" applyBorder="1" applyAlignment="1">
      <alignment horizontal="center" vertical="center"/>
    </xf>
    <xf numFmtId="0" fontId="37" fillId="17" borderId="37" xfId="6" applyFont="1" applyFill="1" applyBorder="1" applyAlignment="1" applyProtection="1">
      <alignment horizontal="left" vertical="center" indent="1"/>
      <protection hidden="1"/>
    </xf>
    <xf numFmtId="0" fontId="37" fillId="0" borderId="23" xfId="6" applyFont="1" applyFill="1" applyBorder="1" applyAlignment="1" applyProtection="1">
      <alignment horizontal="center" vertical="center"/>
      <protection hidden="1"/>
    </xf>
    <xf numFmtId="0" fontId="37" fillId="18" borderId="23" xfId="6" applyFont="1" applyFill="1" applyBorder="1" applyAlignment="1" applyProtection="1">
      <alignment horizontal="center" vertical="center"/>
      <protection hidden="1"/>
    </xf>
    <xf numFmtId="169" fontId="37" fillId="15" borderId="28" xfId="5" applyNumberFormat="1" applyFont="1" applyFill="1" applyBorder="1" applyAlignment="1">
      <alignment horizontal="center" vertical="center"/>
    </xf>
    <xf numFmtId="1" fontId="37" fillId="17" borderId="23" xfId="6" applyNumberFormat="1" applyFont="1" applyFill="1" applyBorder="1" applyAlignment="1" applyProtection="1">
      <alignment horizontal="center" vertical="center"/>
      <protection hidden="1"/>
    </xf>
    <xf numFmtId="1" fontId="37" fillId="18" borderId="23" xfId="6" applyNumberFormat="1" applyFont="1" applyFill="1" applyBorder="1" applyAlignment="1" applyProtection="1">
      <alignment horizontal="center" vertical="center"/>
      <protection hidden="1"/>
    </xf>
    <xf numFmtId="0" fontId="37" fillId="20" borderId="37" xfId="6" applyFont="1" applyFill="1" applyBorder="1" applyAlignment="1" applyProtection="1">
      <alignment horizontal="left" vertical="center" indent="2"/>
      <protection hidden="1"/>
    </xf>
    <xf numFmtId="1" fontId="37" fillId="0" borderId="23" xfId="6" applyNumberFormat="1" applyFont="1" applyFill="1" applyBorder="1" applyAlignment="1" applyProtection="1">
      <alignment horizontal="center" vertical="center"/>
      <protection hidden="1"/>
    </xf>
    <xf numFmtId="1" fontId="48" fillId="3" borderId="0" xfId="6" applyNumberFormat="1" applyFont="1" applyFill="1" applyBorder="1" applyAlignment="1" applyProtection="1">
      <alignment horizontal="center" vertical="center"/>
      <protection hidden="1"/>
    </xf>
    <xf numFmtId="10" fontId="48" fillId="3" borderId="0" xfId="5" applyNumberFormat="1" applyFont="1" applyFill="1" applyBorder="1" applyAlignment="1" applyProtection="1">
      <alignment horizontal="center" vertical="center"/>
      <protection hidden="1"/>
    </xf>
    <xf numFmtId="1" fontId="55" fillId="3" borderId="0" xfId="6" applyNumberFormat="1" applyFont="1" applyFill="1" applyBorder="1" applyAlignment="1" applyProtection="1">
      <alignment horizontal="center" vertical="center"/>
      <protection hidden="1"/>
    </xf>
    <xf numFmtId="9" fontId="48" fillId="0" borderId="0" xfId="5" applyFont="1" applyFill="1" applyBorder="1" applyAlignment="1" applyProtection="1">
      <alignment horizontal="center" vertical="center"/>
      <protection hidden="1"/>
    </xf>
    <xf numFmtId="0" fontId="4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 wrapText="1"/>
    </xf>
    <xf numFmtId="0" fontId="37" fillId="0" borderId="0" xfId="0" applyFont="1"/>
    <xf numFmtId="0" fontId="37" fillId="21" borderId="32" xfId="0" applyFont="1" applyFill="1" applyBorder="1" applyAlignment="1">
      <alignment horizontal="left" vertical="center" wrapText="1" indent="1"/>
    </xf>
    <xf numFmtId="170" fontId="37" fillId="22" borderId="28" xfId="0" applyNumberFormat="1" applyFont="1" applyFill="1" applyBorder="1" applyAlignment="1">
      <alignment horizontal="center" vertical="center"/>
    </xf>
    <xf numFmtId="0" fontId="37" fillId="22" borderId="28" xfId="0" applyFont="1" applyFill="1" applyBorder="1" applyAlignment="1">
      <alignment horizontal="center" vertical="center"/>
    </xf>
    <xf numFmtId="0" fontId="37" fillId="17" borderId="28" xfId="0" applyFont="1" applyFill="1" applyBorder="1" applyAlignment="1">
      <alignment horizontal="center" vertical="center"/>
    </xf>
    <xf numFmtId="1" fontId="58" fillId="17" borderId="23" xfId="6" applyNumberFormat="1" applyFont="1" applyFill="1" applyBorder="1" applyAlignment="1" applyProtection="1">
      <alignment horizontal="center" vertical="center"/>
      <protection hidden="1"/>
    </xf>
    <xf numFmtId="0" fontId="24" fillId="15" borderId="28" xfId="0" applyFont="1" applyFill="1" applyBorder="1" applyAlignment="1" applyProtection="1">
      <alignment horizontal="center" vertical="center" wrapText="1"/>
      <protection hidden="1"/>
    </xf>
    <xf numFmtId="0" fontId="37" fillId="18" borderId="32" xfId="0" applyFont="1" applyFill="1" applyBorder="1" applyAlignment="1">
      <alignment horizontal="left" vertical="center" wrapText="1" indent="1"/>
    </xf>
    <xf numFmtId="170" fontId="37" fillId="17" borderId="28" xfId="0" applyNumberFormat="1" applyFont="1" applyFill="1" applyBorder="1" applyAlignment="1">
      <alignment horizontal="center" vertical="center"/>
    </xf>
    <xf numFmtId="0" fontId="37" fillId="17" borderId="37" xfId="6" applyFont="1" applyFill="1" applyBorder="1" applyAlignment="1" applyProtection="1">
      <alignment horizontal="left" vertical="center" wrapText="1" indent="1"/>
      <protection hidden="1"/>
    </xf>
    <xf numFmtId="0" fontId="37" fillId="17" borderId="36" xfId="6" applyFont="1" applyFill="1" applyBorder="1" applyAlignment="1" applyProtection="1">
      <alignment horizontal="left" vertical="center" indent="1"/>
      <protection hidden="1"/>
    </xf>
    <xf numFmtId="1" fontId="37" fillId="17" borderId="35" xfId="6" applyNumberFormat="1" applyFont="1" applyFill="1" applyBorder="1" applyAlignment="1" applyProtection="1">
      <alignment horizontal="center" vertical="center"/>
      <protection hidden="1"/>
    </xf>
    <xf numFmtId="0" fontId="37" fillId="17" borderId="38" xfId="6" applyFont="1" applyFill="1" applyBorder="1" applyAlignment="1" applyProtection="1">
      <alignment horizontal="left" vertical="center" indent="1"/>
      <protection hidden="1"/>
    </xf>
    <xf numFmtId="1" fontId="37" fillId="0" borderId="39" xfId="6" applyNumberFormat="1" applyFont="1" applyFill="1" applyBorder="1" applyAlignment="1" applyProtection="1">
      <alignment horizontal="center" vertical="center"/>
      <protection hidden="1"/>
    </xf>
    <xf numFmtId="1" fontId="37" fillId="18" borderId="40" xfId="6" applyNumberFormat="1" applyFont="1" applyFill="1" applyBorder="1" applyAlignment="1" applyProtection="1">
      <alignment horizontal="center" vertical="center"/>
      <protection hidden="1"/>
    </xf>
    <xf numFmtId="0" fontId="37" fillId="17" borderId="32" xfId="6" applyFont="1" applyFill="1" applyBorder="1" applyAlignment="1" applyProtection="1">
      <alignment horizontal="left" vertical="center" indent="1"/>
      <protection hidden="1"/>
    </xf>
    <xf numFmtId="1" fontId="37" fillId="17" borderId="28" xfId="6" applyNumberFormat="1" applyFont="1" applyFill="1" applyBorder="1" applyAlignment="1" applyProtection="1">
      <alignment horizontal="center" vertical="center"/>
      <protection hidden="1"/>
    </xf>
    <xf numFmtId="1" fontId="37" fillId="18" borderId="28" xfId="6" applyNumberFormat="1" applyFont="1" applyFill="1" applyBorder="1" applyAlignment="1" applyProtection="1">
      <alignment horizontal="center" vertical="center"/>
      <protection hidden="1"/>
    </xf>
    <xf numFmtId="0" fontId="54" fillId="3" borderId="0" xfId="0" applyFont="1" applyFill="1" applyAlignment="1">
      <alignment vertical="center"/>
    </xf>
    <xf numFmtId="0" fontId="59" fillId="0" borderId="0" xfId="6" applyFont="1" applyFill="1" applyBorder="1" applyAlignment="1" applyProtection="1">
      <alignment vertical="center"/>
      <protection hidden="1"/>
    </xf>
    <xf numFmtId="9" fontId="60" fillId="0" borderId="0" xfId="5" applyFont="1" applyFill="1" applyBorder="1" applyAlignment="1" applyProtection="1">
      <alignment horizontal="center" vertical="center"/>
      <protection hidden="1"/>
    </xf>
    <xf numFmtId="0" fontId="0" fillId="3" borderId="0" xfId="0" applyFill="1" applyAlignment="1">
      <alignment vertical="center"/>
    </xf>
    <xf numFmtId="0" fontId="18" fillId="0" borderId="0" xfId="0" applyFont="1" applyAlignment="1">
      <alignment vertical="center"/>
    </xf>
    <xf numFmtId="4" fontId="20" fillId="3" borderId="0" xfId="0" applyNumberFormat="1" applyFont="1" applyFill="1" applyAlignment="1">
      <alignment vertical="center"/>
    </xf>
    <xf numFmtId="171" fontId="61" fillId="0" borderId="0" xfId="0" applyNumberFormat="1" applyFont="1" applyAlignment="1" applyProtection="1">
      <alignment horizontal="right" vertical="center" wrapText="1"/>
      <protection locked="0"/>
    </xf>
    <xf numFmtId="0" fontId="62" fillId="0" borderId="0" xfId="0" applyFont="1" applyAlignment="1" applyProtection="1">
      <alignment horizontal="right" vertical="center"/>
      <protection locked="0"/>
    </xf>
    <xf numFmtId="0" fontId="63" fillId="0" borderId="0" xfId="8" applyAlignment="1">
      <alignment vertical="center"/>
    </xf>
    <xf numFmtId="0" fontId="22" fillId="0" borderId="0" xfId="8" applyFont="1" applyAlignment="1">
      <alignment vertical="center"/>
    </xf>
    <xf numFmtId="0" fontId="64" fillId="0" borderId="0" xfId="8" applyFont="1" applyAlignment="1">
      <alignment vertical="center"/>
    </xf>
    <xf numFmtId="0" fontId="65" fillId="0" borderId="0" xfId="8" applyFont="1" applyAlignment="1">
      <alignment vertical="center" wrapText="1"/>
    </xf>
    <xf numFmtId="0" fontId="36" fillId="0" borderId="0" xfId="8" applyFont="1" applyAlignment="1">
      <alignment vertical="center"/>
    </xf>
    <xf numFmtId="0" fontId="66" fillId="0" borderId="0" xfId="8" applyFont="1"/>
    <xf numFmtId="0" fontId="63" fillId="0" borderId="0" xfId="8"/>
    <xf numFmtId="0" fontId="36" fillId="0" borderId="0" xfId="8" applyFont="1" applyAlignment="1">
      <alignment horizontal="center" vertical="center"/>
    </xf>
    <xf numFmtId="0" fontId="67" fillId="23" borderId="41" xfId="8" applyFont="1" applyFill="1" applyBorder="1" applyAlignment="1">
      <alignment horizontal="center" vertical="center" wrapText="1"/>
    </xf>
    <xf numFmtId="0" fontId="68" fillId="24" borderId="42" xfId="8" applyFont="1" applyFill="1" applyBorder="1" applyAlignment="1">
      <alignment horizontal="center" vertical="center"/>
    </xf>
    <xf numFmtId="0" fontId="68" fillId="25" borderId="43" xfId="8" applyFont="1" applyFill="1" applyBorder="1" applyAlignment="1">
      <alignment horizontal="center" vertical="center"/>
    </xf>
    <xf numFmtId="0" fontId="68" fillId="24" borderId="44" xfId="8" applyFont="1" applyFill="1" applyBorder="1" applyAlignment="1">
      <alignment horizontal="center" vertical="center"/>
    </xf>
    <xf numFmtId="0" fontId="68" fillId="26" borderId="42" xfId="8" applyFont="1" applyFill="1" applyBorder="1" applyAlignment="1">
      <alignment horizontal="center" vertical="center"/>
    </xf>
    <xf numFmtId="0" fontId="68" fillId="27" borderId="43" xfId="8" applyFont="1" applyFill="1" applyBorder="1" applyAlignment="1">
      <alignment horizontal="center" vertical="center"/>
    </xf>
    <xf numFmtId="0" fontId="68" fillId="26" borderId="44" xfId="8" applyFont="1" applyFill="1" applyBorder="1" applyAlignment="1">
      <alignment horizontal="center" vertical="center"/>
    </xf>
    <xf numFmtId="0" fontId="68" fillId="28" borderId="42" xfId="8" applyFont="1" applyFill="1" applyBorder="1" applyAlignment="1">
      <alignment horizontal="center" vertical="center"/>
    </xf>
    <xf numFmtId="0" fontId="68" fillId="29" borderId="43" xfId="8" applyFont="1" applyFill="1" applyBorder="1" applyAlignment="1">
      <alignment horizontal="center" vertical="center"/>
    </xf>
    <xf numFmtId="0" fontId="68" fillId="28" borderId="44" xfId="8" applyFont="1" applyFill="1" applyBorder="1" applyAlignment="1">
      <alignment horizontal="center" vertical="center"/>
    </xf>
    <xf numFmtId="0" fontId="68" fillId="30" borderId="42" xfId="8" applyFont="1" applyFill="1" applyBorder="1" applyAlignment="1">
      <alignment horizontal="center" vertical="center"/>
    </xf>
    <xf numFmtId="0" fontId="68" fillId="31" borderId="43" xfId="8" applyFont="1" applyFill="1" applyBorder="1" applyAlignment="1">
      <alignment horizontal="center" vertical="center"/>
    </xf>
    <xf numFmtId="0" fontId="68" fillId="30" borderId="45" xfId="8" applyFont="1" applyFill="1" applyBorder="1" applyAlignment="1">
      <alignment horizontal="center" vertical="center"/>
    </xf>
    <xf numFmtId="0" fontId="68" fillId="32" borderId="46" xfId="8" applyFont="1" applyFill="1" applyBorder="1" applyAlignment="1">
      <alignment horizontal="center" vertical="center" wrapText="1"/>
    </xf>
    <xf numFmtId="0" fontId="37" fillId="0" borderId="47" xfId="8" applyFont="1" applyBorder="1" applyAlignment="1">
      <alignment horizontal="left" vertical="center"/>
    </xf>
    <xf numFmtId="167" fontId="37" fillId="0" borderId="48" xfId="8" applyNumberFormat="1" applyFont="1" applyBorder="1" applyAlignment="1">
      <alignment vertical="center"/>
    </xf>
    <xf numFmtId="167" fontId="37" fillId="0" borderId="49" xfId="8" applyNumberFormat="1" applyFont="1" applyBorder="1" applyAlignment="1">
      <alignment vertical="center"/>
    </xf>
    <xf numFmtId="167" fontId="37" fillId="0" borderId="50" xfId="8" applyNumberFormat="1" applyFont="1" applyBorder="1" applyAlignment="1">
      <alignment vertical="center"/>
    </xf>
    <xf numFmtId="167" fontId="37" fillId="0" borderId="51" xfId="8" applyNumberFormat="1" applyFont="1" applyBorder="1" applyAlignment="1">
      <alignment vertical="center"/>
    </xf>
    <xf numFmtId="167" fontId="17" fillId="33" borderId="52" xfId="8" applyNumberFormat="1" applyFont="1" applyFill="1" applyBorder="1" applyAlignment="1">
      <alignment vertical="center"/>
    </xf>
    <xf numFmtId="0" fontId="37" fillId="34" borderId="47" xfId="8" applyFont="1" applyFill="1" applyBorder="1" applyAlignment="1">
      <alignment horizontal="left" vertical="center"/>
    </xf>
    <xf numFmtId="167" fontId="37" fillId="34" borderId="48" xfId="8" applyNumberFormat="1" applyFont="1" applyFill="1" applyBorder="1" applyAlignment="1">
      <alignment vertical="center"/>
    </xf>
    <xf numFmtId="167" fontId="37" fillId="34" borderId="49" xfId="8" applyNumberFormat="1" applyFont="1" applyFill="1" applyBorder="1" applyAlignment="1">
      <alignment vertical="center"/>
    </xf>
    <xf numFmtId="167" fontId="37" fillId="34" borderId="50" xfId="8" applyNumberFormat="1" applyFont="1" applyFill="1" applyBorder="1" applyAlignment="1">
      <alignment vertical="center"/>
    </xf>
    <xf numFmtId="167" fontId="37" fillId="34" borderId="51" xfId="8" applyNumberFormat="1" applyFont="1" applyFill="1" applyBorder="1" applyAlignment="1">
      <alignment vertical="center"/>
    </xf>
    <xf numFmtId="167" fontId="17" fillId="34" borderId="52" xfId="8" applyNumberFormat="1" applyFont="1" applyFill="1" applyBorder="1" applyAlignment="1">
      <alignment vertical="center"/>
    </xf>
    <xf numFmtId="0" fontId="37" fillId="35" borderId="47" xfId="8" applyFont="1" applyFill="1" applyBorder="1" applyAlignment="1">
      <alignment horizontal="left" vertical="center"/>
    </xf>
    <xf numFmtId="0" fontId="17" fillId="36" borderId="53" xfId="8" applyFont="1" applyFill="1" applyBorder="1" applyAlignment="1">
      <alignment horizontal="right" vertical="center" indent="1"/>
    </xf>
    <xf numFmtId="167" fontId="37" fillId="37" borderId="54" xfId="8" applyNumberFormat="1" applyFont="1" applyFill="1" applyBorder="1" applyAlignment="1">
      <alignment vertical="center"/>
    </xf>
    <xf numFmtId="167" fontId="37" fillId="37" borderId="55" xfId="8" applyNumberFormat="1" applyFont="1" applyFill="1" applyBorder="1" applyAlignment="1">
      <alignment vertical="center"/>
    </xf>
    <xf numFmtId="167" fontId="37" fillId="37" borderId="56" xfId="8" applyNumberFormat="1" applyFont="1" applyFill="1" applyBorder="1" applyAlignment="1">
      <alignment vertical="center"/>
    </xf>
    <xf numFmtId="167" fontId="37" fillId="38" borderId="54" xfId="8" applyNumberFormat="1" applyFont="1" applyFill="1" applyBorder="1" applyAlignment="1">
      <alignment vertical="center"/>
    </xf>
    <xf numFmtId="167" fontId="37" fillId="38" borderId="55" xfId="8" applyNumberFormat="1" applyFont="1" applyFill="1" applyBorder="1" applyAlignment="1">
      <alignment vertical="center"/>
    </xf>
    <xf numFmtId="167" fontId="37" fillId="38" borderId="56" xfId="8" applyNumberFormat="1" applyFont="1" applyFill="1" applyBorder="1" applyAlignment="1">
      <alignment vertical="center"/>
    </xf>
    <xf numFmtId="167" fontId="37" fillId="39" borderId="54" xfId="8" applyNumberFormat="1" applyFont="1" applyFill="1" applyBorder="1" applyAlignment="1">
      <alignment vertical="center"/>
    </xf>
    <xf numFmtId="167" fontId="37" fillId="39" borderId="55" xfId="8" applyNumberFormat="1" applyFont="1" applyFill="1" applyBorder="1" applyAlignment="1">
      <alignment vertical="center"/>
    </xf>
    <xf numFmtId="167" fontId="37" fillId="39" borderId="56" xfId="8" applyNumberFormat="1" applyFont="1" applyFill="1" applyBorder="1" applyAlignment="1">
      <alignment vertical="center"/>
    </xf>
    <xf numFmtId="167" fontId="37" fillId="40" borderId="54" xfId="8" applyNumberFormat="1" applyFont="1" applyFill="1" applyBorder="1" applyAlignment="1">
      <alignment vertical="center"/>
    </xf>
    <xf numFmtId="167" fontId="37" fillId="40" borderId="55" xfId="8" applyNumberFormat="1" applyFont="1" applyFill="1" applyBorder="1" applyAlignment="1">
      <alignment vertical="center"/>
    </xf>
    <xf numFmtId="167" fontId="37" fillId="40" borderId="57" xfId="8" applyNumberFormat="1" applyFont="1" applyFill="1" applyBorder="1" applyAlignment="1">
      <alignment vertical="center"/>
    </xf>
    <xf numFmtId="167" fontId="17" fillId="18" borderId="58" xfId="8" applyNumberFormat="1" applyFont="1" applyFill="1" applyBorder="1" applyAlignment="1">
      <alignment vertical="center"/>
    </xf>
    <xf numFmtId="0" fontId="22" fillId="0" borderId="0" xfId="8" applyFont="1"/>
    <xf numFmtId="0" fontId="36" fillId="0" borderId="0" xfId="8" applyFont="1"/>
    <xf numFmtId="0" fontId="69" fillId="0" borderId="0" xfId="8" applyFont="1"/>
    <xf numFmtId="167" fontId="17" fillId="33" borderId="46" xfId="8" applyNumberFormat="1" applyFont="1" applyFill="1" applyBorder="1" applyAlignment="1">
      <alignment vertical="center"/>
    </xf>
    <xf numFmtId="0" fontId="68" fillId="32" borderId="62" xfId="8" applyFont="1" applyFill="1" applyBorder="1" applyAlignment="1">
      <alignment horizontal="center" vertical="center"/>
    </xf>
    <xf numFmtId="0" fontId="68" fillId="29" borderId="63" xfId="8" applyFont="1" applyFill="1" applyBorder="1" applyAlignment="1">
      <alignment horizontal="center" vertical="center"/>
    </xf>
    <xf numFmtId="0" fontId="68" fillId="29" borderId="44" xfId="8" applyFont="1" applyFill="1" applyBorder="1" applyAlignment="1">
      <alignment horizontal="center" vertical="center"/>
    </xf>
    <xf numFmtId="0" fontId="68" fillId="32" borderId="46" xfId="8" applyFont="1" applyFill="1" applyBorder="1" applyAlignment="1">
      <alignment horizontal="center" vertical="center"/>
    </xf>
    <xf numFmtId="0" fontId="71" fillId="0" borderId="0" xfId="0" applyFont="1"/>
    <xf numFmtId="0" fontId="72" fillId="0" borderId="0" xfId="0" applyFont="1"/>
    <xf numFmtId="0" fontId="73" fillId="0" borderId="0" xfId="0" applyFont="1"/>
    <xf numFmtId="0" fontId="74" fillId="0" borderId="0" xfId="0" applyFont="1"/>
    <xf numFmtId="17" fontId="25" fillId="0" borderId="0" xfId="0" applyNumberFormat="1" applyFont="1" applyAlignment="1">
      <alignment horizontal="left"/>
    </xf>
    <xf numFmtId="17" fontId="75" fillId="0" borderId="0" xfId="0" applyNumberFormat="1" applyFont="1"/>
    <xf numFmtId="17" fontId="76" fillId="0" borderId="0" xfId="0" applyNumberFormat="1" applyFont="1"/>
    <xf numFmtId="0" fontId="77" fillId="0" borderId="0" xfId="0" applyFont="1"/>
    <xf numFmtId="0" fontId="76" fillId="0" borderId="0" xfId="0" applyFont="1"/>
    <xf numFmtId="0" fontId="75" fillId="0" borderId="0" xfId="0" applyFont="1"/>
    <xf numFmtId="0" fontId="75" fillId="0" borderId="0" xfId="0" applyFont="1" applyAlignment="1">
      <alignment horizontal="left"/>
    </xf>
    <xf numFmtId="0" fontId="66" fillId="0" borderId="0" xfId="0" applyFont="1"/>
    <xf numFmtId="0" fontId="25" fillId="42" borderId="0" xfId="0" applyFont="1" applyFill="1"/>
    <xf numFmtId="0" fontId="78" fillId="0" borderId="0" xfId="0" applyFont="1" applyAlignment="1">
      <alignment horizontal="center"/>
    </xf>
    <xf numFmtId="0" fontId="79" fillId="43" borderId="66" xfId="0" applyFont="1" applyFill="1" applyBorder="1" applyAlignment="1">
      <alignment horizontal="center" vertical="center"/>
    </xf>
    <xf numFmtId="0" fontId="79" fillId="43" borderId="70" xfId="0" applyFont="1" applyFill="1" applyBorder="1" applyAlignment="1">
      <alignment horizontal="center" vertical="center"/>
    </xf>
    <xf numFmtId="0" fontId="79" fillId="43" borderId="66" xfId="0" applyFont="1" applyFill="1" applyBorder="1" applyAlignment="1">
      <alignment horizontal="center"/>
    </xf>
    <xf numFmtId="0" fontId="77" fillId="0" borderId="0" xfId="0" applyFont="1" applyAlignment="1">
      <alignment horizontal="center"/>
    </xf>
    <xf numFmtId="14" fontId="77" fillId="0" borderId="0" xfId="0" applyNumberFormat="1" applyFont="1" applyAlignment="1">
      <alignment horizontal="center"/>
    </xf>
    <xf numFmtId="4" fontId="77" fillId="0" borderId="0" xfId="0" applyNumberFormat="1" applyFont="1"/>
    <xf numFmtId="0" fontId="77" fillId="0" borderId="0" xfId="0" applyFont="1" applyAlignment="1">
      <alignment horizontal="right"/>
    </xf>
    <xf numFmtId="0" fontId="80" fillId="0" borderId="0" xfId="9" applyProtection="1">
      <protection hidden="1"/>
    </xf>
    <xf numFmtId="0" fontId="0" fillId="0" borderId="0" xfId="0" applyProtection="1">
      <protection hidden="1"/>
    </xf>
    <xf numFmtId="0" fontId="81" fillId="44" borderId="0" xfId="9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81" fillId="45" borderId="0" xfId="9" applyFont="1" applyFill="1" applyAlignment="1" applyProtection="1">
      <alignment horizontal="left"/>
      <protection locked="0"/>
    </xf>
    <xf numFmtId="0" fontId="81" fillId="46" borderId="0" xfId="9" applyFont="1" applyFill="1" applyAlignment="1" applyProtection="1">
      <alignment horizontal="left"/>
      <protection locked="0"/>
    </xf>
    <xf numFmtId="0" fontId="81" fillId="15" borderId="0" xfId="9" applyFont="1" applyFill="1" applyAlignment="1" applyProtection="1">
      <alignment horizontal="left"/>
      <protection locked="0"/>
    </xf>
    <xf numFmtId="0" fontId="81" fillId="0" borderId="0" xfId="9" applyFont="1" applyAlignment="1" applyProtection="1">
      <alignment horizontal="left"/>
      <protection locked="0"/>
    </xf>
    <xf numFmtId="0" fontId="82" fillId="0" borderId="0" xfId="9" applyFont="1" applyAlignment="1" applyProtection="1">
      <alignment horizontal="left"/>
      <protection locked="0"/>
    </xf>
    <xf numFmtId="0" fontId="82" fillId="6" borderId="0" xfId="9" applyFont="1" applyFill="1" applyAlignment="1" applyProtection="1">
      <alignment horizontal="left"/>
      <protection locked="0"/>
    </xf>
    <xf numFmtId="0" fontId="81" fillId="3" borderId="0" xfId="9" applyFont="1" applyFill="1" applyAlignment="1" applyProtection="1">
      <alignment horizontal="left"/>
      <protection locked="0"/>
    </xf>
    <xf numFmtId="0" fontId="78" fillId="43" borderId="72" xfId="0" applyFont="1" applyFill="1" applyBorder="1" applyAlignment="1">
      <alignment horizontal="center" wrapText="1"/>
    </xf>
    <xf numFmtId="172" fontId="84" fillId="43" borderId="73" xfId="0" applyNumberFormat="1" applyFont="1" applyFill="1" applyBorder="1"/>
    <xf numFmtId="172" fontId="25" fillId="0" borderId="74" xfId="0" applyNumberFormat="1" applyFont="1" applyBorder="1"/>
    <xf numFmtId="0" fontId="85" fillId="0" borderId="0" xfId="0" applyFont="1"/>
    <xf numFmtId="0" fontId="0" fillId="0" borderId="75" xfId="0" applyFont="1" applyBorder="1"/>
    <xf numFmtId="0" fontId="86" fillId="47" borderId="0" xfId="0" applyFont="1" applyFill="1"/>
    <xf numFmtId="43" fontId="12" fillId="0" borderId="0" xfId="1" applyFont="1"/>
    <xf numFmtId="0" fontId="87" fillId="0" borderId="0" xfId="0" applyFont="1"/>
    <xf numFmtId="43" fontId="12" fillId="0" borderId="76" xfId="1" applyFont="1" applyBorder="1"/>
    <xf numFmtId="173" fontId="0" fillId="0" borderId="0" xfId="0" applyNumberFormat="1"/>
    <xf numFmtId="43" fontId="86" fillId="47" borderId="0" xfId="1" applyFont="1" applyFill="1"/>
    <xf numFmtId="0" fontId="70" fillId="41" borderId="78" xfId="8" applyFont="1" applyFill="1" applyBorder="1"/>
    <xf numFmtId="0" fontId="68" fillId="29" borderId="62" xfId="8" applyFont="1" applyFill="1" applyBorder="1" applyAlignment="1">
      <alignment horizontal="center" vertical="center"/>
    </xf>
    <xf numFmtId="22" fontId="0" fillId="0" borderId="0" xfId="0" applyNumberFormat="1"/>
    <xf numFmtId="14" fontId="37" fillId="0" borderId="52" xfId="8" applyNumberFormat="1" applyFont="1" applyFill="1" applyBorder="1" applyAlignment="1">
      <alignment horizontal="left" vertical="center"/>
    </xf>
    <xf numFmtId="14" fontId="37" fillId="0" borderId="82" xfId="8" applyNumberFormat="1" applyFont="1" applyFill="1" applyBorder="1" applyAlignment="1">
      <alignment horizontal="left" vertical="center"/>
    </xf>
    <xf numFmtId="0" fontId="37" fillId="0" borderId="64" xfId="8" applyFont="1" applyFill="1" applyBorder="1" applyAlignment="1">
      <alignment horizontal="left" vertical="center"/>
    </xf>
    <xf numFmtId="0" fontId="37" fillId="0" borderId="79" xfId="8" applyFont="1" applyFill="1" applyBorder="1" applyAlignment="1">
      <alignment horizontal="left" vertical="center"/>
    </xf>
    <xf numFmtId="167" fontId="37" fillId="0" borderId="65" xfId="8" applyNumberFormat="1" applyFont="1" applyFill="1" applyBorder="1" applyAlignment="1">
      <alignment vertical="center"/>
    </xf>
    <xf numFmtId="167" fontId="37" fillId="0" borderId="80" xfId="8" applyNumberFormat="1" applyFont="1" applyFill="1" applyBorder="1" applyAlignment="1">
      <alignment vertical="center"/>
    </xf>
    <xf numFmtId="167" fontId="88" fillId="0" borderId="50" xfId="8" applyNumberFormat="1" applyFont="1" applyFill="1" applyBorder="1" applyAlignment="1">
      <alignment vertical="center"/>
    </xf>
    <xf numFmtId="167" fontId="88" fillId="0" borderId="81" xfId="8" applyNumberFormat="1" applyFont="1" applyFill="1" applyBorder="1" applyAlignment="1">
      <alignment vertical="center"/>
    </xf>
    <xf numFmtId="167" fontId="17" fillId="0" borderId="64" xfId="8" applyNumberFormat="1" applyFont="1" applyFill="1" applyBorder="1" applyAlignment="1">
      <alignment vertical="center"/>
    </xf>
    <xf numFmtId="14" fontId="37" fillId="0" borderId="83" xfId="8" applyNumberFormat="1" applyFont="1" applyFill="1" applyBorder="1" applyAlignment="1">
      <alignment horizontal="left" vertical="center"/>
    </xf>
    <xf numFmtId="0" fontId="37" fillId="0" borderId="84" xfId="8" applyFont="1" applyFill="1" applyBorder="1" applyAlignment="1">
      <alignment horizontal="left" vertical="center"/>
    </xf>
    <xf numFmtId="167" fontId="37" fillId="0" borderId="85" xfId="8" applyNumberFormat="1" applyFont="1" applyFill="1" applyBorder="1" applyAlignment="1">
      <alignment vertical="center"/>
    </xf>
    <xf numFmtId="167" fontId="88" fillId="0" borderId="86" xfId="8" applyNumberFormat="1" applyFont="1" applyFill="1" applyBorder="1" applyAlignment="1">
      <alignment vertical="center"/>
    </xf>
    <xf numFmtId="167" fontId="17" fillId="0" borderId="84" xfId="8" applyNumberFormat="1" applyFont="1" applyFill="1" applyBorder="1" applyAlignment="1">
      <alignment vertical="center"/>
    </xf>
    <xf numFmtId="174" fontId="0" fillId="0" borderId="0" xfId="0" applyNumberFormat="1"/>
    <xf numFmtId="0" fontId="89" fillId="0" borderId="0" xfId="8" applyFont="1" applyFill="1"/>
    <xf numFmtId="167" fontId="90" fillId="0" borderId="64" xfId="8" applyNumberFormat="1" applyFont="1" applyFill="1" applyBorder="1" applyAlignment="1">
      <alignment vertical="center"/>
    </xf>
    <xf numFmtId="167" fontId="90" fillId="0" borderId="84" xfId="8" applyNumberFormat="1" applyFont="1" applyFill="1" applyBorder="1" applyAlignment="1">
      <alignment vertical="center"/>
    </xf>
    <xf numFmtId="0" fontId="89" fillId="0" borderId="0" xfId="8" applyFont="1" applyFill="1" applyBorder="1"/>
    <xf numFmtId="10" fontId="12" fillId="0" borderId="0" xfId="0" applyNumberFormat="1" applyFont="1"/>
    <xf numFmtId="0" fontId="0" fillId="48" borderId="1" xfId="0" applyFill="1" applyBorder="1"/>
    <xf numFmtId="175" fontId="91" fillId="0" borderId="0" xfId="0" applyNumberFormat="1" applyFont="1"/>
    <xf numFmtId="0" fontId="12" fillId="49" borderId="0" xfId="0" applyFont="1" applyFill="1"/>
    <xf numFmtId="43" fontId="12" fillId="49" borderId="76" xfId="1" applyFont="1" applyFill="1" applyBorder="1"/>
    <xf numFmtId="0" fontId="0" fillId="0" borderId="0" xfId="0" applyAlignment="1">
      <alignment horizontal="center"/>
    </xf>
    <xf numFmtId="0" fontId="12" fillId="13" borderId="1" xfId="0" applyFont="1" applyFill="1" applyBorder="1" applyAlignment="1">
      <alignment horizontal="center"/>
    </xf>
    <xf numFmtId="0" fontId="0" fillId="0" borderId="1" xfId="0" applyBorder="1" applyProtection="1">
      <protection locked="0"/>
    </xf>
    <xf numFmtId="43" fontId="0" fillId="0" borderId="1" xfId="1" applyFont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0" xfId="0" applyFill="1" applyProtection="1"/>
    <xf numFmtId="0" fontId="0" fillId="0" borderId="0" xfId="0" applyNumberFormat="1"/>
    <xf numFmtId="0" fontId="0" fillId="50" borderId="1" xfId="0" applyFill="1" applyBorder="1"/>
    <xf numFmtId="0" fontId="6" fillId="50" borderId="0" xfId="0" applyFont="1" applyFill="1"/>
    <xf numFmtId="0" fontId="0" fillId="50" borderId="1" xfId="0" applyFill="1" applyBorder="1" applyAlignment="1">
      <alignment horizontal="center" vertical="center"/>
    </xf>
    <xf numFmtId="44" fontId="0" fillId="50" borderId="1" xfId="2" applyFont="1" applyFill="1" applyBorder="1"/>
    <xf numFmtId="43" fontId="0" fillId="50" borderId="1" xfId="1" applyFont="1" applyFill="1" applyBorder="1"/>
    <xf numFmtId="43" fontId="0" fillId="50" borderId="1" xfId="0" applyNumberFormat="1" applyFill="1" applyBorder="1"/>
    <xf numFmtId="0" fontId="1" fillId="2" borderId="3" xfId="0" applyFont="1" applyFill="1" applyBorder="1" applyAlignment="1">
      <alignment horizontal="center" vertical="center" wrapText="1"/>
    </xf>
    <xf numFmtId="0" fontId="92" fillId="0" borderId="0" xfId="0" applyFont="1"/>
    <xf numFmtId="0" fontId="0" fillId="48" borderId="0" xfId="0" applyFill="1"/>
    <xf numFmtId="0" fontId="12" fillId="51" borderId="0" xfId="0" applyFont="1" applyFill="1"/>
    <xf numFmtId="0" fontId="12" fillId="52" borderId="0" xfId="0" applyFont="1" applyFill="1"/>
    <xf numFmtId="0" fontId="0" fillId="0" borderId="0" xfId="0" applyAlignment="1">
      <alignment horizontal="left" indent="2"/>
    </xf>
    <xf numFmtId="3" fontId="12" fillId="52" borderId="0" xfId="0" applyNumberFormat="1" applyFont="1" applyFill="1"/>
    <xf numFmtId="2" fontId="0" fillId="50" borderId="1" xfId="0" applyNumberFormat="1" applyFill="1" applyBorder="1"/>
    <xf numFmtId="44" fontId="0" fillId="50" borderId="1" xfId="0" applyNumberFormat="1" applyFill="1" applyBorder="1"/>
    <xf numFmtId="3" fontId="10" fillId="0" borderId="0" xfId="0" applyNumberFormat="1" applyFont="1" applyFill="1" applyBorder="1" applyAlignment="1">
      <alignment horizontal="center" vertical="center" wrapText="1"/>
    </xf>
    <xf numFmtId="0" fontId="0" fillId="0" borderId="87" xfId="0" applyFont="1" applyBorder="1"/>
    <xf numFmtId="0" fontId="93" fillId="53" borderId="0" xfId="0" applyFont="1" applyFill="1" applyBorder="1"/>
    <xf numFmtId="3" fontId="0" fillId="0" borderId="0" xfId="2" applyNumberFormat="1" applyFont="1"/>
    <xf numFmtId="0" fontId="0" fillId="0" borderId="1" xfId="0" applyBorder="1" applyAlignment="1" applyProtection="1">
      <alignment horizontal="center"/>
      <protection locked="0"/>
    </xf>
    <xf numFmtId="0" fontId="1" fillId="2" borderId="3" xfId="0" applyFont="1" applyFill="1" applyBorder="1" applyAlignment="1">
      <alignment horizontal="center" vertical="center" wrapText="1"/>
    </xf>
    <xf numFmtId="0" fontId="0" fillId="0" borderId="88" xfId="0" applyFont="1" applyBorder="1"/>
    <xf numFmtId="44" fontId="0" fillId="0" borderId="0" xfId="2" applyNumberFormat="1" applyFont="1"/>
    <xf numFmtId="44" fontId="0" fillId="0" borderId="23" xfId="2" applyFont="1" applyBorder="1" applyAlignment="1">
      <alignment horizontal="left" vertical="center" indent="1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44" fontId="0" fillId="0" borderId="0" xfId="0" applyNumberFormat="1"/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9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1" fillId="2" borderId="6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</xf>
    <xf numFmtId="0" fontId="0" fillId="3" borderId="11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3" xfId="0" applyFill="1" applyBorder="1" applyAlignment="1" applyProtection="1">
      <alignment horizontal="center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 wrapText="1"/>
      <protection locked="0"/>
    </xf>
    <xf numFmtId="0" fontId="1" fillId="2" borderId="8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4" borderId="6" xfId="0" applyFont="1" applyFill="1" applyBorder="1" applyAlignment="1" applyProtection="1">
      <alignment horizontal="center" vertical="center" wrapText="1"/>
      <protection locked="0"/>
    </xf>
    <xf numFmtId="0" fontId="1" fillId="14" borderId="8" xfId="0" applyFont="1" applyFill="1" applyBorder="1" applyAlignment="1" applyProtection="1">
      <alignment horizontal="center" vertical="center" wrapText="1"/>
      <protection locked="0"/>
    </xf>
    <xf numFmtId="0" fontId="1" fillId="14" borderId="9" xfId="0" applyFont="1" applyFill="1" applyBorder="1" applyAlignment="1" applyProtection="1">
      <alignment horizontal="center" vertical="center" wrapText="1"/>
      <protection locked="0"/>
    </xf>
    <xf numFmtId="0" fontId="1" fillId="14" borderId="10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12" borderId="1" xfId="0" applyFill="1" applyBorder="1" applyAlignment="1" applyProtection="1">
      <alignment horizontal="left"/>
      <protection locked="0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166" fontId="15" fillId="0" borderId="1" xfId="0" applyNumberFormat="1" applyFont="1" applyBorder="1" applyAlignment="1">
      <alignment horizontal="right"/>
    </xf>
    <xf numFmtId="0" fontId="15" fillId="0" borderId="1" xfId="0" applyFont="1" applyBorder="1" applyAlignment="1">
      <alignment horizontal="right"/>
    </xf>
    <xf numFmtId="0" fontId="0" fillId="0" borderId="0" xfId="0" applyAlignment="1">
      <alignment horizontal="right" vertic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166" fontId="0" fillId="0" borderId="11" xfId="0" applyNumberFormat="1" applyBorder="1" applyAlignment="1">
      <alignment horizontal="right"/>
    </xf>
    <xf numFmtId="166" fontId="0" fillId="0" borderId="13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12" fillId="13" borderId="1" xfId="0" applyFont="1" applyFill="1" applyBorder="1" applyAlignment="1">
      <alignment horizontal="center"/>
    </xf>
    <xf numFmtId="0" fontId="12" fillId="13" borderId="11" xfId="0" applyFont="1" applyFill="1" applyBorder="1" applyAlignment="1">
      <alignment horizontal="center"/>
    </xf>
    <xf numFmtId="0" fontId="12" fillId="13" borderId="13" xfId="0" applyFont="1" applyFill="1" applyBorder="1" applyAlignment="1">
      <alignment horizontal="center"/>
    </xf>
    <xf numFmtId="0" fontId="79" fillId="43" borderId="67" xfId="0" applyFont="1" applyFill="1" applyBorder="1" applyAlignment="1">
      <alignment horizontal="center" vertical="center" wrapText="1"/>
    </xf>
    <xf numFmtId="0" fontId="10" fillId="0" borderId="68" xfId="0" applyFont="1" applyBorder="1"/>
    <xf numFmtId="0" fontId="10" fillId="0" borderId="69" xfId="0" applyFont="1" applyBorder="1"/>
    <xf numFmtId="0" fontId="79" fillId="43" borderId="67" xfId="0" applyFont="1" applyFill="1" applyBorder="1" applyAlignment="1">
      <alignment horizontal="center" vertical="center"/>
    </xf>
    <xf numFmtId="0" fontId="78" fillId="43" borderId="67" xfId="0" applyFont="1" applyFill="1" applyBorder="1" applyAlignment="1">
      <alignment horizontal="center" wrapText="1"/>
    </xf>
    <xf numFmtId="0" fontId="83" fillId="43" borderId="66" xfId="0" applyFont="1" applyFill="1" applyBorder="1" applyAlignment="1">
      <alignment horizontal="center" vertical="center" wrapText="1"/>
    </xf>
    <xf numFmtId="0" fontId="10" fillId="0" borderId="71" xfId="0" applyFont="1" applyBorder="1"/>
    <xf numFmtId="0" fontId="78" fillId="43" borderId="66" xfId="0" applyFont="1" applyFill="1" applyBorder="1" applyAlignment="1">
      <alignment horizontal="center" vertical="center" wrapText="1"/>
    </xf>
    <xf numFmtId="0" fontId="52" fillId="0" borderId="33" xfId="0" applyFont="1" applyBorder="1" applyAlignment="1">
      <alignment vertical="center" wrapText="1"/>
    </xf>
    <xf numFmtId="0" fontId="43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/>
    </xf>
    <xf numFmtId="0" fontId="68" fillId="29" borderId="61" xfId="8" applyFont="1" applyFill="1" applyBorder="1" applyAlignment="1">
      <alignment horizontal="center" vertical="center"/>
    </xf>
    <xf numFmtId="0" fontId="70" fillId="41" borderId="60" xfId="8" applyFont="1" applyFill="1" applyBorder="1"/>
    <xf numFmtId="0" fontId="67" fillId="27" borderId="59" xfId="8" applyFont="1" applyFill="1" applyBorder="1" applyAlignment="1">
      <alignment horizontal="center" vertical="center"/>
    </xf>
    <xf numFmtId="0" fontId="67" fillId="27" borderId="77" xfId="8" applyFont="1" applyFill="1" applyBorder="1" applyAlignment="1">
      <alignment horizontal="center" vertical="center"/>
    </xf>
    <xf numFmtId="0" fontId="67" fillId="27" borderId="60" xfId="8" applyFont="1" applyFill="1" applyBorder="1" applyAlignment="1">
      <alignment horizontal="center" vertical="center"/>
    </xf>
    <xf numFmtId="0" fontId="12" fillId="52" borderId="0" xfId="0" applyFont="1" applyFill="1" applyAlignment="1">
      <alignment horizontal="left"/>
    </xf>
    <xf numFmtId="0" fontId="12" fillId="0" borderId="0" xfId="0" applyFont="1" applyAlignment="1">
      <alignment horizontal="center"/>
    </xf>
    <xf numFmtId="0" fontId="0" fillId="0" borderId="89" xfId="0" applyFont="1" applyBorder="1"/>
    <xf numFmtId="3" fontId="0" fillId="0" borderId="1" xfId="1" applyNumberFormat="1" applyFont="1" applyBorder="1" applyAlignment="1" applyProtection="1">
      <alignment horizontal="center"/>
      <protection locked="0"/>
    </xf>
    <xf numFmtId="3" fontId="0" fillId="0" borderId="0" xfId="1" applyNumberFormat="1" applyFont="1"/>
    <xf numFmtId="43" fontId="0" fillId="3" borderId="0" xfId="0" applyNumberFormat="1" applyFill="1"/>
  </cellXfs>
  <cellStyles count="10">
    <cellStyle name="Hipervínculo" xfId="4" builtinId="8"/>
    <cellStyle name="Millares" xfId="1" builtinId="3"/>
    <cellStyle name="Moneda" xfId="2" builtinId="4"/>
    <cellStyle name="Moneda 2" xfId="7" xr:uid="{22256BD4-69CE-4FDC-A410-33D20712DFA2}"/>
    <cellStyle name="Normal" xfId="0" builtinId="0"/>
    <cellStyle name="Normal 2" xfId="3" xr:uid="{BD98BB8E-5254-4344-8279-03BF5F29AFDF}"/>
    <cellStyle name="Normal 2 2" xfId="9" xr:uid="{F9903E8D-F6EB-4370-A993-D91C2E5A1A40}"/>
    <cellStyle name="Normal 3" xfId="8" xr:uid="{D5FF2DEB-3BAE-4EA7-AAA3-C3C8AE612547}"/>
    <cellStyle name="Porcentaje" xfId="5" builtinId="5"/>
    <cellStyle name="Texto explicativo" xfId="6" builtinId="53"/>
  </cellStyles>
  <dxfs count="83">
    <dxf>
      <font>
        <color rgb="FFFFFFFF"/>
      </font>
      <fill>
        <patternFill>
          <bgColor rgb="FFFF0000"/>
        </patternFill>
      </fill>
    </dxf>
    <dxf>
      <font>
        <color rgb="FF01A8C1"/>
      </font>
    </dxf>
    <dxf>
      <font>
        <color rgb="FFFF5E21"/>
      </font>
    </dxf>
    <dxf>
      <font>
        <color rgb="FFFF5E21"/>
      </font>
    </dxf>
    <dxf>
      <font>
        <color rgb="FF01A8C1"/>
      </font>
    </dxf>
    <dxf>
      <font>
        <color rgb="FF01A8C1"/>
      </font>
    </dxf>
    <dxf>
      <font>
        <color rgb="FFFF5E21"/>
      </font>
    </dxf>
    <dxf>
      <font>
        <color rgb="FF01A8C1"/>
      </font>
    </dxf>
    <dxf>
      <font>
        <color rgb="FFFF5E21"/>
      </font>
    </dxf>
    <dxf>
      <font>
        <color rgb="FFFF5E21"/>
      </font>
    </dxf>
    <dxf>
      <font>
        <color rgb="FF01A8C1"/>
      </font>
    </dxf>
    <dxf>
      <font>
        <color rgb="FF01A8C1"/>
      </font>
    </dxf>
    <dxf>
      <font>
        <color rgb="FFFF5E21"/>
      </font>
    </dxf>
    <dxf>
      <font>
        <color rgb="FF01A8C1"/>
      </font>
    </dxf>
    <dxf>
      <font>
        <color rgb="FFFF5E21"/>
      </font>
    </dxf>
    <dxf>
      <font>
        <color rgb="FF01A8C1"/>
      </font>
    </dxf>
    <dxf>
      <font>
        <color rgb="FFFF5E21"/>
      </font>
    </dxf>
    <dxf>
      <font>
        <color rgb="FFFF5E21"/>
      </font>
    </dxf>
    <dxf>
      <font>
        <color rgb="FF01A8C1"/>
      </font>
    </dxf>
    <dxf>
      <font>
        <color rgb="FF01A8C1"/>
      </font>
    </dxf>
    <dxf>
      <font>
        <color rgb="FFFF5E21"/>
      </font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color theme="1"/>
      </font>
      <fill>
        <patternFill patternType="none"/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1"/>
        <scheme val="none"/>
      </font>
      <numFmt numFmtId="167" formatCode="_(&quot;$&quot;* #,##0.00_);_(&quot;$&quot;* \(#,##0.00\);_(&quot;$&quot;* &quot;-&quot;??_);_(@_)"/>
      <fill>
        <patternFill patternType="none">
          <fgColor rgb="FFF9F8FA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rgb="FFA5A5A5"/>
        </top>
        <bottom style="thin">
          <color rgb="FFA5A5A5"/>
        </bottom>
      </border>
    </dxf>
    <dxf>
      <font>
        <strike val="0"/>
        <outline val="0"/>
        <shadow val="0"/>
        <u val="none"/>
        <vertAlign val="baseline"/>
        <color rgb="FF59F14D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1"/>
        <scheme val="none"/>
      </font>
      <numFmt numFmtId="167" formatCode="_(&quot;$&quot;* #,##0.00_);_(&quot;$&quot;* \(#,##0.00\);_(&quot;$&quot;* &quot;-&quot;??_);_(@_)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A5A5A5"/>
        </left>
        <right/>
        <top style="thin">
          <color rgb="FFA5A5A5"/>
        </top>
        <bottom style="thin">
          <color rgb="FFA5A5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1"/>
        <scheme val="none"/>
      </font>
      <numFmt numFmtId="167" formatCode="_(&quot;$&quot;* #,##0.00_);_(&quot;$&quot;* \(#,##0.00\);_(&quot;$&quot;* &quot;-&quot;??_);_(@_)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double">
          <color rgb="FFA5A5A5"/>
        </left>
        <right style="thin">
          <color rgb="FFA5A5A5"/>
        </right>
        <top style="thin">
          <color rgb="FFA5A5A5"/>
        </top>
        <bottom style="thin">
          <color rgb="FFA5A5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1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A5A5A5"/>
        </top>
        <bottom style="thin">
          <color rgb="FFA5A5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1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A5A5A5"/>
        </top>
        <bottom style="thin">
          <color rgb="FFA5A5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1"/>
        <scheme val="none"/>
      </font>
      <numFmt numFmtId="19" formatCode="d/mm/yyyy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A5A5A5"/>
        </right>
        <top style="thin">
          <color rgb="FFA5A5A5"/>
        </top>
        <bottom style="thin">
          <color rgb="FFA5A5A5"/>
        </bottom>
      </border>
    </dxf>
    <dxf>
      <border outline="0">
        <left style="medium">
          <color rgb="FFA5A5A5"/>
        </left>
        <right style="medium">
          <color rgb="FFA5A5A5"/>
        </right>
        <top style="medium">
          <color rgb="FFA5A5A5"/>
        </top>
        <bottom style="medium">
          <color rgb="FFA5A5A5"/>
        </bottom>
      </border>
    </dxf>
    <dxf>
      <fill>
        <patternFill patternType="none">
          <bgColor auto="1"/>
        </patternFill>
      </fill>
    </dxf>
    <dxf>
      <border outline="0">
        <bottom style="thin">
          <color rgb="FFA5A5A5"/>
        </bottom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1F4E78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\ * #,##0.00_-;\-&quot;$&quot;\ * #,##0.00_-;_-&quot;$&quot;\ 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1F4E78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9" defaultPivotStyle="PivotStyleLight16"/>
  <colors>
    <mruColors>
      <color rgb="FF59F14D"/>
      <color rgb="FFEAEAEA"/>
      <color rgb="FFECEF79"/>
      <color rgb="FF42EF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Comparativa Costo vs Precio Venta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>
              <a:prstDash val="solid"/>
            </a:ln>
          </c:spPr>
          <c:invertIfNegative val="0"/>
          <c:val>
            <c:numRef>
              <c:f>Calculadora_Produccion!#REF!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Calculadora_Produccion!#REF!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Calculadora_Produccion!#REF!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5E9-6A4F-8462-5757BEA9AE9D}"/>
            </c:ext>
          </c:extLst>
        </c:ser>
        <c:ser>
          <c:idx val="1"/>
          <c:order val="1"/>
          <c:spPr>
            <a:ln>
              <a:prstDash val="solid"/>
            </a:ln>
          </c:spPr>
          <c:invertIfNegative val="0"/>
          <c:val>
            <c:numRef>
              <c:f>Calculadora_Produccion!#REF!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Calculadora_Produccion!#REF!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Calculadora_Produccion!#REF!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5E9-6A4F-8462-5757BEA9A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USD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'EN BLANCO - Entrada de datos'!$AB$14</c:f>
              <c:strCache>
                <c:ptCount val="1"/>
                <c:pt idx="0">
                  <c:v>Finaliza</c:v>
                </c:pt>
              </c:strCache>
            </c:strRef>
          </c:tx>
          <c:spPr>
            <a:solidFill>
              <a:srgbClr val="01A8C1"/>
            </a:solidFill>
            <a:ln w="25400">
              <a:noFill/>
            </a:ln>
            <a:effectLst>
              <a:outerShdw blurRad="50800" dist="38100" dir="8100000" algn="tr" rotWithShape="0">
                <a:schemeClr val="bg1">
                  <a:lumMod val="75000"/>
                  <a:alpha val="40000"/>
                </a:schemeClr>
              </a:outerShdw>
            </a:effectLst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datos'!$AB$15:$AB$23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B-49AA-BA9C-6F66BEC78815}"/>
            </c:ext>
          </c:extLst>
        </c:ser>
        <c:ser>
          <c:idx val="1"/>
          <c:order val="1"/>
          <c:tx>
            <c:strRef>
              <c:f>'EN BLANCO - Entrada de datos'!$AC$14</c:f>
              <c:strCache>
                <c:ptCount val="1"/>
                <c:pt idx="0">
                  <c:v>Blanco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datos'!$AC$15:$AC$23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7B-49AA-BA9C-6F66BEC78815}"/>
            </c:ext>
          </c:extLst>
        </c:ser>
        <c:ser>
          <c:idx val="2"/>
          <c:order val="2"/>
          <c:tx>
            <c:strRef>
              <c:f>'EN BLANCO - Entrada de datos'!$AD$14</c:f>
              <c:strCache>
                <c:ptCount val="1"/>
                <c:pt idx="0">
                  <c:v>Pérdida negativa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datos'!$AD$15:$AD$23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B-49AA-BA9C-6F66BEC78815}"/>
            </c:ext>
          </c:extLst>
        </c:ser>
        <c:ser>
          <c:idx val="3"/>
          <c:order val="3"/>
          <c:tx>
            <c:strRef>
              <c:f>'EN BLANCO - Entrada de datos'!$AE$14</c:f>
              <c:strCache>
                <c:ptCount val="1"/>
                <c:pt idx="0">
                  <c:v>Ganancia negativa</c:v>
                </c:pt>
              </c:strCache>
            </c:strRef>
          </c:tx>
          <c:spPr>
            <a:solidFill>
              <a:srgbClr val="2CA02C"/>
            </a:solidFill>
            <a:ln w="25400">
              <a:noFill/>
            </a:ln>
            <a:effectLst/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datos'!$AE$15:$AE$23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7B-49AA-BA9C-6F66BEC78815}"/>
            </c:ext>
          </c:extLst>
        </c:ser>
        <c:ser>
          <c:idx val="4"/>
          <c:order val="4"/>
          <c:tx>
            <c:strRef>
              <c:f>'EN BLANCO - Entrada de datos'!$AF$14</c:f>
              <c:strCache>
                <c:ptCount val="1"/>
                <c:pt idx="0">
                  <c:v>Pérdida positiva</c:v>
                </c:pt>
              </c:strCache>
            </c:strRef>
          </c:tx>
          <c:spPr>
            <a:solidFill>
              <a:srgbClr val="FF5E21"/>
            </a:solidFill>
            <a:ln w="25400">
              <a:noFill/>
            </a:ln>
            <a:effectLst>
              <a:outerShdw blurRad="50800" dist="38100" dir="8100000" algn="tr" rotWithShape="0">
                <a:schemeClr val="bg1">
                  <a:lumMod val="75000"/>
                  <a:alpha val="40000"/>
                </a:schemeClr>
              </a:outerShdw>
            </a:effectLst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datos'!$AF$15:$AF$23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7B-49AA-BA9C-6F66BEC78815}"/>
            </c:ext>
          </c:extLst>
        </c:ser>
        <c:ser>
          <c:idx val="5"/>
          <c:order val="5"/>
          <c:tx>
            <c:strRef>
              <c:f>'EN BLANCO - Entrada de datos'!$AG$14</c:f>
              <c:strCache>
                <c:ptCount val="1"/>
                <c:pt idx="0">
                  <c:v>Ganancia positiva</c:v>
                </c:pt>
              </c:strCache>
            </c:strRef>
          </c:tx>
          <c:spPr>
            <a:solidFill>
              <a:srgbClr val="2CA02C"/>
            </a:solidFill>
            <a:ln w="25400">
              <a:noFill/>
            </a:ln>
            <a:effectLst/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datos'!$AG$15:$AG$23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7B-49AA-BA9C-6F66BEC78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334036688"/>
        <c:axId val="-334030160"/>
      </c:barChart>
      <c:scatterChart>
        <c:scatterStyle val="lineMarker"/>
        <c:varyColors val="0"/>
        <c:ser>
          <c:idx val="6"/>
          <c:order val="6"/>
          <c:tx>
            <c:strRef>
              <c:f>'EN BLANCO - Entrada de datos'!$AJ$14</c:f>
              <c:strCache>
                <c:ptCount val="1"/>
                <c:pt idx="0">
                  <c:v>Centro 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67B-49AA-BA9C-6F66BEC788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67B-49AA-BA9C-6F66BEC788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67B-49AA-BA9C-6F66BEC788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67B-49AA-BA9C-6F66BEC788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67B-49AA-BA9C-6F66BEC788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67B-49AA-BA9C-6F66BEC788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67B-49AA-BA9C-6F66BEC788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67B-49AA-BA9C-6F66BEC788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67B-49AA-BA9C-6F66BEC788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'EN BLANCO - Entrada de datos'!$AJ$15:$AJ$23</c:f>
              <c:numCache>
                <c:formatCode>0;\-0;;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'EN BLANCO - Entrada de datos'!$AM$15:$AM$23</c:f>
              <c:numCache>
                <c:formatCode>General</c:formatCode>
                <c:ptCount val="9"/>
                <c:pt idx="0">
                  <c:v>5.5555555555555552E-2</c:v>
                </c:pt>
                <c:pt idx="1">
                  <c:v>0.16666666666666666</c:v>
                </c:pt>
                <c:pt idx="2">
                  <c:v>0.27777777777777779</c:v>
                </c:pt>
                <c:pt idx="3">
                  <c:v>0.3888888888888889</c:v>
                </c:pt>
                <c:pt idx="4">
                  <c:v>0.5</c:v>
                </c:pt>
                <c:pt idx="5">
                  <c:v>0.61111111111111116</c:v>
                </c:pt>
                <c:pt idx="6">
                  <c:v>0.72222222222222232</c:v>
                </c:pt>
                <c:pt idx="7">
                  <c:v>0.83333333333333348</c:v>
                </c:pt>
                <c:pt idx="8">
                  <c:v>0.94444444444444464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67B-49AA-BA9C-6F66BEC78815}"/>
            </c:ext>
          </c:extLst>
        </c:ser>
        <c:ser>
          <c:idx val="7"/>
          <c:order val="7"/>
          <c:tx>
            <c:strRef>
              <c:f>'EN BLANCO - Entrada de datos'!$AK$14</c:f>
              <c:strCache>
                <c:ptCount val="1"/>
                <c:pt idx="0">
                  <c:v>X derecha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FCFAB7-2458-4973-86D0-87A0C09EC305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A67B-49AA-BA9C-6F66BEC788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A51BE2-5E4B-47E9-B566-486B51D6BE88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A67B-49AA-BA9C-6F66BEC788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67B-49AA-BA9C-6F66BEC788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86A90B-9A1D-460A-B5BA-3323D0052E65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7B-49AA-BA9C-6F66BEC788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67B-49AA-BA9C-6F66BEC788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345476-BD2B-4E06-8102-0BE8A4361C2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7B-49AA-BA9C-6F66BEC788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67B-49AA-BA9C-6F66BEC788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362463-5946-4694-A9B8-E0ABC4BF63C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7B-49AA-BA9C-6F66BEC788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67B-49AA-BA9C-6F66BEC788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'EN BLANCO - Entrada de datos'!$AK$15:$AK$23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0</c:v>
                </c:pt>
                <c:pt idx="8">
                  <c:v>#N/A</c:v>
                </c:pt>
              </c:numCache>
            </c:numRef>
          </c:xVal>
          <c:yVal>
            <c:numRef>
              <c:f>'EN BLANCO - Entrada de datos'!$AM$15:$AM$23</c:f>
              <c:numCache>
                <c:formatCode>General</c:formatCode>
                <c:ptCount val="9"/>
                <c:pt idx="0">
                  <c:v>5.5555555555555552E-2</c:v>
                </c:pt>
                <c:pt idx="1">
                  <c:v>0.16666666666666666</c:v>
                </c:pt>
                <c:pt idx="2">
                  <c:v>0.27777777777777779</c:v>
                </c:pt>
                <c:pt idx="3">
                  <c:v>0.3888888888888889</c:v>
                </c:pt>
                <c:pt idx="4">
                  <c:v>0.5</c:v>
                </c:pt>
                <c:pt idx="5">
                  <c:v>0.61111111111111116</c:v>
                </c:pt>
                <c:pt idx="6">
                  <c:v>0.72222222222222232</c:v>
                </c:pt>
                <c:pt idx="7">
                  <c:v>0.83333333333333348</c:v>
                </c:pt>
                <c:pt idx="8">
                  <c:v>0.94444444444444464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'EN BLANCO - Entrada de datos'!$AN$15:$AN$23</c15:f>
                <c15:dlblRangeCache>
                  <c:ptCount val="9"/>
                </c15:dlblRangeCache>
              </c15:datalabelsRange>
            </c:ext>
            <c:ext xmlns:c16="http://schemas.microsoft.com/office/drawing/2014/chart" uri="{C3380CC4-5D6E-409C-BE32-E72D297353CC}">
              <c16:uniqueId val="{00000019-A67B-49AA-BA9C-6F66BEC78815}"/>
            </c:ext>
          </c:extLst>
        </c:ser>
        <c:ser>
          <c:idx val="8"/>
          <c:order val="8"/>
          <c:tx>
            <c:strRef>
              <c:f>'EN BLANCO - Entrada de datos'!$AL$14</c:f>
              <c:strCache>
                <c:ptCount val="1"/>
                <c:pt idx="0">
                  <c:v>X izquierda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67B-49AA-BA9C-6F66BEC788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67B-49AA-BA9C-6F66BEC788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67B-49AA-BA9C-6F66BEC788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67B-49AA-BA9C-6F66BEC788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67B-49AA-BA9C-6F66BEC788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67B-49AA-BA9C-6F66BEC788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67B-49AA-BA9C-6F66BEC788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67B-49AA-BA9C-6F66BEC788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67B-49AA-BA9C-6F66BEC788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'EN BLANCO - Entrada de datos'!$AL$15:$AL$23</c:f>
              <c:numCache>
                <c:formatCode>0;\-0;;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'EN BLANCO - Entrada de datos'!$AM$15:$AM$23</c:f>
              <c:numCache>
                <c:formatCode>General</c:formatCode>
                <c:ptCount val="9"/>
                <c:pt idx="0">
                  <c:v>5.5555555555555552E-2</c:v>
                </c:pt>
                <c:pt idx="1">
                  <c:v>0.16666666666666666</c:v>
                </c:pt>
                <c:pt idx="2">
                  <c:v>0.27777777777777779</c:v>
                </c:pt>
                <c:pt idx="3">
                  <c:v>0.3888888888888889</c:v>
                </c:pt>
                <c:pt idx="4">
                  <c:v>0.5</c:v>
                </c:pt>
                <c:pt idx="5">
                  <c:v>0.61111111111111116</c:v>
                </c:pt>
                <c:pt idx="6">
                  <c:v>0.72222222222222232</c:v>
                </c:pt>
                <c:pt idx="7">
                  <c:v>0.83333333333333348</c:v>
                </c:pt>
                <c:pt idx="8">
                  <c:v>0.94444444444444464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67B-49AA-BA9C-6F66BEC78815}"/>
            </c:ext>
          </c:extLst>
        </c:ser>
        <c:ser>
          <c:idx val="9"/>
          <c:order val="9"/>
          <c:tx>
            <c:strRef>
              <c:f>'EN BLANCO - Entrada de datos'!$AH$14</c:f>
              <c:strCache>
                <c:ptCount val="1"/>
                <c:pt idx="0">
                  <c:v>Línea 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9.8290598290598288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'EN BLANCO - Entrada de datos'!$AI$15:$AI$23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'EN BLANCO - Entrada de datos'!$AH$15:$AH$23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0.66666666666666674</c:v>
                </c:pt>
                <c:pt idx="6">
                  <c:v>0.7777777777777779</c:v>
                </c:pt>
                <c:pt idx="7">
                  <c:v>0.88888888888888906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67B-49AA-BA9C-6F66BEC78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34031792"/>
        <c:axId val="-334036144"/>
      </c:scatterChart>
      <c:catAx>
        <c:axId val="-3340366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rgbClr val="A6A6A6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  <c:crossAx val="-334030160"/>
        <c:crosses val="autoZero"/>
        <c:auto val="0"/>
        <c:lblAlgn val="ctr"/>
        <c:lblOffset val="100"/>
        <c:tickLblSkip val="1"/>
        <c:noMultiLvlLbl val="0"/>
      </c:catAx>
      <c:valAx>
        <c:axId val="-33403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\-0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  <c:crossAx val="-334036688"/>
        <c:crosses val="max"/>
        <c:crossBetween val="between"/>
      </c:valAx>
      <c:valAx>
        <c:axId val="-334036144"/>
        <c:scaling>
          <c:orientation val="maxMin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  <c:crossAx val="-334031792"/>
        <c:crosses val="max"/>
        <c:crossBetween val="midCat"/>
      </c:valAx>
      <c:valAx>
        <c:axId val="-334031792"/>
        <c:scaling>
          <c:orientation val="minMax"/>
        </c:scaling>
        <c:delete val="1"/>
        <c:axPos val="t"/>
        <c:numFmt formatCode="0;\-0;;" sourceLinked="1"/>
        <c:majorTickMark val="out"/>
        <c:minorTickMark val="none"/>
        <c:tickLblPos val="nextTo"/>
        <c:crossAx val="-33403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42915872"/>
        <c:axId val="-742903904"/>
      </c:lineChart>
      <c:catAx>
        <c:axId val="-742915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2903904"/>
        <c:crosses val="autoZero"/>
        <c:auto val="1"/>
        <c:lblAlgn val="ctr"/>
        <c:lblOffset val="100"/>
        <c:noMultiLvlLbl val="0"/>
      </c:catAx>
      <c:valAx>
        <c:axId val="-7429039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74291587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42917504"/>
        <c:axId val="-742908800"/>
      </c:lineChart>
      <c:catAx>
        <c:axId val="-742917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2908800"/>
        <c:crosses val="autoZero"/>
        <c:auto val="1"/>
        <c:lblAlgn val="ctr"/>
        <c:lblOffset val="100"/>
        <c:noMultiLvlLbl val="0"/>
      </c:catAx>
      <c:valAx>
        <c:axId val="-742908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429175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23785131404029042"/>
          <c:y val="3.2138118914720799E-2"/>
          <c:w val="0.73852530933633298"/>
          <c:h val="0.9000847277680479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'EN BLANCO - Entrada de datos'!$AB$14</c:f>
              <c:strCache>
                <c:ptCount val="1"/>
                <c:pt idx="0">
                  <c:v>Finaliza</c:v>
                </c:pt>
              </c:strCache>
            </c:strRef>
          </c:tx>
          <c:spPr>
            <a:solidFill>
              <a:srgbClr val="435361"/>
            </a:solidFill>
            <a:ln w="254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ysClr val="windowText" lastClr="000000">
                  <a:lumMod val="65000"/>
                  <a:lumOff val="35000"/>
                </a:sysClr>
              </a:solidFill>
              <a:ln w="2540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52D-4BFF-BF4A-FA214D58BD93}"/>
              </c:ext>
            </c:extLst>
          </c:dPt>
          <c:dPt>
            <c:idx val="2"/>
            <c:invertIfNegative val="0"/>
            <c:bubble3D val="0"/>
            <c:spPr>
              <a:solidFill>
                <a:srgbClr val="01A8C1"/>
              </a:solidFill>
              <a:ln w="2540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52D-4BFF-BF4A-FA214D58BD93}"/>
              </c:ext>
            </c:extLst>
          </c:dPt>
          <c:dPt>
            <c:idx val="4"/>
            <c:invertIfNegative val="0"/>
            <c:bubble3D val="0"/>
            <c:spPr>
              <a:solidFill>
                <a:srgbClr val="01A8C1"/>
              </a:solidFill>
              <a:ln w="2540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52D-4BFF-BF4A-FA214D58BD93}"/>
              </c:ext>
            </c:extLst>
          </c:dPt>
          <c:dPt>
            <c:idx val="6"/>
            <c:invertIfNegative val="0"/>
            <c:bubble3D val="0"/>
            <c:spPr>
              <a:solidFill>
                <a:srgbClr val="01A8C1"/>
              </a:solidFill>
              <a:ln w="2540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52D-4BFF-BF4A-FA214D58BD93}"/>
              </c:ext>
            </c:extLst>
          </c:dPt>
          <c:dPt>
            <c:idx val="8"/>
            <c:invertIfNegative val="0"/>
            <c:bubble3D val="0"/>
            <c:spPr>
              <a:solidFill>
                <a:sysClr val="windowText" lastClr="000000">
                  <a:lumMod val="65000"/>
                  <a:lumOff val="35000"/>
                </a:sysClr>
              </a:solidFill>
              <a:ln w="25400"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52D-4BFF-BF4A-FA214D58BD93}"/>
              </c:ext>
            </c:extLst>
          </c:dPt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datos'!$AB$15:$AB$23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2D-4BFF-BF4A-FA214D58BD93}"/>
            </c:ext>
          </c:extLst>
        </c:ser>
        <c:ser>
          <c:idx val="1"/>
          <c:order val="1"/>
          <c:tx>
            <c:strRef>
              <c:f>'EN BLANCO - Entrada de datos'!$AC$14</c:f>
              <c:strCache>
                <c:ptCount val="1"/>
                <c:pt idx="0">
                  <c:v>Blanco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datos'!$AC$15:$AC$23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2D-4BFF-BF4A-FA214D58BD93}"/>
            </c:ext>
          </c:extLst>
        </c:ser>
        <c:ser>
          <c:idx val="2"/>
          <c:order val="2"/>
          <c:tx>
            <c:strRef>
              <c:f>'EN BLANCO - Entrada de datos'!$AD$14</c:f>
              <c:strCache>
                <c:ptCount val="1"/>
                <c:pt idx="0">
                  <c:v>Pérdida negativa</c:v>
                </c:pt>
              </c:strCache>
            </c:strRef>
          </c:tx>
          <c:spPr>
            <a:solidFill>
              <a:srgbClr val="E41A1C"/>
            </a:solidFill>
            <a:ln w="25400">
              <a:noFill/>
            </a:ln>
            <a:effectLst/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datos'!$AD$15:$AD$23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2D-4BFF-BF4A-FA214D58BD93}"/>
            </c:ext>
          </c:extLst>
        </c:ser>
        <c:ser>
          <c:idx val="3"/>
          <c:order val="3"/>
          <c:tx>
            <c:strRef>
              <c:f>'EN BLANCO - Entrada de datos'!$AE$14</c:f>
              <c:strCache>
                <c:ptCount val="1"/>
                <c:pt idx="0">
                  <c:v>Ganancia negativa</c:v>
                </c:pt>
              </c:strCache>
            </c:strRef>
          </c:tx>
          <c:spPr>
            <a:solidFill>
              <a:srgbClr val="2CA02C"/>
            </a:solidFill>
            <a:ln w="25400">
              <a:noFill/>
            </a:ln>
            <a:effectLst/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datos'!$AE$15:$AE$23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52D-4BFF-BF4A-FA214D58BD93}"/>
            </c:ext>
          </c:extLst>
        </c:ser>
        <c:ser>
          <c:idx val="4"/>
          <c:order val="4"/>
          <c:tx>
            <c:strRef>
              <c:f>'EN BLANCO - Entrada de datos'!$AF$14</c:f>
              <c:strCache>
                <c:ptCount val="1"/>
                <c:pt idx="0">
                  <c:v>Pérdida positiva</c:v>
                </c:pt>
              </c:strCache>
            </c:strRef>
          </c:tx>
          <c:spPr>
            <a:solidFill>
              <a:srgbClr val="FF5E21"/>
            </a:solidFill>
            <a:ln w="2540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datos'!$AF$15:$AF$23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52D-4BFF-BF4A-FA214D58BD93}"/>
            </c:ext>
          </c:extLst>
        </c:ser>
        <c:ser>
          <c:idx val="5"/>
          <c:order val="5"/>
          <c:tx>
            <c:strRef>
              <c:f>'EN BLANCO - Entrada de datos'!$AG$14</c:f>
              <c:strCache>
                <c:ptCount val="1"/>
                <c:pt idx="0">
                  <c:v>Ganancia positiva</c:v>
                </c:pt>
              </c:strCache>
            </c:strRef>
          </c:tx>
          <c:spPr>
            <a:solidFill>
              <a:srgbClr val="01B1A3"/>
            </a:solidFill>
            <a:ln w="25400">
              <a:noFill/>
            </a:ln>
            <a:effectLst/>
          </c:spPr>
          <c:invertIfNegative val="0"/>
          <c:cat>
            <c:strRef>
              <c:f>'EN BLANCO - Entrada de datos'!$Z$15:$Z$23</c:f>
              <c:strCache>
                <c:ptCount val="9"/>
                <c:pt idx="0">
                  <c:v>Ingresos totales</c:v>
                </c:pt>
                <c:pt idx="1">
                  <c:v>Costo de los bienes vendidos</c:v>
                </c:pt>
                <c:pt idx="2">
                  <c:v>Ganancia bruta</c:v>
                </c:pt>
                <c:pt idx="3">
                  <c:v>Gastos</c:v>
                </c:pt>
                <c:pt idx="4">
                  <c:v>Ganancias antes de intereses e impuestos</c:v>
                </c:pt>
                <c:pt idx="5">
                  <c:v>Interés</c:v>
                </c:pt>
                <c:pt idx="6">
                  <c:v>Ingresos antes de impuestos</c:v>
                </c:pt>
                <c:pt idx="7">
                  <c:v>Impuestos sobre la renta</c:v>
                </c:pt>
                <c:pt idx="8">
                  <c:v>Ingresos netos</c:v>
                </c:pt>
              </c:strCache>
            </c:strRef>
          </c:cat>
          <c:val>
            <c:numRef>
              <c:f>'EN BLANCO - Entrada de datos'!$AG$15:$AG$23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52D-4BFF-BF4A-FA214D58B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7"/>
        <c:overlap val="100"/>
        <c:axId val="-742907168"/>
        <c:axId val="-334039408"/>
      </c:barChart>
      <c:scatterChart>
        <c:scatterStyle val="lineMarker"/>
        <c:varyColors val="0"/>
        <c:ser>
          <c:idx val="6"/>
          <c:order val="6"/>
          <c:tx>
            <c:strRef>
              <c:f>'EN BLANCO - Entrada de datos'!$AJ$14</c:f>
              <c:strCache>
                <c:ptCount val="1"/>
                <c:pt idx="0">
                  <c:v>Centro 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52D-4BFF-BF4A-FA214D58BD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52D-4BFF-BF4A-FA214D58BD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C52D-4BFF-BF4A-FA214D58BD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C52D-4BFF-BF4A-FA214D58BD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C52D-4BFF-BF4A-FA214D58BD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C52D-4BFF-BF4A-FA214D58BD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C52D-4BFF-BF4A-FA214D58BD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C52D-4BFF-BF4A-FA214D58BD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C52D-4BFF-BF4A-FA214D58BD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'EN BLANCO - Entrada de datos'!$AJ$15:$AJ$23</c:f>
              <c:numCache>
                <c:formatCode>0;\-0;;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'EN BLANCO - Entrada de datos'!$AM$15:$AM$23</c:f>
              <c:numCache>
                <c:formatCode>General</c:formatCode>
                <c:ptCount val="9"/>
                <c:pt idx="0">
                  <c:v>5.5555555555555552E-2</c:v>
                </c:pt>
                <c:pt idx="1">
                  <c:v>0.16666666666666666</c:v>
                </c:pt>
                <c:pt idx="2">
                  <c:v>0.27777777777777779</c:v>
                </c:pt>
                <c:pt idx="3">
                  <c:v>0.3888888888888889</c:v>
                </c:pt>
                <c:pt idx="4">
                  <c:v>0.5</c:v>
                </c:pt>
                <c:pt idx="5">
                  <c:v>0.61111111111111116</c:v>
                </c:pt>
                <c:pt idx="6">
                  <c:v>0.72222222222222232</c:v>
                </c:pt>
                <c:pt idx="7">
                  <c:v>0.83333333333333348</c:v>
                </c:pt>
                <c:pt idx="8">
                  <c:v>0.94444444444444464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52D-4BFF-BF4A-FA214D58BD93}"/>
            </c:ext>
          </c:extLst>
        </c:ser>
        <c:ser>
          <c:idx val="7"/>
          <c:order val="7"/>
          <c:tx>
            <c:strRef>
              <c:f>'EN BLANCO - Entrada de datos'!$AK$14</c:f>
              <c:strCache>
                <c:ptCount val="1"/>
                <c:pt idx="0">
                  <c:v>X derecha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501CCE-01E7-40C5-90B0-B8B4AB0FABD6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C52D-4BFF-BF4A-FA214D58BD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331E6A-3934-42E0-913D-16BEB6A4DD5C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C52D-4BFF-BF4A-FA214D58BD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C52D-4BFF-BF4A-FA214D58BD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900073-96E6-4548-A945-E39E3EE488A1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2D-4BFF-BF4A-FA214D58BD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C52D-4BFF-BF4A-FA214D58BD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B0B128-0939-4656-8C20-BA656035F5F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2D-4BFF-BF4A-FA214D58BD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C52D-4BFF-BF4A-FA214D58BD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7F4F2D-8A7E-4B5E-B8D8-C992A15EC9C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2D-4BFF-BF4A-FA214D58BD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C52D-4BFF-BF4A-FA214D58BD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'EN BLANCO - Entrada de datos'!$AK$15:$AK$23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0</c:v>
                </c:pt>
                <c:pt idx="8">
                  <c:v>#N/A</c:v>
                </c:pt>
              </c:numCache>
            </c:numRef>
          </c:xVal>
          <c:yVal>
            <c:numRef>
              <c:f>'EN BLANCO - Entrada de datos'!$AM$15:$AM$23</c:f>
              <c:numCache>
                <c:formatCode>General</c:formatCode>
                <c:ptCount val="9"/>
                <c:pt idx="0">
                  <c:v>5.5555555555555552E-2</c:v>
                </c:pt>
                <c:pt idx="1">
                  <c:v>0.16666666666666666</c:v>
                </c:pt>
                <c:pt idx="2">
                  <c:v>0.27777777777777779</c:v>
                </c:pt>
                <c:pt idx="3">
                  <c:v>0.3888888888888889</c:v>
                </c:pt>
                <c:pt idx="4">
                  <c:v>0.5</c:v>
                </c:pt>
                <c:pt idx="5">
                  <c:v>0.61111111111111116</c:v>
                </c:pt>
                <c:pt idx="6">
                  <c:v>0.72222222222222232</c:v>
                </c:pt>
                <c:pt idx="7">
                  <c:v>0.83333333333333348</c:v>
                </c:pt>
                <c:pt idx="8">
                  <c:v>0.94444444444444464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'EN BLANCO - Entrada de datos'!$AN$15:$AN$23</c15:f>
                <c15:dlblRangeCache>
                  <c:ptCount val="9"/>
                </c15:dlblRangeCache>
              </c15:datalabelsRange>
            </c:ext>
            <c:ext xmlns:c16="http://schemas.microsoft.com/office/drawing/2014/chart" uri="{C3380CC4-5D6E-409C-BE32-E72D297353CC}">
              <c16:uniqueId val="{00000023-C52D-4BFF-BF4A-FA214D58BD93}"/>
            </c:ext>
          </c:extLst>
        </c:ser>
        <c:ser>
          <c:idx val="8"/>
          <c:order val="8"/>
          <c:tx>
            <c:strRef>
              <c:f>'EN BLANCO - Entrada de datos'!$AL$14</c:f>
              <c:strCache>
                <c:ptCount val="1"/>
                <c:pt idx="0">
                  <c:v>X izquierda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C52D-4BFF-BF4A-FA214D58BD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C52D-4BFF-BF4A-FA214D58BD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C52D-4BFF-BF4A-FA214D58BD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C52D-4BFF-BF4A-FA214D58BD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C52D-4BFF-BF4A-FA214D58BD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C52D-4BFF-BF4A-FA214D58BD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C52D-4BFF-BF4A-FA214D58BD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C52D-4BFF-BF4A-FA214D58BD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C52D-4BFF-BF4A-FA214D58BD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'EN BLANCO - Entrada de datos'!$AL$15:$AL$23</c:f>
              <c:numCache>
                <c:formatCode>0;\-0;;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'EN BLANCO - Entrada de datos'!$AM$15:$AM$23</c:f>
              <c:numCache>
                <c:formatCode>General</c:formatCode>
                <c:ptCount val="9"/>
                <c:pt idx="0">
                  <c:v>5.5555555555555552E-2</c:v>
                </c:pt>
                <c:pt idx="1">
                  <c:v>0.16666666666666666</c:v>
                </c:pt>
                <c:pt idx="2">
                  <c:v>0.27777777777777779</c:v>
                </c:pt>
                <c:pt idx="3">
                  <c:v>0.3888888888888889</c:v>
                </c:pt>
                <c:pt idx="4">
                  <c:v>0.5</c:v>
                </c:pt>
                <c:pt idx="5">
                  <c:v>0.61111111111111116</c:v>
                </c:pt>
                <c:pt idx="6">
                  <c:v>0.72222222222222232</c:v>
                </c:pt>
                <c:pt idx="7">
                  <c:v>0.83333333333333348</c:v>
                </c:pt>
                <c:pt idx="8">
                  <c:v>0.94444444444444464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52D-4BFF-BF4A-FA214D58BD93}"/>
            </c:ext>
          </c:extLst>
        </c:ser>
        <c:ser>
          <c:idx val="9"/>
          <c:order val="9"/>
          <c:tx>
            <c:strRef>
              <c:f>'EN BLANCO - Entrada de datos'!$AH$14</c:f>
              <c:strCache>
                <c:ptCount val="1"/>
                <c:pt idx="0">
                  <c:v>Línea 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9.829059829059833E-2"/>
            <c:spPr>
              <a:noFill/>
              <a:ln w="25400" cap="flat" cmpd="sng" algn="ctr">
                <a:solidFill>
                  <a:srgbClr val="647C92"/>
                </a:solidFill>
                <a:round/>
              </a:ln>
              <a:effectLst/>
            </c:spPr>
          </c:errBars>
          <c:xVal>
            <c:numRef>
              <c:f>'EN BLANCO - Entrada de datos'!$AI$15:$AI$23</c:f>
              <c:numCache>
                <c:formatCode>0;\-0;;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'EN BLANCO - Entrada de datos'!$AH$15:$AH$23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0.66666666666666674</c:v>
                </c:pt>
                <c:pt idx="6">
                  <c:v>0.7777777777777779</c:v>
                </c:pt>
                <c:pt idx="7">
                  <c:v>0.88888888888888906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52D-4BFF-BF4A-FA214D58B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34032336"/>
        <c:axId val="-334024176"/>
      </c:scatterChart>
      <c:catAx>
        <c:axId val="-742907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9050" cap="sq" cmpd="sng" algn="ctr">
            <a:solidFill>
              <a:sysClr val="windowText" lastClr="000000">
                <a:lumMod val="50000"/>
                <a:lumOff val="50000"/>
              </a:sysClr>
            </a:solidFill>
            <a:prstDash val="sysDash"/>
            <a:round/>
            <a:headEnd type="oval"/>
            <a:tailEnd type="oval"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  <c:crossAx val="-334039408"/>
        <c:crosses val="autoZero"/>
        <c:auto val="0"/>
        <c:lblAlgn val="ctr"/>
        <c:lblOffset val="100"/>
        <c:tickLblSkip val="1"/>
        <c:noMultiLvlLbl val="0"/>
      </c:catAx>
      <c:valAx>
        <c:axId val="-33403940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ysClr val="window" lastClr="FFFFFF">
                  <a:lumMod val="95000"/>
                </a:sysClr>
              </a:solidFill>
              <a:round/>
            </a:ln>
            <a:effectLst/>
          </c:spPr>
        </c:majorGridlines>
        <c:numFmt formatCode="0;\-0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  <c:crossAx val="-742907168"/>
        <c:crosses val="max"/>
        <c:crossBetween val="between"/>
      </c:valAx>
      <c:valAx>
        <c:axId val="-334024176"/>
        <c:scaling>
          <c:orientation val="maxMin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  <c:crossAx val="-334032336"/>
        <c:crosses val="max"/>
        <c:crossBetween val="midCat"/>
      </c:valAx>
      <c:valAx>
        <c:axId val="-334032336"/>
        <c:scaling>
          <c:orientation val="minMax"/>
        </c:scaling>
        <c:delete val="1"/>
        <c:axPos val="t"/>
        <c:numFmt formatCode="0;\-0;;" sourceLinked="1"/>
        <c:majorTickMark val="out"/>
        <c:minorTickMark val="none"/>
        <c:tickLblPos val="nextTo"/>
        <c:crossAx val="-33402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Century Gothic" panose="020B0502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434341</xdr:colOff>
      <xdr:row>5</xdr:row>
      <xdr:rowOff>137161</xdr:rowOff>
    </xdr:from>
    <xdr:to>
      <xdr:col>11</xdr:col>
      <xdr:colOff>750571</xdr:colOff>
      <xdr:row>7</xdr:row>
      <xdr:rowOff>175261</xdr:rowOff>
    </xdr:to>
    <xdr:sp macro="[0]!Cotización.Cotizació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3E2C86-A047-023B-F5C5-E29A145E1A3C}"/>
            </a:ext>
          </a:extLst>
        </xdr:cNvPr>
        <xdr:cNvSpPr/>
      </xdr:nvSpPr>
      <xdr:spPr>
        <a:xfrm>
          <a:off x="6057901" y="1051561"/>
          <a:ext cx="1108710" cy="4038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Cotizar</a:t>
          </a:r>
        </a:p>
      </xdr:txBody>
    </xdr:sp>
    <xdr:clientData/>
  </xdr:twoCellAnchor>
  <xdr:twoCellAnchor>
    <xdr:from>
      <xdr:col>10</xdr:col>
      <xdr:colOff>449580</xdr:colOff>
      <xdr:row>8</xdr:row>
      <xdr:rowOff>131445</xdr:rowOff>
    </xdr:from>
    <xdr:to>
      <xdr:col>11</xdr:col>
      <xdr:colOff>723900</xdr:colOff>
      <xdr:row>11</xdr:row>
      <xdr:rowOff>15240</xdr:rowOff>
    </xdr:to>
    <xdr:sp macro="[0]!Limp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338E3F3-3DFC-4FDD-9FC7-EF6C32B6976B}"/>
            </a:ext>
          </a:extLst>
        </xdr:cNvPr>
        <xdr:cNvSpPr/>
      </xdr:nvSpPr>
      <xdr:spPr>
        <a:xfrm>
          <a:off x="6073140" y="1594485"/>
          <a:ext cx="1066800" cy="43243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</xdr:txBody>
    </xdr:sp>
    <xdr:clientData/>
  </xdr:twoCellAnchor>
  <xdr:twoCellAnchor>
    <xdr:from>
      <xdr:col>10</xdr:col>
      <xdr:colOff>464820</xdr:colOff>
      <xdr:row>14</xdr:row>
      <xdr:rowOff>137160</xdr:rowOff>
    </xdr:from>
    <xdr:to>
      <xdr:col>11</xdr:col>
      <xdr:colOff>739140</xdr:colOff>
      <xdr:row>17</xdr:row>
      <xdr:rowOff>20955</xdr:rowOff>
    </xdr:to>
    <xdr:sp macro="[0]!Facturación.Facturació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C8259B2-F681-4706-A2CC-F154E1F681EA}"/>
            </a:ext>
          </a:extLst>
        </xdr:cNvPr>
        <xdr:cNvSpPr/>
      </xdr:nvSpPr>
      <xdr:spPr>
        <a:xfrm>
          <a:off x="5654040" y="2697480"/>
          <a:ext cx="1066800" cy="432435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Factura</a:t>
          </a:r>
        </a:p>
      </xdr:txBody>
    </xdr:sp>
    <xdr:clientData/>
  </xdr:twoCellAnchor>
  <xdr:twoCellAnchor>
    <xdr:from>
      <xdr:col>10</xdr:col>
      <xdr:colOff>350520</xdr:colOff>
      <xdr:row>5</xdr:row>
      <xdr:rowOff>53340</xdr:rowOff>
    </xdr:from>
    <xdr:to>
      <xdr:col>12</xdr:col>
      <xdr:colOff>22860</xdr:colOff>
      <xdr:row>17</xdr:row>
      <xdr:rowOff>99060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8B4B5EEE-183E-455B-B26F-5AEB1C5C1D40}"/>
            </a:ext>
          </a:extLst>
        </xdr:cNvPr>
        <xdr:cNvSpPr/>
      </xdr:nvSpPr>
      <xdr:spPr>
        <a:xfrm>
          <a:off x="5623560" y="967740"/>
          <a:ext cx="1257300" cy="2240280"/>
        </a:xfrm>
        <a:prstGeom prst="rect">
          <a:avLst/>
        </a:prstGeom>
        <a:noFill/>
        <a:ln w="57150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457200</xdr:colOff>
      <xdr:row>11</xdr:row>
      <xdr:rowOff>121920</xdr:rowOff>
    </xdr:from>
    <xdr:to>
      <xdr:col>11</xdr:col>
      <xdr:colOff>731520</xdr:colOff>
      <xdr:row>14</xdr:row>
      <xdr:rowOff>5715</xdr:rowOff>
    </xdr:to>
    <xdr:sp macro="[0]!Inventario.Inventari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F4A653B-E169-4584-B584-6F250B63FCD5}"/>
            </a:ext>
          </a:extLst>
        </xdr:cNvPr>
        <xdr:cNvSpPr/>
      </xdr:nvSpPr>
      <xdr:spPr>
        <a:xfrm>
          <a:off x="5730240" y="2133600"/>
          <a:ext cx="1066800" cy="43243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Inventario</a:t>
          </a:r>
        </a:p>
      </xdr:txBody>
    </xdr:sp>
    <xdr:clientData/>
  </xdr:twoCellAnchor>
  <xdr:twoCellAnchor>
    <xdr:from>
      <xdr:col>10</xdr:col>
      <xdr:colOff>441961</xdr:colOff>
      <xdr:row>2</xdr:row>
      <xdr:rowOff>106681</xdr:rowOff>
    </xdr:from>
    <xdr:to>
      <xdr:col>11</xdr:col>
      <xdr:colOff>758191</xdr:colOff>
      <xdr:row>4</xdr:row>
      <xdr:rowOff>144781</xdr:rowOff>
    </xdr:to>
    <xdr:sp macro="[0]!Buscar_Y_Agregar_Cotizacion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43C9FB5-F721-49BD-A51E-4ED0FA2DFDC9}"/>
            </a:ext>
          </a:extLst>
        </xdr:cNvPr>
        <xdr:cNvSpPr/>
      </xdr:nvSpPr>
      <xdr:spPr>
        <a:xfrm>
          <a:off x="5715001" y="472441"/>
          <a:ext cx="1108710" cy="4038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0</xdr:row>
      <xdr:rowOff>61986</xdr:rowOff>
    </xdr:from>
    <xdr:to>
      <xdr:col>9</xdr:col>
      <xdr:colOff>187570</xdr:colOff>
      <xdr:row>2</xdr:row>
      <xdr:rowOff>293078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131B1D0-2EE5-4E83-BB3F-05193044A2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36" t="15861" r="7168" b="14788"/>
        <a:stretch/>
      </xdr:blipFill>
      <xdr:spPr>
        <a:xfrm>
          <a:off x="5730240" y="61986"/>
          <a:ext cx="1940170" cy="8787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0</xdr:row>
      <xdr:rowOff>61986</xdr:rowOff>
    </xdr:from>
    <xdr:to>
      <xdr:col>9</xdr:col>
      <xdr:colOff>187570</xdr:colOff>
      <xdr:row>2</xdr:row>
      <xdr:rowOff>285458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283D960-1ABD-4AF9-8E04-031B7C3B1C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36" t="15861" r="7168" b="14788"/>
        <a:stretch/>
      </xdr:blipFill>
      <xdr:spPr>
        <a:xfrm>
          <a:off x="5726723" y="61986"/>
          <a:ext cx="1940170" cy="875861"/>
        </a:xfrm>
        <a:prstGeom prst="rect">
          <a:avLst/>
        </a:prstGeom>
      </xdr:spPr>
    </xdr:pic>
    <xdr:clientData/>
  </xdr:twoCellAnchor>
  <xdr:twoCellAnchor>
    <xdr:from>
      <xdr:col>10</xdr:col>
      <xdr:colOff>257175</xdr:colOff>
      <xdr:row>0</xdr:row>
      <xdr:rowOff>133350</xdr:rowOff>
    </xdr:from>
    <xdr:to>
      <xdr:col>11</xdr:col>
      <xdr:colOff>550545</xdr:colOff>
      <xdr:row>1</xdr:row>
      <xdr:rowOff>323850</xdr:rowOff>
    </xdr:to>
    <xdr:sp macro="[0]!Crear_PDF" textlink="">
      <xdr:nvSpPr>
        <xdr:cNvPr id="2" name="Elipse 1">
          <a:extLst>
            <a:ext uri="{FF2B5EF4-FFF2-40B4-BE49-F238E27FC236}">
              <a16:creationId xmlns:a16="http://schemas.microsoft.com/office/drawing/2014/main" id="{2372E998-8930-41E7-B780-920B1BA0E883}"/>
            </a:ext>
          </a:extLst>
        </xdr:cNvPr>
        <xdr:cNvSpPr/>
      </xdr:nvSpPr>
      <xdr:spPr>
        <a:xfrm>
          <a:off x="8620125" y="133350"/>
          <a:ext cx="1083945" cy="37147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IMPRIMIR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24</xdr:row>
      <xdr:rowOff>0</xdr:rowOff>
    </xdr:from>
    <xdr:to>
      <xdr:col>40</xdr:col>
      <xdr:colOff>0</xdr:colOff>
      <xdr:row>37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F41556-31C9-4ECC-A429-FF93D977F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</xdr:row>
      <xdr:rowOff>259773</xdr:rowOff>
    </xdr:from>
    <xdr:to>
      <xdr:col>3</xdr:col>
      <xdr:colOff>381000</xdr:colOff>
      <xdr:row>17</xdr:row>
      <xdr:rowOff>277091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EE40ED-1BE4-47A4-AEB6-F3E3936FE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259773</xdr:rowOff>
    </xdr:from>
    <xdr:to>
      <xdr:col>6</xdr:col>
      <xdr:colOff>0</xdr:colOff>
      <xdr:row>17</xdr:row>
      <xdr:rowOff>77932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895024-6F7A-49D2-A811-D000FE590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254000</xdr:rowOff>
    </xdr:from>
    <xdr:to>
      <xdr:col>6</xdr:col>
      <xdr:colOff>0</xdr:colOff>
      <xdr:row>3</xdr:row>
      <xdr:rowOff>4838700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736D81-8AF0-4B90-9F2E-1E7EA7133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335280</xdr:colOff>
      <xdr:row>0</xdr:row>
      <xdr:rowOff>114300</xdr:rowOff>
    </xdr:from>
    <xdr:to>
      <xdr:col>6</xdr:col>
      <xdr:colOff>1082040</xdr:colOff>
      <xdr:row>0</xdr:row>
      <xdr:rowOff>419100</xdr:rowOff>
    </xdr:to>
    <xdr:sp macro="[0]!Migrar_Flujo_A_Di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EE298-F99C-4ECE-B271-0BF12F823EF3}"/>
            </a:ext>
          </a:extLst>
        </xdr:cNvPr>
        <xdr:cNvSpPr/>
      </xdr:nvSpPr>
      <xdr:spPr>
        <a:xfrm>
          <a:off x="11254740" y="114300"/>
          <a:ext cx="74676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CARGAR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1059180</xdr:colOff>
      <xdr:row>0</xdr:row>
      <xdr:rowOff>129540</xdr:rowOff>
    </xdr:from>
    <xdr:to>
      <xdr:col>6</xdr:col>
      <xdr:colOff>731520</xdr:colOff>
      <xdr:row>2</xdr:row>
      <xdr:rowOff>7620</xdr:rowOff>
    </xdr:to>
    <xdr:sp macro="[0]!Construir_Mayor_y_Balances.Construir_Mayor_y_Balances" textlink="">
      <xdr:nvSpPr>
        <xdr:cNvPr id="2" name="Rectángulo 1">
          <a:extLst>
            <a:ext uri="{FF2B5EF4-FFF2-40B4-BE49-F238E27FC236}">
              <a16:creationId xmlns:a16="http://schemas.microsoft.com/office/drawing/2014/main" id="{2DE0E578-5649-4AFC-9935-AC295561DB44}"/>
            </a:ext>
          </a:extLst>
        </xdr:cNvPr>
        <xdr:cNvSpPr/>
      </xdr:nvSpPr>
      <xdr:spPr>
        <a:xfrm>
          <a:off x="7840980" y="129540"/>
          <a:ext cx="754380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Actualizar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3D3F1D-A6CF-4E72-B0F7-172660C9B7B5}" name="Tabla1" displayName="Tabla1" ref="B2:B7" totalsRowShown="0">
  <tableColumns count="1">
    <tableColumn id="1" xr3:uid="{34CC0674-413E-4872-B7D8-3150FC57E565}" name="Tip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C2B66A-2F76-44C9-B6E8-2B5742ACFA2E}" name="Tabla2" displayName="Tabla2" ref="D2:F31" totalsRowShown="0">
  <autoFilter ref="D2:F31" xr:uid="{B8C2B66A-2F76-44C9-B6E8-2B5742ACFA2E}"/>
  <sortState xmlns:xlrd2="http://schemas.microsoft.com/office/spreadsheetml/2017/richdata2" ref="D3:E88">
    <sortCondition ref="D2:D88"/>
  </sortState>
  <tableColumns count="3">
    <tableColumn id="1" xr3:uid="{96A66115-EA54-4FA4-8026-7C4BC84BABFE}" name="PLA"/>
    <tableColumn id="2" xr3:uid="{F3EFE301-8902-4F29-8F94-815D223156B5}" name="PTGE"/>
    <tableColumn id="3" xr3:uid="{E63D01E8-79CC-4604-B8D2-0E358EDEEAD6}" name="Columna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B23185-7105-41E1-9DFC-33A547981A96}" name="Tabla3" displayName="Tabla3" ref="G2:G3" totalsRowShown="0">
  <tableColumns count="1">
    <tableColumn id="1" xr3:uid="{34333D3A-3618-4893-A063-F42999DBEEB0}" name="Tiemp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2B4167-7330-458E-BADD-122F2BAEFF48}" name="Tabla4" displayName="Tabla4" ref="I2:I4" totalsRowShown="0">
  <tableColumns count="1">
    <tableColumn id="1" xr3:uid="{82D79D9D-F2E9-4555-8B08-FE61E2D332D8}" name="Mano de Obra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FE3F9F2-1CF8-41D6-A1F5-907412810B62}" name="Tabla46" displayName="Tabla46" ref="J2:K6" totalsRowShown="0">
  <tableColumns count="2">
    <tableColumn id="1" xr3:uid="{697F8202-7DF6-4929-B88B-705DA8B61030}" name="Costo material adicional"/>
    <tableColumn id="2" xr3:uid="{09A68D50-5D63-4070-9535-AE5BD73515B9}" name="VALOR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15A31EB-C4E1-4F3D-9A7E-EFF317011543}" name="Tabla8" displayName="Tabla8" ref="A2:A7" totalsRowShown="0">
  <autoFilter ref="A2:A7" xr:uid="{B15A31EB-C4E1-4F3D-9A7E-EFF317011543}"/>
  <tableColumns count="1">
    <tableColumn id="1" xr3:uid="{08A43C15-B256-4224-AEEC-B854F79EC0D7}" name="Códig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1B2B58-CA5F-41FA-A221-ABC44E748090}" name="Tabla212" displayName="Tabla212" ref="M2:N77" totalsRowShown="0">
  <autoFilter ref="M2:N77" xr:uid="{071B2B58-CA5F-41FA-A221-ABC44E748090}"/>
  <sortState xmlns:xlrd2="http://schemas.microsoft.com/office/spreadsheetml/2017/richdata2" ref="M3:N77">
    <sortCondition ref="N2:N77"/>
  </sortState>
  <tableColumns count="2">
    <tableColumn id="1" xr3:uid="{637E7B79-742C-4425-BA99-658976BAEB6B}" name="CÓDIGO"/>
    <tableColumn id="2" xr3:uid="{C3280727-CE29-486B-AF59-F8421AD6E324}" name="COLORES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8BCBA54-5CFE-4F73-B06B-EEA1C8E52B9B}" name="Tabla7" displayName="Tabla7" ref="Q2:S34" totalsRowShown="0" headerRowDxfId="82" dataDxfId="81" tableBorderDxfId="80">
  <autoFilter ref="Q2:S34" xr:uid="{98BCBA54-5CFE-4F73-B06B-EEA1C8E52B9B}"/>
  <tableColumns count="3">
    <tableColumn id="1" xr3:uid="{BDF6826A-C98A-448B-B67A-DA03E6808779}" name="CATEGORIA" dataDxfId="79"/>
    <tableColumn id="3" xr3:uid="{AC4F33A2-E87E-4058-A0C1-2650175595AC}" name="Columna1" dataDxfId="78"/>
    <tableColumn id="2" xr3:uid="{2ADDA608-9EE2-42B1-AEC8-DC1DE99FE1A7}" name="PUC" dataDxfId="77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3AD77F-C612-42D4-A312-BDA3D186E38E}" name="Tabla6" displayName="Tabla6" ref="A6:N66" totalsRowShown="0" headerRowDxfId="76" headerRowBorderDxfId="75" tableBorderDxfId="74">
  <autoFilter ref="A6:N66" xr:uid="{AE3AD77F-C612-42D4-A312-BDA3D186E38E}">
    <filterColumn colId="2">
      <filters>
        <filter val="AMARILLO"/>
        <filter val="NEGRO"/>
      </filters>
    </filterColumn>
  </autoFilter>
  <sortState xmlns:xlrd2="http://schemas.microsoft.com/office/spreadsheetml/2017/richdata2" ref="A7:N34">
    <sortCondition ref="A6:A34"/>
  </sortState>
  <tableColumns count="14">
    <tableColumn id="1" xr3:uid="{0D92831B-B52D-4400-BE56-48F78039C178}" name="N.° de Articulo" dataDxfId="73">
      <calculatedColumnFormula>IFERROR(INDEX(Parametros!$A$3:$A$7, MATCH(D7, Parametros!$B$3:$B$7, 0)), "") &amp; IFERROR(INDEX(Parametros!$M:$M, MATCH(C7, Parametros!$N:$N, 0)), "")</calculatedColumnFormula>
    </tableColumn>
    <tableColumn id="2" xr3:uid="{56A9E8C8-8960-405A-8C8C-51BF259476C9}" name="Material"/>
    <tableColumn id="3" xr3:uid="{82B384DA-9836-41BB-944F-680B806BA15B}" name="Color"/>
    <tableColumn id="4" xr3:uid="{2212D4E0-95D8-4BBB-BB1B-F9224C0ABA29}" name="Tipo"/>
    <tableColumn id="5" xr3:uid="{2C26EBD1-B6BF-4E0D-8A39-00778679F59B}" name="Proveedor" dataDxfId="72"/>
    <tableColumn id="6" xr3:uid="{6441B457-A271-4E55-9CE8-C7195A2D0318}" name="Costo (COP/g)" dataDxfId="71" dataCellStyle="Millares"/>
    <tableColumn id="7" xr3:uid="{B6496C98-0942-419C-9E7D-7220BEDECF1F}" name="Stock Inicial (g)"/>
    <tableColumn id="8" xr3:uid="{6C9477A4-62DB-41A4-A220-B8C1EB9D4F1B}" name="Salidas (g)"/>
    <tableColumn id="9" xr3:uid="{2BD6A812-5C81-4EEE-8E86-79BBD2CB440F}" name="Stock Actual (g)" dataDxfId="70">
      <calculatedColumnFormula>G7-H7</calculatedColumnFormula>
    </tableColumn>
    <tableColumn id="10" xr3:uid="{B7D8F473-F4B2-4420-A4F3-126FB99D3A38}" name="precio*gramo" dataDxfId="69" dataCellStyle="Moneda">
      <calculatedColumnFormula>F7/G7</calculatedColumnFormula>
    </tableColumn>
    <tableColumn id="11" xr3:uid="{19CF12DE-F5A5-46EE-8A92-006209A1516C}" name="Costo Gasto (COP/g)" dataDxfId="68">
      <calculatedColumnFormula>(H7*F7)/G7</calculatedColumnFormula>
    </tableColumn>
    <tableColumn id="12" xr3:uid="{860F5972-F822-4F92-857B-9FC58C0E119C}" name="Valor Inventario" dataDxfId="67">
      <calculatedColumnFormula>(I7*F7)/G7</calculatedColumnFormula>
    </tableColumn>
    <tableColumn id="13" xr3:uid="{2A7A0E65-337E-4077-A653-DF48552C6C47}" name="Alerta" dataDxfId="66">
      <calculatedColumnFormula>IF(I7&lt;200, "REPONER", "OK")</calculatedColumnFormula>
    </tableColumn>
    <tableColumn id="14" xr3:uid="{BC138762-D310-4EDC-83E5-73E365F0F29A}" name="Observacion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3F2A6C8-BB1B-4664-9F3C-97CE4C04B537}" name="Tabla9" displayName="Tabla9" ref="A2:L33" totalsRowShown="0" headerRowDxfId="65" headerRowBorderDxfId="64" tableBorderDxfId="63">
  <autoFilter ref="A2:L33" xr:uid="{53F2A6C8-BB1B-4664-9F3C-97CE4C04B537}"/>
  <sortState xmlns:xlrd2="http://schemas.microsoft.com/office/spreadsheetml/2017/richdata2" ref="A3:L23">
    <sortCondition ref="B2:B23"/>
  </sortState>
  <tableColumns count="12">
    <tableColumn id="1" xr3:uid="{9B4FCF47-DA4A-4C70-BED7-6AFCDD8F75E2}" name="Serial"/>
    <tableColumn id="2" xr3:uid="{55854532-FC73-40A1-99ED-F1FD1A4CF20B}" name="Material"/>
    <tableColumn id="3" xr3:uid="{4FE4D346-E03C-4389-8663-4E0BD523B31A}" name="Color"/>
    <tableColumn id="4" xr3:uid="{87015F99-5477-4DF3-8C39-6D1168DDBBDF}" name="Tipo"/>
    <tableColumn id="5" xr3:uid="{B3F4C819-69F2-4A3B-B214-6D141D254CB8}" name="Stock Inicial (g)"/>
    <tableColumn id="6" xr3:uid="{FACF6F05-6B00-4E2F-AC50-0FE3EA3DF300}" name="Salidas (g)"/>
    <tableColumn id="7" xr3:uid="{61A1EF21-4659-4DEC-B033-3DFD4C718AC3}" name="Stock Actual (g)" dataDxfId="62">
      <calculatedColumnFormula>E3-F3</calculatedColumnFormula>
    </tableColumn>
    <tableColumn id="8" xr3:uid="{AFB13369-D327-4556-AF0C-032B3D51C08C}" name="Costo (COP/g)"/>
    <tableColumn id="11" xr3:uid="{F97CF81A-A7EE-484C-80A4-1A8581E24FF7}" name="Valor Inventario" dataDxfId="61">
      <calculatedColumnFormula>G3*H3</calculatedColumnFormula>
    </tableColumn>
    <tableColumn id="9" xr3:uid="{46BFF22B-9242-467D-B81B-5FD6DE45C0E4}" name="Precio con Margen" dataDxfId="60" dataCellStyle="Moneda"/>
    <tableColumn id="12" xr3:uid="{DD175554-6729-4076-B475-7865F0212205}" name="Alerta" dataDxfId="59">
      <calculatedColumnFormula>IF(G3&lt;=2, "Bajo Stock", "OK")</calculatedColumnFormula>
    </tableColumn>
    <tableColumn id="10" xr3:uid="{CC1B72AE-8CBA-46C1-8B2E-D7BCC5E5FF4B}" name="Columna1" dataCellStyle="Moneda">
      <calculatedColumnFormula>+Tabla9[[#This Row],[Costo (COP/g)]]*3</calculatedColumnFormula>
    </tableColumn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D1CE1A-6D68-43BF-8977-FEFB5D11C3EE}" name="Tabla10" displayName="Tabla10" ref="B4:H114" totalsRowShown="0" dataDxfId="57" headerRowBorderDxfId="58" tableBorderDxfId="56">
  <autoFilter ref="B4:H114" xr:uid="{6CD1CE1A-6D68-43BF-8977-FEFB5D11C3EE}"/>
  <tableColumns count="7">
    <tableColumn id="1" xr3:uid="{2FCF9521-FC5D-41D1-84E3-2E98E6218638}" name="FECHA" dataDxfId="55" dataCellStyle="Normal 3"/>
    <tableColumn id="2" xr3:uid="{109803DF-06DF-463C-B848-9E0AE1C1E267}" name="Descripción" dataDxfId="54" dataCellStyle="Normal 3"/>
    <tableColumn id="3" xr3:uid="{EFC9CF83-29B8-4C66-86AC-537E42D71E24}" name="Categoría" dataDxfId="53" dataCellStyle="Normal 3"/>
    <tableColumn id="4" xr3:uid="{C18B41F6-5A8B-42B7-8C18-8646AD4D0A8F}" name="Ingreso ( + )" dataDxfId="52" dataCellStyle="Normal 3"/>
    <tableColumn id="5" xr3:uid="{A1A863F2-605A-40FC-A36A-330D867B0635}" name="Credito ( – )" dataDxfId="51" dataCellStyle="Normal 3"/>
    <tableColumn id="6" xr3:uid="{71E0171F-B35B-4DD2-85FF-A2A20B8D853A}" name="Migrar" dataDxfId="50"/>
    <tableColumn id="7" xr3:uid="{9F6C6F48-3138-4D52-A007-4AE0BECEF710}" name="BALANCE" dataDxfId="49" dataCellStyle="Normal 3">
      <calculatedColumnFormula>SUM(E5:F5)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Prismalab95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Prismalab95@g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8CA21-D31F-4FDC-9992-75301A97DA6F}">
  <sheetPr codeName="Hoja25"/>
  <dimension ref="A1"/>
  <sheetViews>
    <sheetView workbookViewId="0">
      <selection activeCell="B27" sqref="B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AP186"/>
  <sheetViews>
    <sheetView zoomScale="85" zoomScaleNormal="85" workbookViewId="0">
      <pane ySplit="1" topLeftCell="A5" activePane="bottomLeft" state="frozen"/>
      <selection activeCell="C15" sqref="C15"/>
      <selection pane="bottomLeft" activeCell="N5" sqref="N5"/>
    </sheetView>
  </sheetViews>
  <sheetFormatPr baseColWidth="10" defaultColWidth="9.109375" defaultRowHeight="14.4" x14ac:dyDescent="0.3"/>
  <cols>
    <col min="1" max="1" width="4" style="15" bestFit="1" customWidth="1"/>
    <col min="2" max="2" width="55.109375" style="15" bestFit="1" customWidth="1"/>
    <col min="3" max="3" width="9.88671875" style="20" bestFit="1" customWidth="1"/>
    <col min="4" max="4" width="20.21875" style="16" hidden="1" customWidth="1"/>
    <col min="5" max="5" width="13.44140625" style="15" bestFit="1" customWidth="1"/>
    <col min="6" max="6" width="13.109375" style="15" bestFit="1" customWidth="1"/>
    <col min="7" max="7" width="11.44140625" style="15" bestFit="1" customWidth="1"/>
    <col min="8" max="8" width="11.21875" style="15" bestFit="1" customWidth="1"/>
    <col min="9" max="9" width="11.44140625" style="15" bestFit="1" customWidth="1"/>
    <col min="10" max="10" width="10.5546875" style="15" bestFit="1" customWidth="1"/>
    <col min="11" max="11" width="11.44140625" style="15" bestFit="1" customWidth="1"/>
    <col min="12" max="12" width="10.88671875" style="15" bestFit="1" customWidth="1"/>
    <col min="13" max="13" width="9.109375" style="15"/>
    <col min="14" max="14" width="11.6640625" style="15" customWidth="1"/>
    <col min="15" max="15" width="12.109375" style="15" customWidth="1"/>
    <col min="16" max="16" width="11.5546875" style="15" hidden="1" customWidth="1"/>
    <col min="17" max="17" width="12.6640625" style="15" hidden="1" customWidth="1"/>
    <col min="18" max="18" width="11.5546875" style="15" hidden="1" customWidth="1"/>
    <col min="19" max="19" width="11.88671875" style="15" hidden="1" customWidth="1"/>
    <col min="20" max="20" width="13.109375" style="15" bestFit="1" customWidth="1"/>
    <col min="21" max="21" width="12.44140625" style="15" customWidth="1"/>
    <col min="22" max="22" width="11.77734375" style="15" bestFit="1" customWidth="1"/>
    <col min="23" max="23" width="13.21875" style="15" customWidth="1"/>
    <col min="24" max="24" width="11.77734375" style="15" customWidth="1"/>
    <col min="25" max="25" width="10.33203125" style="15" customWidth="1"/>
    <col min="26" max="28" width="9.109375" style="15" customWidth="1"/>
    <col min="29" max="29" width="11.6640625" style="17" bestFit="1" customWidth="1"/>
    <col min="30" max="30" width="10.5546875" style="15" bestFit="1" customWidth="1"/>
    <col min="31" max="16384" width="9.109375" style="15"/>
  </cols>
  <sheetData>
    <row r="1" spans="1:29" ht="28.8" x14ac:dyDescent="0.3">
      <c r="A1" s="2" t="s">
        <v>30</v>
      </c>
      <c r="B1" s="2" t="s">
        <v>234</v>
      </c>
      <c r="C1" s="2" t="s">
        <v>230</v>
      </c>
      <c r="D1" s="13" t="s">
        <v>231</v>
      </c>
      <c r="E1" s="2" t="s">
        <v>232</v>
      </c>
      <c r="F1" s="2" t="s">
        <v>233</v>
      </c>
      <c r="G1" s="2" t="s">
        <v>173</v>
      </c>
      <c r="H1" s="2" t="s">
        <v>188</v>
      </c>
      <c r="I1" s="2" t="s">
        <v>174</v>
      </c>
      <c r="J1" s="2" t="s">
        <v>188</v>
      </c>
      <c r="K1" s="2" t="s">
        <v>175</v>
      </c>
      <c r="L1" s="2" t="s">
        <v>188</v>
      </c>
      <c r="M1" s="2" t="s">
        <v>31</v>
      </c>
      <c r="N1" s="2" t="s">
        <v>32</v>
      </c>
      <c r="O1" s="2" t="s">
        <v>33</v>
      </c>
      <c r="P1" s="2" t="s">
        <v>34</v>
      </c>
      <c r="Q1" s="2" t="s">
        <v>35</v>
      </c>
      <c r="R1" s="2" t="s">
        <v>13</v>
      </c>
      <c r="S1" s="2" t="s">
        <v>36</v>
      </c>
      <c r="T1" s="2" t="s">
        <v>37</v>
      </c>
      <c r="U1" s="2" t="s">
        <v>38</v>
      </c>
      <c r="V1" s="14" t="s">
        <v>198</v>
      </c>
      <c r="W1" s="2" t="s">
        <v>197</v>
      </c>
    </row>
    <row r="2" spans="1:29" s="348" customFormat="1" ht="15" x14ac:dyDescent="0.35">
      <c r="A2" s="348" t="s">
        <v>39</v>
      </c>
      <c r="B2" s="349" t="s">
        <v>250</v>
      </c>
      <c r="C2" s="350">
        <v>1</v>
      </c>
      <c r="D2" s="351">
        <v>0</v>
      </c>
      <c r="E2" s="348">
        <v>118.73</v>
      </c>
      <c r="F2" s="348" t="s">
        <v>28</v>
      </c>
      <c r="G2" s="348">
        <v>0</v>
      </c>
      <c r="I2" s="348">
        <v>0</v>
      </c>
      <c r="M2" s="348">
        <f>+SUM(E2:K2)</f>
        <v>118.73</v>
      </c>
      <c r="N2" s="348">
        <v>4.7</v>
      </c>
      <c r="O2" s="352">
        <f>(SUMIFS(Inventario_Materiales!H$2:H$33,Inventario_Materiales!B$2:B$33,Calculadora_Produccion!F2)*E2+SUMIFS(Inventario_Materiales!H$2:H$33,Inventario_Materiales!B$2:B$33,H2)*G2+SUMIFS(Inventario_Materiales!H$2:H$33,Inventario_Materiales!B$2:B$33,Calculadora_Produccion!J2)*I2+SUMIFS(Inventario_Materiales!H$2:H$33,Inventario_Materiales!B$2:B$33,Calculadora_Produccion!L2)*K2)/5</f>
        <v>7477.14048</v>
      </c>
      <c r="P2" s="352">
        <f>N2*Configuracion_Costos!$B$4*Configuracion_Costos!$B$5</f>
        <v>538.05600000000004</v>
      </c>
      <c r="Q2" s="353">
        <f>N2*Configuracion_Costos!$B$8</f>
        <v>3186.6</v>
      </c>
      <c r="R2" s="353">
        <v>0</v>
      </c>
      <c r="S2" s="348">
        <v>0</v>
      </c>
      <c r="T2" s="352">
        <f>SUM(O2:S2)</f>
        <v>11201.796480000001</v>
      </c>
      <c r="U2" s="352">
        <f>T2*(1+Configuracion_Costos!$B$7)</f>
        <v>31365.030144</v>
      </c>
      <c r="V2" s="353">
        <f>U2*0.2</f>
        <v>6273.0060288000004</v>
      </c>
      <c r="W2" s="353">
        <f>U2-V2</f>
        <v>25092.024115200002</v>
      </c>
      <c r="Y2" s="348">
        <v>89.02</v>
      </c>
      <c r="Z2" s="348">
        <v>46.74</v>
      </c>
      <c r="AA2" s="348">
        <v>42.28</v>
      </c>
      <c r="AC2" s="352"/>
    </row>
    <row r="3" spans="1:29" s="348" customFormat="1" x14ac:dyDescent="0.3">
      <c r="A3" s="348" t="s">
        <v>165</v>
      </c>
      <c r="B3" s="348" t="s">
        <v>251</v>
      </c>
      <c r="C3" s="350">
        <v>1</v>
      </c>
      <c r="D3" s="351">
        <v>0</v>
      </c>
      <c r="E3" s="348">
        <v>0</v>
      </c>
      <c r="G3" s="348">
        <v>0</v>
      </c>
      <c r="I3" s="348">
        <v>116</v>
      </c>
      <c r="J3" s="348" t="s">
        <v>27</v>
      </c>
      <c r="M3" s="348">
        <f>+SUM(E3:K3)</f>
        <v>116</v>
      </c>
      <c r="N3" s="348">
        <v>4.8</v>
      </c>
      <c r="O3" s="352">
        <f>(SUMIFS(Inventario_Materiales!H$2:H$33,Inventario_Materiales!B$2:B$33,Calculadora_Produccion!F3)*E3+SUMIFS(Inventario_Materiales!H$2:H$33,Inventario_Materiales!B$2:B$33,H3)*G3+SUMIFS(Inventario_Materiales!H$2:H$33,Inventario_Materiales!B$2:B$33,Calculadora_Produccion!J3)*I3+SUMIFS(Inventario_Materiales!H$2:H$33,Inventario_Materiales!B$2:B$33,Calculadora_Produccion!L3)*K3)/5</f>
        <v>9836.7999999999993</v>
      </c>
      <c r="P3" s="352">
        <f>N3*Configuracion_Costos!$B$4*Configuracion_Costos!$B$5</f>
        <v>549.50400000000002</v>
      </c>
      <c r="Q3" s="353">
        <f>N3*Configuracion_Costos!$B$8</f>
        <v>3254.4</v>
      </c>
      <c r="R3" s="353">
        <v>0</v>
      </c>
      <c r="S3" s="348">
        <v>0</v>
      </c>
      <c r="T3" s="352">
        <f>SUM(O3:S3)</f>
        <v>13640.704</v>
      </c>
      <c r="U3" s="352">
        <f>T3*(1+Configuracion_Costos!$B$7)</f>
        <v>38193.9712</v>
      </c>
      <c r="V3" s="353">
        <f>U3*0.2</f>
        <v>7638.7942400000002</v>
      </c>
      <c r="W3" s="353">
        <f>U3-V3</f>
        <v>30555.176960000001</v>
      </c>
      <c r="Y3" s="348">
        <v>5.12</v>
      </c>
      <c r="AC3" s="352"/>
    </row>
    <row r="4" spans="1:29" s="348" customFormat="1" x14ac:dyDescent="0.3">
      <c r="A4" s="348" t="s">
        <v>166</v>
      </c>
      <c r="B4" s="348" t="s">
        <v>252</v>
      </c>
      <c r="C4" s="350">
        <v>2</v>
      </c>
      <c r="D4" s="351">
        <f>U4</f>
        <v>50330.844255999997</v>
      </c>
      <c r="E4" s="361">
        <v>122.67</v>
      </c>
      <c r="F4" s="348" t="s">
        <v>27</v>
      </c>
      <c r="G4" s="361">
        <v>10.57</v>
      </c>
      <c r="H4" s="348" t="s">
        <v>28</v>
      </c>
      <c r="I4" s="348">
        <v>6.21</v>
      </c>
      <c r="J4" s="348" t="s">
        <v>158</v>
      </c>
      <c r="K4" s="348">
        <v>0.45</v>
      </c>
      <c r="L4" s="348" t="s">
        <v>155</v>
      </c>
      <c r="M4" s="348">
        <f>+SUM(E4,G4,I4,K4)</f>
        <v>139.9</v>
      </c>
      <c r="N4" s="348">
        <v>7.29</v>
      </c>
      <c r="O4" s="352">
        <f>(SUMIFS(Inventario_Materiales!H$2:H$33,Inventario_Materiales!B$2:B$33,Calculadora_Produccion!F4)*E4+SUMIFS(Inventario_Materiales!H$2:H$33,Inventario_Materiales!B$2:B$33,H4)*G4+SUMIFS(Inventario_Materiales!H$2:H$33,Inventario_Materiales!B$2:B$33,Calculadora_Produccion!J4)*I4+SUMIFS(Inventario_Materiales!H$2:H$33,Inventario_Materiales!B$2:B$33,Calculadora_Produccion!L4)*K4)/5</f>
        <v>11198.12232</v>
      </c>
      <c r="P4" s="352">
        <f>N4*Configuracion_Costos!$B$4*Configuracion_Costos!$B$5</f>
        <v>834.55920000000003</v>
      </c>
      <c r="Q4" s="353">
        <f>N4*Configuracion_Costos!$B$8</f>
        <v>4942.62</v>
      </c>
      <c r="S4" s="348">
        <v>1000</v>
      </c>
      <c r="T4" s="352">
        <f>SUM(O4:S4)</f>
        <v>17975.301520000001</v>
      </c>
      <c r="U4" s="352">
        <f>T4*(1+Configuracion_Costos!$B$7)</f>
        <v>50330.844255999997</v>
      </c>
      <c r="V4" s="353">
        <f>U4*0.2</f>
        <v>10066.1688512</v>
      </c>
      <c r="W4" s="353">
        <f>U4-V4</f>
        <v>40264.6754048</v>
      </c>
      <c r="X4" s="362"/>
      <c r="AC4" s="352"/>
    </row>
    <row r="5" spans="1:29" s="348" customFormat="1" x14ac:dyDescent="0.3">
      <c r="A5" s="348" t="s">
        <v>189</v>
      </c>
      <c r="B5" s="348" t="s">
        <v>253</v>
      </c>
      <c r="C5" s="350">
        <v>2</v>
      </c>
      <c r="D5" s="351">
        <f>U5</f>
        <v>0</v>
      </c>
      <c r="E5" s="361">
        <v>123.75</v>
      </c>
      <c r="F5" s="348" t="s">
        <v>28</v>
      </c>
      <c r="G5" s="361">
        <v>11.68</v>
      </c>
      <c r="H5" s="348" t="s">
        <v>27</v>
      </c>
      <c r="I5" s="348">
        <v>6.21</v>
      </c>
      <c r="J5" s="348" t="s">
        <v>158</v>
      </c>
      <c r="K5" s="348">
        <v>0.45</v>
      </c>
      <c r="L5" s="348" t="s">
        <v>155</v>
      </c>
      <c r="O5" s="352"/>
      <c r="P5" s="352"/>
      <c r="Q5" s="353"/>
      <c r="T5" s="352"/>
      <c r="U5" s="352"/>
      <c r="V5" s="353"/>
      <c r="W5" s="353"/>
      <c r="X5" s="362"/>
      <c r="AC5" s="352"/>
    </row>
    <row r="6" spans="1:29" s="348" customFormat="1" x14ac:dyDescent="0.3">
      <c r="A6" s="348" t="s">
        <v>190</v>
      </c>
      <c r="B6" s="348" t="s">
        <v>254</v>
      </c>
      <c r="C6" s="350">
        <v>1</v>
      </c>
      <c r="D6" s="351"/>
      <c r="E6" s="361">
        <v>21.48</v>
      </c>
      <c r="F6" s="348" t="s">
        <v>27</v>
      </c>
      <c r="G6" s="361">
        <v>0.96</v>
      </c>
      <c r="H6" s="348" t="s">
        <v>28</v>
      </c>
      <c r="I6" s="348">
        <v>6.21</v>
      </c>
      <c r="J6" s="348" t="s">
        <v>158</v>
      </c>
      <c r="K6" s="348">
        <v>0.45</v>
      </c>
      <c r="L6" s="348" t="s">
        <v>155</v>
      </c>
      <c r="O6" s="352"/>
      <c r="P6" s="352"/>
      <c r="Q6" s="353"/>
      <c r="T6" s="352"/>
      <c r="U6" s="352"/>
      <c r="V6" s="353"/>
      <c r="W6" s="353"/>
      <c r="X6" s="362"/>
      <c r="AC6" s="352"/>
    </row>
    <row r="7" spans="1:29" s="32" customFormat="1" x14ac:dyDescent="0.3">
      <c r="A7" s="32" t="s">
        <v>200</v>
      </c>
      <c r="B7" s="32" t="s">
        <v>255</v>
      </c>
      <c r="C7" s="33">
        <v>10</v>
      </c>
      <c r="D7" s="34">
        <f t="shared" ref="D7:D12" si="0">U7</f>
        <v>4613.1983519999994</v>
      </c>
      <c r="E7" s="32">
        <f>9.31/10</f>
        <v>0.93100000000000005</v>
      </c>
      <c r="F7" s="32" t="s">
        <v>29</v>
      </c>
      <c r="G7" s="32">
        <v>2.3199999999999998</v>
      </c>
      <c r="H7" s="32" t="s">
        <v>138</v>
      </c>
      <c r="M7" s="32">
        <f t="shared" ref="M7:M14" si="1">+SUM(E7,G7,I7,K7)</f>
        <v>3.2509999999999999</v>
      </c>
      <c r="N7" s="32">
        <f>3.5/10</f>
        <v>0.35</v>
      </c>
      <c r="O7" s="35">
        <f>SUMIFS(Inventario_Materiales!H$2:H$33,Inventario_Materiales!B$2:B$33,Calculadora_Produccion!F7)*E7+SUMIFS(Inventario_Materiales!H$2:H$33,Inventario_Materiales!B$2:B$33,H7)*G7+SUMIFS(Inventario_Materiales!H$2:H$33,Inventario_Materiales!B$2:B$33,Calculadora_Produccion!J7)*I7+SUMIFS(Inventario_Materiales!H$2:H$33,Inventario_Materiales!B$2:B$33,Calculadora_Produccion!L7)*K7</f>
        <v>370.20284000000004</v>
      </c>
      <c r="P7" s="35">
        <f>N7*Configuracion_Costos!$B$4*Configuracion_Costos!$B$5</f>
        <v>40.067999999999998</v>
      </c>
      <c r="Q7" s="36">
        <f>N7*Configuracion_Costos!$B$8</f>
        <v>237.29999999999998</v>
      </c>
      <c r="S7" s="32">
        <v>1000</v>
      </c>
      <c r="T7" s="35">
        <f t="shared" ref="T7:T13" si="2">SUM(O7:S7)</f>
        <v>1647.5708399999999</v>
      </c>
      <c r="U7" s="35">
        <f>T7*(1+Configuracion_Costos!$B$7)</f>
        <v>4613.1983519999994</v>
      </c>
      <c r="V7" s="36">
        <f t="shared" ref="V7:V23" si="3">U7*0.2</f>
        <v>922.63967039999989</v>
      </c>
      <c r="W7" s="36">
        <f t="shared" ref="W7:W23" si="4">U7-V7</f>
        <v>3690.5586815999995</v>
      </c>
      <c r="AC7" s="35"/>
    </row>
    <row r="8" spans="1:29" s="27" customFormat="1" x14ac:dyDescent="0.3">
      <c r="A8" s="27" t="s">
        <v>201</v>
      </c>
      <c r="B8" s="27" t="s">
        <v>242</v>
      </c>
      <c r="C8" s="28">
        <v>0</v>
      </c>
      <c r="D8" s="29">
        <f t="shared" si="0"/>
        <v>6944.9772000000003</v>
      </c>
      <c r="E8" s="27">
        <f>29.09/2</f>
        <v>14.545</v>
      </c>
      <c r="F8" s="27" t="s">
        <v>151</v>
      </c>
      <c r="M8" s="27">
        <f t="shared" si="1"/>
        <v>14.545</v>
      </c>
      <c r="N8" s="27">
        <f>1.35/2</f>
        <v>0.67500000000000004</v>
      </c>
      <c r="O8" s="30">
        <f>SUMIFS(Inventario_Materiales!H$2:H$33,Inventario_Materiales!B$2:B$33,Calculadora_Produccion!F8)*E8+SUMIFS(Inventario_Materiales!H$2:H$33,Inventario_Materiales!B$2:B$33,H8)*G8+SUMIFS(Inventario_Materiales!H$2:H$33,Inventario_Materiales!B$2:B$33,Calculadora_Produccion!J8)*I8+SUMIFS(Inventario_Materiales!H$2:H$33,Inventario_Materiales!B$2:B$33,Calculadora_Produccion!L8)*K8</f>
        <v>945.42499999999995</v>
      </c>
      <c r="P8" s="30">
        <f>N8*Configuracion_Costos!$B$4*Configuracion_Costos!$B$5</f>
        <v>77.274000000000015</v>
      </c>
      <c r="Q8" s="31">
        <f>N8*Configuracion_Costos!$B$8</f>
        <v>457.65000000000003</v>
      </c>
      <c r="S8" s="27">
        <v>1000</v>
      </c>
      <c r="T8" s="30">
        <f t="shared" si="2"/>
        <v>2480.3490000000002</v>
      </c>
      <c r="U8" s="30">
        <f>T8*(1+Configuracion_Costos!$B$7)</f>
        <v>6944.9772000000003</v>
      </c>
      <c r="V8" s="31">
        <f t="shared" si="3"/>
        <v>1388.9954400000001</v>
      </c>
      <c r="W8" s="31">
        <f t="shared" si="4"/>
        <v>5555.9817600000006</v>
      </c>
      <c r="AC8" s="30"/>
    </row>
    <row r="9" spans="1:29" s="32" customFormat="1" x14ac:dyDescent="0.3">
      <c r="A9" s="32" t="s">
        <v>202</v>
      </c>
      <c r="B9" s="32" t="s">
        <v>253</v>
      </c>
      <c r="C9" s="33">
        <v>1</v>
      </c>
      <c r="D9" s="34">
        <f t="shared" si="0"/>
        <v>181202.63615999997</v>
      </c>
      <c r="E9" s="32">
        <v>201.45</v>
      </c>
      <c r="F9" s="32" t="s">
        <v>28</v>
      </c>
      <c r="M9" s="32">
        <f t="shared" si="1"/>
        <v>201.45</v>
      </c>
      <c r="N9" s="32">
        <f>10.7/30</f>
        <v>0.35666666666666663</v>
      </c>
      <c r="O9" s="35">
        <f>SUMIFS(Inventario_Materiales!H$2:H$33,Inventario_Materiales!B$2:B$33,Calculadora_Produccion!F9)*E9+SUMIFS(Inventario_Materiales!H$2:H$33,Inventario_Materiales!B$2:B$33,H9)*G9+SUMIFS(Inventario_Materiales!H$2:H$33,Inventario_Materiales!B$2:B$33,Calculadora_Produccion!J9)*I9+SUMIFS(Inventario_Materiales!H$2:H$33,Inventario_Materiales!B$2:B$33,Calculadora_Produccion!L9)*K9</f>
        <v>63432.575999999994</v>
      </c>
      <c r="P9" s="35">
        <f>N9*Configuracion_Costos!$B$4*Configuracion_Costos!$B$5</f>
        <v>40.831199999999995</v>
      </c>
      <c r="Q9" s="36">
        <f>N9*Configuracion_Costos!$B$8</f>
        <v>241.81999999999996</v>
      </c>
      <c r="S9" s="32">
        <v>1000</v>
      </c>
      <c r="T9" s="35">
        <f t="shared" si="2"/>
        <v>64715.227199999994</v>
      </c>
      <c r="U9" s="35">
        <f>T9*(1+Configuracion_Costos!$B$7)</f>
        <v>181202.63615999997</v>
      </c>
      <c r="V9" s="36">
        <f t="shared" si="3"/>
        <v>36240.527231999993</v>
      </c>
      <c r="W9" s="36">
        <f t="shared" si="4"/>
        <v>144962.10892799997</v>
      </c>
      <c r="AC9" s="35"/>
    </row>
    <row r="10" spans="1:29" s="32" customFormat="1" x14ac:dyDescent="0.3">
      <c r="A10" s="32" t="s">
        <v>203</v>
      </c>
      <c r="B10" s="32" t="s">
        <v>256</v>
      </c>
      <c r="C10" s="33">
        <v>3</v>
      </c>
      <c r="D10" s="34">
        <f t="shared" si="0"/>
        <v>27244.529312000002</v>
      </c>
      <c r="E10" s="32">
        <v>140.84</v>
      </c>
      <c r="F10" s="32" t="s">
        <v>151</v>
      </c>
      <c r="G10" s="32">
        <v>0.65</v>
      </c>
      <c r="H10" s="32" t="s">
        <v>157</v>
      </c>
      <c r="M10" s="32">
        <f t="shared" si="1"/>
        <v>141.49</v>
      </c>
      <c r="N10" s="32">
        <f>13.46/20</f>
        <v>0.67300000000000004</v>
      </c>
      <c r="O10" s="35">
        <f>SUMIFS(Inventario_Materiales!H$2:H$33,Inventario_Materiales!B$2:B$33,Calculadora_Produccion!F10)*E10+SUMIFS(Inventario_Materiales!H$2:H$33,Inventario_Materiales!B$2:B$33,H10)*G10+SUMIFS(Inventario_Materiales!H$2:H$33,Inventario_Materiales!B$2:B$33,Calculadora_Produccion!J10)*I10+SUMIFS(Inventario_Materiales!H$2:H$33,Inventario_Materiales!B$2:B$33,Calculadora_Produccion!L10)*K10</f>
        <v>9196.85</v>
      </c>
      <c r="P10" s="35">
        <f>N10*Configuracion_Costos!$B$4*Configuracion_Costos!$B$5</f>
        <v>77.045040000000014</v>
      </c>
      <c r="Q10" s="36">
        <f>N10*Configuracion_Costos!$B$8</f>
        <v>456.29400000000004</v>
      </c>
      <c r="T10" s="35">
        <f t="shared" si="2"/>
        <v>9730.1890400000011</v>
      </c>
      <c r="U10" s="35">
        <f>T10*(1+Configuracion_Costos!$B$7)</f>
        <v>27244.529312000002</v>
      </c>
      <c r="V10" s="36">
        <f t="shared" si="3"/>
        <v>5448.9058624000008</v>
      </c>
      <c r="W10" s="36">
        <f t="shared" si="4"/>
        <v>21795.623449600003</v>
      </c>
      <c r="AC10" s="35"/>
    </row>
    <row r="11" spans="1:29" s="27" customFormat="1" x14ac:dyDescent="0.3">
      <c r="A11" s="27" t="s">
        <v>204</v>
      </c>
      <c r="B11" s="27" t="s">
        <v>248</v>
      </c>
      <c r="C11" s="28">
        <v>0</v>
      </c>
      <c r="D11" s="29">
        <f t="shared" si="0"/>
        <v>66276.342720000001</v>
      </c>
      <c r="E11" s="27">
        <f>100.36/2</f>
        <v>50.18</v>
      </c>
      <c r="F11" s="27" t="s">
        <v>27</v>
      </c>
      <c r="M11" s="27">
        <f t="shared" si="1"/>
        <v>50.18</v>
      </c>
      <c r="N11" s="27">
        <f>3.51/2</f>
        <v>1.7549999999999999</v>
      </c>
      <c r="O11" s="30">
        <f>SUMIFS(Inventario_Materiales!H$2:H$33,Inventario_Materiales!B$2:B$33,Calculadora_Produccion!F11)*E11+SUMIFS(Inventario_Materiales!H$2:H$33,Inventario_Materiales!B$2:B$33,H11)*G11+SUMIFS(Inventario_Materiales!H$2:H$33,Inventario_Materiales!B$2:B$33,Calculadora_Produccion!J11)*I11+SUMIFS(Inventario_Materiales!H$2:H$33,Inventario_Materiales!B$2:B$33,Calculadora_Produccion!L11)*K11</f>
        <v>21276.32</v>
      </c>
      <c r="P11" s="30">
        <f>N11*Configuracion_Costos!$B$4*Configuracion_Costos!$B$5</f>
        <v>200.91239999999999</v>
      </c>
      <c r="Q11" s="31">
        <f>N11*Configuracion_Costos!$B$8</f>
        <v>1189.8899999999999</v>
      </c>
      <c r="S11" s="27">
        <v>1003</v>
      </c>
      <c r="T11" s="30">
        <f t="shared" si="2"/>
        <v>23670.1224</v>
      </c>
      <c r="U11" s="30">
        <f>T11*(1+Configuracion_Costos!$B$7)</f>
        <v>66276.342720000001</v>
      </c>
      <c r="V11" s="31">
        <f t="shared" si="3"/>
        <v>13255.268544</v>
      </c>
      <c r="W11" s="31">
        <f t="shared" si="4"/>
        <v>53021.074176000002</v>
      </c>
      <c r="Z11" s="27" t="s">
        <v>191</v>
      </c>
      <c r="AC11" s="30"/>
    </row>
    <row r="12" spans="1:29" s="27" customFormat="1" x14ac:dyDescent="0.3">
      <c r="A12" s="27" t="s">
        <v>205</v>
      </c>
      <c r="B12" s="27" t="s">
        <v>241</v>
      </c>
      <c r="C12" s="28">
        <v>0</v>
      </c>
      <c r="D12" s="29">
        <f t="shared" si="0"/>
        <v>5370.7579071999999</v>
      </c>
      <c r="E12" s="27">
        <v>8.7899999999999991</v>
      </c>
      <c r="F12" s="27" t="s">
        <v>151</v>
      </c>
      <c r="M12" s="27">
        <f t="shared" si="1"/>
        <v>8.7899999999999991</v>
      </c>
      <c r="N12" s="27">
        <v>0.43380000000000002</v>
      </c>
      <c r="O12" s="30">
        <f>SUMIFS(Inventario_Materiales!H$2:H$33,Inventario_Materiales!B$2:B$33,Calculadora_Produccion!F12)*E12+SUMIFS(Inventario_Materiales!H$2:H$33,Inventario_Materiales!B$2:B$33,H12)*G12+SUMIFS(Inventario_Materiales!H$2:H$33,Inventario_Materiales!B$2:B$33,Calculadora_Produccion!J12)*I12+SUMIFS(Inventario_Materiales!H$2:H$33,Inventario_Materiales!B$2:B$33,Calculadora_Produccion!L12)*K12</f>
        <v>571.34999999999991</v>
      </c>
      <c r="P12" s="30">
        <f>N12*Configuracion_Costos!$B$4*Configuracion_Costos!$B$5</f>
        <v>49.661424000000004</v>
      </c>
      <c r="Q12" s="31">
        <f>N12*Configuracion_Costos!$B$8</f>
        <v>294.1164</v>
      </c>
      <c r="S12" s="27">
        <v>1003</v>
      </c>
      <c r="T12" s="30">
        <f t="shared" si="2"/>
        <v>1918.1278239999999</v>
      </c>
      <c r="U12" s="30">
        <f>T12*(1+Configuracion_Costos!$B$7)</f>
        <v>5370.7579071999999</v>
      </c>
      <c r="V12" s="31">
        <f t="shared" si="3"/>
        <v>1074.15158144</v>
      </c>
      <c r="W12" s="31">
        <f t="shared" si="4"/>
        <v>4296.6063257599999</v>
      </c>
      <c r="Z12" s="27" t="s">
        <v>191</v>
      </c>
      <c r="AC12" s="30"/>
    </row>
    <row r="13" spans="1:29" s="32" customFormat="1" x14ac:dyDescent="0.3">
      <c r="A13" s="32" t="s">
        <v>206</v>
      </c>
      <c r="B13" s="32" t="s">
        <v>246</v>
      </c>
      <c r="C13" s="33"/>
      <c r="D13" s="34"/>
      <c r="E13" s="32">
        <v>5.27</v>
      </c>
      <c r="F13" s="32" t="s">
        <v>28</v>
      </c>
      <c r="M13" s="32">
        <f t="shared" si="1"/>
        <v>5.27</v>
      </c>
      <c r="N13" s="32">
        <v>0.27400000000000002</v>
      </c>
      <c r="O13" s="35">
        <f>SUMIFS(Inventario_Materiales!H$2:H$33,Inventario_Materiales!B$2:B$33,Calculadora_Produccion!F13)*E13+SUMIFS(Inventario_Materiales!H$2:H$33,Inventario_Materiales!B$2:B$33,H13)*G13+SUMIFS(Inventario_Materiales!H$2:H$33,Inventario_Materiales!B$2:B$33,Calculadora_Produccion!J13)*I13+SUMIFS(Inventario_Materiales!H$2:H$33,Inventario_Materiales!B$2:B$33,Calculadora_Produccion!L13)*K13</f>
        <v>1659.4175999999998</v>
      </c>
      <c r="P13" s="35">
        <f>N13*Configuracion_Costos!$B$4*Configuracion_Costos!$B$5</f>
        <v>31.367520000000006</v>
      </c>
      <c r="Q13" s="36">
        <f>N13*Configuracion_Costos!$B$8</f>
        <v>185.77200000000002</v>
      </c>
      <c r="S13" s="32">
        <v>1000</v>
      </c>
      <c r="T13" s="35">
        <f t="shared" si="2"/>
        <v>2876.5571199999995</v>
      </c>
      <c r="U13" s="35">
        <f>T13*(1+Configuracion_Costos!$B$7)</f>
        <v>8054.359935999998</v>
      </c>
      <c r="V13" s="36">
        <f t="shared" si="3"/>
        <v>1610.8719871999997</v>
      </c>
      <c r="W13" s="36">
        <f t="shared" si="4"/>
        <v>6443.4879487999988</v>
      </c>
      <c r="AC13" s="35"/>
    </row>
    <row r="14" spans="1:29" s="21" customFormat="1" x14ac:dyDescent="0.3">
      <c r="B14" s="21" t="s">
        <v>257</v>
      </c>
      <c r="C14" s="22">
        <v>1</v>
      </c>
      <c r="D14" s="23"/>
      <c r="E14" s="21">
        <v>316.52</v>
      </c>
      <c r="F14" s="21" t="s">
        <v>27</v>
      </c>
      <c r="M14" s="21">
        <f t="shared" si="1"/>
        <v>316.52</v>
      </c>
      <c r="O14" s="24"/>
      <c r="P14" s="24"/>
      <c r="Q14" s="25"/>
      <c r="T14" s="24"/>
      <c r="U14" s="24"/>
      <c r="V14" s="25"/>
      <c r="W14" s="25"/>
      <c r="AC14" s="24"/>
    </row>
    <row r="15" spans="1:29" s="21" customFormat="1" x14ac:dyDescent="0.3">
      <c r="C15" s="22"/>
      <c r="D15" s="23"/>
      <c r="O15" s="24"/>
      <c r="P15" s="24"/>
      <c r="Q15" s="25"/>
      <c r="T15" s="24"/>
      <c r="U15" s="24"/>
      <c r="V15" s="25"/>
      <c r="W15" s="25"/>
      <c r="AC15" s="24"/>
    </row>
    <row r="16" spans="1:29" s="21" customFormat="1" x14ac:dyDescent="0.3">
      <c r="C16" s="22"/>
      <c r="D16" s="23"/>
      <c r="O16" s="24"/>
      <c r="P16" s="24"/>
      <c r="Q16" s="25"/>
      <c r="T16" s="24"/>
      <c r="U16" s="24"/>
      <c r="V16" s="25"/>
      <c r="W16" s="25"/>
      <c r="AC16" s="24"/>
    </row>
    <row r="17" spans="1:42" s="21" customFormat="1" x14ac:dyDescent="0.3">
      <c r="C17" s="22"/>
      <c r="D17" s="23"/>
      <c r="O17" s="24"/>
      <c r="P17" s="24"/>
      <c r="Q17" s="25"/>
      <c r="T17" s="24"/>
      <c r="U17" s="24"/>
      <c r="V17" s="25"/>
      <c r="W17" s="25"/>
      <c r="AC17" s="24"/>
    </row>
    <row r="18" spans="1:42" s="21" customFormat="1" x14ac:dyDescent="0.3">
      <c r="C18" s="22"/>
      <c r="D18" s="23"/>
      <c r="O18" s="24"/>
      <c r="P18" s="24"/>
      <c r="Q18" s="25"/>
      <c r="T18" s="24"/>
      <c r="U18" s="24"/>
      <c r="V18" s="25"/>
      <c r="W18" s="25"/>
      <c r="AC18" s="24"/>
    </row>
    <row r="19" spans="1:42" s="21" customFormat="1" x14ac:dyDescent="0.3">
      <c r="C19" s="22"/>
      <c r="D19" s="23"/>
      <c r="O19" s="24"/>
      <c r="P19" s="24"/>
      <c r="Q19" s="25"/>
      <c r="T19" s="24"/>
      <c r="U19" s="24"/>
      <c r="V19" s="25"/>
      <c r="W19" s="25"/>
      <c r="AC19" s="24"/>
    </row>
    <row r="20" spans="1:42" s="21" customFormat="1" x14ac:dyDescent="0.3">
      <c r="C20" s="22"/>
      <c r="D20" s="23"/>
      <c r="O20" s="24"/>
      <c r="P20" s="24"/>
      <c r="Q20" s="25"/>
      <c r="T20" s="24"/>
      <c r="U20" s="24"/>
      <c r="V20" s="25"/>
      <c r="W20" s="25"/>
      <c r="AC20" s="24"/>
    </row>
    <row r="21" spans="1:42" s="21" customFormat="1" x14ac:dyDescent="0.3">
      <c r="B21" s="37"/>
      <c r="C21" s="22"/>
      <c r="D21" s="23"/>
      <c r="O21" s="24"/>
      <c r="P21" s="24"/>
      <c r="Q21" s="25"/>
      <c r="T21" s="24"/>
      <c r="U21" s="24"/>
      <c r="V21" s="25"/>
      <c r="W21" s="25"/>
      <c r="AC21" s="24"/>
    </row>
    <row r="22" spans="1:42" x14ac:dyDescent="0.3">
      <c r="A22" s="15" t="s">
        <v>207</v>
      </c>
      <c r="B22" s="15" t="s">
        <v>235</v>
      </c>
      <c r="E22" s="15">
        <v>0.63</v>
      </c>
      <c r="F22" s="15" t="s">
        <v>28</v>
      </c>
      <c r="G22" s="15">
        <v>0.16</v>
      </c>
      <c r="H22" s="15" t="s">
        <v>29</v>
      </c>
      <c r="I22" s="15">
        <v>0.13</v>
      </c>
      <c r="J22" s="15" t="s">
        <v>137</v>
      </c>
      <c r="K22" s="15">
        <v>2.4700000000000002</v>
      </c>
      <c r="L22" s="15" t="s">
        <v>27</v>
      </c>
      <c r="M22" s="15">
        <f t="shared" ref="M22:M33" si="5">+SUM(E22,G22,I22,K22)</f>
        <v>3.39</v>
      </c>
      <c r="N22" s="15">
        <f>4.0019/2</f>
        <v>2.00095</v>
      </c>
      <c r="O22" s="17">
        <f>SUMIFS(Inventario_Materiales!H$2:H$33,Inventario_Materiales!B$2:B$33,Calculadora_Produccion!F22)*E22+SUMIFS(Inventario_Materiales!H$2:H$33,Inventario_Materiales!B$2:B$33,H22)*G22+SUMIFS(Inventario_Materiales!H$2:H$33,Inventario_Materiales!B$2:B$33,Calculadora_Produccion!J22)*I22+SUMIFS(Inventario_Materiales!H$2:H$33,Inventario_Materiales!B$2:B$33,Calculadora_Produccion!L22)*K22</f>
        <v>1317.0768</v>
      </c>
      <c r="P22" s="17">
        <f>N22*Configuracion_Costos!$B$4*Configuracion_Costos!$B$5</f>
        <v>229.06875600000001</v>
      </c>
      <c r="Q22" s="18">
        <f>N22*Configuracion_Costos!$B$8</f>
        <v>1356.6441</v>
      </c>
      <c r="S22" s="15">
        <v>1000</v>
      </c>
      <c r="T22" s="17">
        <f t="shared" ref="T22:T33" si="6">SUM(O22:S22)</f>
        <v>3902.7896559999999</v>
      </c>
      <c r="U22" s="17">
        <f>T22*(1+Configuracion_Costos!$B$7)</f>
        <v>10927.8110368</v>
      </c>
      <c r="V22" s="18">
        <f t="shared" si="3"/>
        <v>2185.5622073600002</v>
      </c>
      <c r="W22" s="18">
        <f t="shared" si="4"/>
        <v>8742.2488294399991</v>
      </c>
      <c r="AC22" s="17">
        <f t="shared" ref="AC22:AC38" si="7">+U22*C22</f>
        <v>0</v>
      </c>
    </row>
    <row r="23" spans="1:42" s="21" customFormat="1" x14ac:dyDescent="0.3">
      <c r="A23" s="15" t="s">
        <v>208</v>
      </c>
      <c r="B23" s="21" t="s">
        <v>240</v>
      </c>
      <c r="C23" s="22"/>
      <c r="D23" s="23"/>
      <c r="E23" s="21">
        <v>5.91</v>
      </c>
      <c r="F23" s="21" t="s">
        <v>28</v>
      </c>
      <c r="G23" s="21">
        <v>238.42</v>
      </c>
      <c r="H23" s="21" t="s">
        <v>150</v>
      </c>
      <c r="K23" s="21">
        <v>27.08</v>
      </c>
      <c r="L23" s="21" t="s">
        <v>27</v>
      </c>
      <c r="M23" s="21">
        <f t="shared" si="5"/>
        <v>271.40999999999997</v>
      </c>
      <c r="N23" s="26">
        <v>9.17</v>
      </c>
      <c r="O23" s="24">
        <f>SUMIFS(Inventario_Materiales!H$2:H$33,Inventario_Materiales!B$2:B$33,Calculadora_Produccion!F23)*E23+SUMIFS(Inventario_Materiales!H$2:H$33,Inventario_Materiales!B$2:B$33,H23)*G23+SUMIFS(Inventario_Materiales!H$2:H$33,Inventario_Materiales!B$2:B$33,Calculadora_Produccion!J23)*I23+SUMIFS(Inventario_Materiales!H$2:H$33,Inventario_Materiales!B$2:B$33,Calculadora_Produccion!L23)*K23</f>
        <v>28840.160799999998</v>
      </c>
      <c r="P23" s="24">
        <f>N23*Configuracion_Costos!$B$4*Configuracion_Costos!$B$5</f>
        <v>1049.7816</v>
      </c>
      <c r="Q23" s="25">
        <f>N23*Configuracion_Costos!$B$8</f>
        <v>6217.26</v>
      </c>
      <c r="S23" s="21">
        <v>1000</v>
      </c>
      <c r="T23" s="24">
        <f t="shared" si="6"/>
        <v>37107.202399999995</v>
      </c>
      <c r="U23" s="24">
        <f>T23*(1+Configuracion_Costos!$B$7)</f>
        <v>103900.16671999998</v>
      </c>
      <c r="V23" s="25">
        <f t="shared" si="3"/>
        <v>20780.033343999996</v>
      </c>
      <c r="W23" s="25">
        <f t="shared" si="4"/>
        <v>83120.133375999983</v>
      </c>
      <c r="AC23" s="17">
        <f t="shared" si="7"/>
        <v>0</v>
      </c>
    </row>
    <row r="24" spans="1:42" x14ac:dyDescent="0.3">
      <c r="A24" s="15" t="s">
        <v>209</v>
      </c>
      <c r="B24" s="15" t="s">
        <v>238</v>
      </c>
      <c r="D24" s="16">
        <f>U24</f>
        <v>47593.898060799998</v>
      </c>
      <c r="E24" s="15">
        <f>68.5/2</f>
        <v>34.25</v>
      </c>
      <c r="F24" s="15" t="s">
        <v>27</v>
      </c>
      <c r="G24" s="15">
        <f>5.28/2</f>
        <v>2.64</v>
      </c>
      <c r="H24" s="15" t="s">
        <v>195</v>
      </c>
      <c r="I24" s="19">
        <f>5.04/2</f>
        <v>2.52</v>
      </c>
      <c r="J24" s="15" t="s">
        <v>158</v>
      </c>
      <c r="K24" s="15">
        <f>2.81/2</f>
        <v>1.405</v>
      </c>
      <c r="L24" s="15" t="s">
        <v>155</v>
      </c>
      <c r="M24" s="15">
        <f t="shared" si="5"/>
        <v>40.815000000000005</v>
      </c>
      <c r="N24" s="15">
        <v>1.64195</v>
      </c>
      <c r="O24" s="17">
        <f>SUMIFS(Inventario_Materiales!H$2:H$33,Inventario_Materiales!B$2:B$33,Calculadora_Produccion!F24)*E24+SUMIFS(Inventario_Materiales!H$2:H$33,Inventario_Materiales!B$2:B$33,H24)*G24+SUMIFS(Inventario_Materiales!H$2:H$33,Inventario_Materiales!B$2:B$33,Calculadora_Produccion!J24)*I24+SUMIFS(Inventario_Materiales!H$2:H$33,Inventario_Materiales!B$2:B$33,Calculadora_Produccion!L24)*K24</f>
        <v>15696.608200000001</v>
      </c>
      <c r="P24" s="17">
        <f>N24*Configuracion_Costos!$B$4*Configuracion_Costos!$B$5</f>
        <v>187.97043600000001</v>
      </c>
      <c r="Q24" s="18">
        <f>N24*Configuracion_Costos!$B$8</f>
        <v>1113.2420999999999</v>
      </c>
      <c r="T24" s="17">
        <f t="shared" si="6"/>
        <v>16997.820736000001</v>
      </c>
      <c r="U24" s="17">
        <f>T24*(1+Configuracion_Costos!$B$7)</f>
        <v>47593.898060799998</v>
      </c>
      <c r="V24" s="18">
        <f t="shared" ref="V24:V33" si="8">U24*0.2</f>
        <v>9518.7796121600004</v>
      </c>
      <c r="W24" s="18">
        <f t="shared" ref="W24:W33" si="9">U24-V24</f>
        <v>38075.118448640002</v>
      </c>
      <c r="AC24" s="17">
        <f t="shared" si="7"/>
        <v>0</v>
      </c>
    </row>
    <row r="25" spans="1:42" x14ac:dyDescent="0.3">
      <c r="A25" s="15" t="s">
        <v>208</v>
      </c>
      <c r="B25" s="15" t="s">
        <v>239</v>
      </c>
      <c r="D25" s="16">
        <f>U25</f>
        <v>107346.31526080004</v>
      </c>
      <c r="E25" s="15">
        <f>(123.18/2)+(42.35/2)</f>
        <v>82.765000000000001</v>
      </c>
      <c r="F25" s="15" t="s">
        <v>27</v>
      </c>
      <c r="G25" s="15">
        <f>8.38/2</f>
        <v>4.1900000000000004</v>
      </c>
      <c r="H25" s="15" t="s">
        <v>195</v>
      </c>
      <c r="I25" s="19">
        <f>11.37/2</f>
        <v>5.6849999999999996</v>
      </c>
      <c r="J25" s="15" t="s">
        <v>158</v>
      </c>
      <c r="K25" s="15">
        <f>1.74/2</f>
        <v>0.87</v>
      </c>
      <c r="L25" s="15" t="s">
        <v>155</v>
      </c>
      <c r="M25" s="15">
        <f t="shared" si="5"/>
        <v>93.51</v>
      </c>
      <c r="N25" s="15">
        <v>1.64195</v>
      </c>
      <c r="O25" s="17">
        <f>SUMIFS(Inventario_Materiales!H$2:H$33,Inventario_Materiales!B$2:B$33,Calculadora_Produccion!F25)*E25+SUMIFS(Inventario_Materiales!H$2:H$33,Inventario_Materiales!B$2:B$33,H25)*G25+SUMIFS(Inventario_Materiales!H$2:H$33,Inventario_Materiales!B$2:B$33,Calculadora_Produccion!J25)*I25+SUMIFS(Inventario_Materiales!H$2:H$33,Inventario_Materiales!B$2:B$33,Calculadora_Produccion!L25)*K25</f>
        <v>37036.757200000007</v>
      </c>
      <c r="P25" s="17">
        <f>N25*Configuracion_Costos!$B$4*Configuracion_Costos!$B$5</f>
        <v>187.97043600000001</v>
      </c>
      <c r="Q25" s="18">
        <f>N25*Configuracion_Costos!$B$8</f>
        <v>1113.2420999999999</v>
      </c>
      <c r="T25" s="17">
        <f t="shared" si="6"/>
        <v>38337.969736000014</v>
      </c>
      <c r="U25" s="17">
        <f>T25*(1+Configuracion_Costos!$B$7)</f>
        <v>107346.31526080004</v>
      </c>
      <c r="V25" s="18">
        <f t="shared" si="8"/>
        <v>21469.263052160008</v>
      </c>
      <c r="W25" s="18">
        <f t="shared" si="9"/>
        <v>85877.052208640031</v>
      </c>
      <c r="AC25" s="17">
        <f t="shared" si="7"/>
        <v>0</v>
      </c>
    </row>
    <row r="26" spans="1:42" x14ac:dyDescent="0.3">
      <c r="A26" s="15" t="s">
        <v>209</v>
      </c>
      <c r="B26" s="15" t="s">
        <v>237</v>
      </c>
      <c r="C26" s="20">
        <v>1</v>
      </c>
      <c r="D26" s="16">
        <f>U26</f>
        <v>731356.64000000013</v>
      </c>
      <c r="E26" s="15">
        <v>586.13000000000011</v>
      </c>
      <c r="F26" s="15" t="s">
        <v>27</v>
      </c>
      <c r="I26" s="19"/>
      <c r="M26" s="15">
        <f t="shared" si="5"/>
        <v>586.13000000000011</v>
      </c>
      <c r="N26" s="15">
        <v>16</v>
      </c>
      <c r="O26" s="17">
        <f>SUMIFS(Inventario_Materiales!H$2:H$33,Inventario_Materiales!B$2:B$33,Calculadora_Produccion!F26)*E26+SUMIFS(Inventario_Materiales!H$2:H$33,Inventario_Materiales!B$2:B$33,H26)*G26+SUMIFS(Inventario_Materiales!H$2:H$33,Inventario_Materiales!B$2:B$33,Calculadora_Produccion!J26)*I26+SUMIFS(Inventario_Materiales!H$2:H$33,Inventario_Materiales!B$2:B$33,Calculadora_Produccion!L26)*K26</f>
        <v>248519.12000000005</v>
      </c>
      <c r="P26" s="17">
        <f>N26*Configuracion_Costos!$B$4*Configuracion_Costos!$B$5</f>
        <v>1831.68</v>
      </c>
      <c r="Q26" s="18">
        <f>N26*Configuracion_Costos!$B$8</f>
        <v>10848</v>
      </c>
      <c r="T26" s="17">
        <f t="shared" si="6"/>
        <v>261198.80000000005</v>
      </c>
      <c r="U26" s="17">
        <f>T26*(1+Configuracion_Costos!$B$7)</f>
        <v>731356.64000000013</v>
      </c>
      <c r="V26" s="18">
        <f t="shared" si="8"/>
        <v>146271.32800000004</v>
      </c>
      <c r="W26" s="18">
        <f t="shared" si="9"/>
        <v>585085.31200000015</v>
      </c>
      <c r="AC26" s="17">
        <f t="shared" si="7"/>
        <v>731356.64000000013</v>
      </c>
    </row>
    <row r="27" spans="1:42" x14ac:dyDescent="0.3">
      <c r="A27" s="15" t="s">
        <v>210</v>
      </c>
      <c r="B27" s="15" t="s">
        <v>236</v>
      </c>
      <c r="C27" s="20">
        <v>0</v>
      </c>
      <c r="D27" s="16">
        <f>U27</f>
        <v>415287.93599999999</v>
      </c>
      <c r="E27" s="15">
        <v>355</v>
      </c>
      <c r="F27" s="15" t="s">
        <v>28</v>
      </c>
      <c r="G27" s="15">
        <v>60</v>
      </c>
      <c r="H27" s="15" t="s">
        <v>27</v>
      </c>
      <c r="M27" s="15">
        <f t="shared" si="5"/>
        <v>415</v>
      </c>
      <c r="N27" s="15">
        <v>14</v>
      </c>
      <c r="O27" s="17">
        <f>SUMIFS(Inventario_Materiales!H$2:H$33,Inventario_Materiales!B$2:B$33,Calculadora_Produccion!F27)*E27+SUMIFS(Inventario_Materiales!H$2:H$33,Inventario_Materiales!B$2:B$33,H27)*G27+SUMIFS(Inventario_Materiales!H$2:H$33,Inventario_Materiales!B$2:B$33,Calculadora_Produccion!J27)*I27+SUMIFS(Inventario_Materiales!H$2:H$33,Inventario_Materiales!B$2:B$33,Calculadora_Produccion!L27)*K27</f>
        <v>137222.39999999999</v>
      </c>
      <c r="P27" s="17">
        <f>N27*Configuracion_Costos!$B$4*Configuracion_Costos!$B$5</f>
        <v>1602.72</v>
      </c>
      <c r="Q27" s="18">
        <f>N27*Configuracion_Costos!$B$8</f>
        <v>9492</v>
      </c>
      <c r="T27" s="17">
        <f t="shared" si="6"/>
        <v>148317.12</v>
      </c>
      <c r="U27" s="17">
        <f>T27*(1+Configuracion_Costos!$B$7)</f>
        <v>415287.93599999999</v>
      </c>
      <c r="V27" s="18">
        <f t="shared" si="8"/>
        <v>83057.587200000009</v>
      </c>
      <c r="W27" s="18">
        <f t="shared" si="9"/>
        <v>332230.34879999998</v>
      </c>
      <c r="AC27" s="17">
        <f t="shared" si="7"/>
        <v>0</v>
      </c>
    </row>
    <row r="28" spans="1:42" x14ac:dyDescent="0.3">
      <c r="A28" s="15" t="s">
        <v>211</v>
      </c>
      <c r="B28" s="15" t="s">
        <v>245</v>
      </c>
      <c r="C28" s="20">
        <v>1</v>
      </c>
      <c r="E28" s="15">
        <v>2.9</v>
      </c>
      <c r="F28" s="15" t="s">
        <v>27</v>
      </c>
      <c r="M28" s="15">
        <f t="shared" si="5"/>
        <v>2.9</v>
      </c>
      <c r="N28" s="15">
        <v>37</v>
      </c>
      <c r="O28" s="17">
        <f>SUMIFS(Inventario_Materiales!H$2:H$33,Inventario_Materiales!B$2:B$33,Calculadora_Produccion!F28)*E28+SUMIFS(Inventario_Materiales!H$2:H$33,Inventario_Materiales!B$2:B$33,H28)*G28+SUMIFS(Inventario_Materiales!H$2:H$33,Inventario_Materiales!B$2:B$33,Calculadora_Produccion!J28)*I28+SUMIFS(Inventario_Materiales!H$2:H$33,Inventario_Materiales!B$2:B$33,Calculadora_Produccion!L28)*K28</f>
        <v>1229.5999999999999</v>
      </c>
      <c r="P28" s="17">
        <f>N28*Configuracion_Costos!$B$4*Configuracion_Costos!$B$5</f>
        <v>4235.76</v>
      </c>
      <c r="Q28" s="18">
        <f>N28*Configuracion_Costos!$B$8</f>
        <v>25086</v>
      </c>
      <c r="T28" s="17">
        <f t="shared" si="6"/>
        <v>30551.360000000001</v>
      </c>
      <c r="U28" s="17">
        <f>T28*(1+Configuracion_Costos!$B$7)</f>
        <v>85543.80799999999</v>
      </c>
      <c r="V28" s="18">
        <f t="shared" si="8"/>
        <v>17108.761599999998</v>
      </c>
      <c r="W28" s="18">
        <f t="shared" si="9"/>
        <v>68435.046399999992</v>
      </c>
      <c r="AC28" s="17">
        <f t="shared" si="7"/>
        <v>85543.80799999999</v>
      </c>
    </row>
    <row r="29" spans="1:42" x14ac:dyDescent="0.3">
      <c r="A29" s="15" t="s">
        <v>212</v>
      </c>
      <c r="B29" s="15" t="s">
        <v>243</v>
      </c>
      <c r="C29" s="20">
        <v>2</v>
      </c>
      <c r="E29" s="15">
        <v>51.26</v>
      </c>
      <c r="F29" s="15" t="s">
        <v>28</v>
      </c>
      <c r="G29" s="15">
        <v>13.23</v>
      </c>
      <c r="H29" s="15" t="s">
        <v>27</v>
      </c>
      <c r="I29" s="15">
        <v>2.17</v>
      </c>
      <c r="J29" s="15" t="s">
        <v>158</v>
      </c>
      <c r="M29" s="15">
        <f t="shared" si="5"/>
        <v>66.66</v>
      </c>
      <c r="N29" s="15">
        <v>3.4</v>
      </c>
      <c r="O29" s="17">
        <f>SUMIFS(Inventario_Materiales!H$2:H$33,Inventario_Materiales!B$2:B$33,Calculadora_Produccion!F29)*E29+SUMIFS(Inventario_Materiales!H$2:H$33,Inventario_Materiales!B$2:B$33,H29)*G29+SUMIFS(Inventario_Materiales!H$2:H$33,Inventario_Materiales!B$2:B$33,Calculadora_Produccion!J29)*I29+SUMIFS(Inventario_Materiales!H$2:H$33,Inventario_Materiales!B$2:B$33,Calculadora_Produccion!L29)*K29</f>
        <v>21967.268799999998</v>
      </c>
      <c r="P29" s="17">
        <f>N29*Configuracion_Costos!$B$4*Configuracion_Costos!$B$5</f>
        <v>389.23200000000003</v>
      </c>
      <c r="Q29" s="18">
        <f>N29*Configuracion_Costos!$B$8</f>
        <v>2305.1999999999998</v>
      </c>
      <c r="S29" s="15">
        <v>1000</v>
      </c>
      <c r="T29" s="17">
        <f t="shared" si="6"/>
        <v>25661.700799999999</v>
      </c>
      <c r="U29" s="17">
        <f>T29*(1+Configuracion_Costos!$B$7)</f>
        <v>71852.762239999996</v>
      </c>
      <c r="V29" s="18">
        <f t="shared" si="8"/>
        <v>14370.552448</v>
      </c>
      <c r="W29" s="18">
        <f t="shared" si="9"/>
        <v>57482.209791999994</v>
      </c>
      <c r="AC29" s="17">
        <f t="shared" si="7"/>
        <v>143705.52447999999</v>
      </c>
    </row>
    <row r="30" spans="1:42" x14ac:dyDescent="0.3">
      <c r="A30" s="15" t="s">
        <v>213</v>
      </c>
      <c r="B30" s="15" t="s">
        <v>244</v>
      </c>
      <c r="C30" s="20">
        <v>1</v>
      </c>
      <c r="E30" s="15">
        <v>52.66</v>
      </c>
      <c r="F30" s="15" t="s">
        <v>28</v>
      </c>
      <c r="G30" s="15">
        <v>1.88</v>
      </c>
      <c r="H30" s="15" t="s">
        <v>27</v>
      </c>
      <c r="M30" s="15">
        <f t="shared" si="5"/>
        <v>54.54</v>
      </c>
      <c r="N30" s="15">
        <v>2.2000000000000002</v>
      </c>
      <c r="O30" s="17">
        <f>SUMIFS(Inventario_Materiales!H$2:H$33,Inventario_Materiales!B$2:B$33,Calculadora_Produccion!F31)*E30+SUMIFS(Inventario_Materiales!H$2:H$33,Inventario_Materiales!B$2:B$33,H30)*G30+SUMIFS(Inventario_Materiales!H$2:H$33,Inventario_Materiales!B$2:B$33,Calculadora_Produccion!J30)*I30+SUMIFS(Inventario_Materiales!H$2:H$33,Inventario_Materiales!B$2:B$33,Calculadora_Produccion!L30)*K30</f>
        <v>4220.0199999999995</v>
      </c>
      <c r="P30" s="17">
        <f>N30*Configuracion_Costos!$B$4*Configuracion_Costos!$B$5</f>
        <v>251.85600000000002</v>
      </c>
      <c r="Q30" s="18">
        <f>N30*Configuracion_Costos!$B$8</f>
        <v>1491.6000000000001</v>
      </c>
      <c r="T30" s="17">
        <f t="shared" si="6"/>
        <v>5963.4759999999997</v>
      </c>
      <c r="U30" s="17">
        <f>T30*(1+Configuracion_Costos!$B$7)</f>
        <v>16697.732799999998</v>
      </c>
      <c r="V30" s="18">
        <f t="shared" si="8"/>
        <v>3339.5465599999998</v>
      </c>
      <c r="W30" s="18">
        <f t="shared" si="9"/>
        <v>13358.186239999999</v>
      </c>
      <c r="AC30" s="17">
        <f t="shared" si="7"/>
        <v>16697.732799999998</v>
      </c>
      <c r="AN30" s="15">
        <v>32</v>
      </c>
      <c r="AO30" s="15">
        <v>1182</v>
      </c>
      <c r="AP30" s="15">
        <f>+AO30-AN30-AH32</f>
        <v>1010</v>
      </c>
    </row>
    <row r="31" spans="1:42" x14ac:dyDescent="0.3">
      <c r="A31" s="15" t="s">
        <v>214</v>
      </c>
      <c r="B31" s="15" t="s">
        <v>229</v>
      </c>
      <c r="C31" s="20">
        <v>2</v>
      </c>
      <c r="E31" s="15">
        <f>148.9/2</f>
        <v>74.45</v>
      </c>
      <c r="F31" s="15" t="s">
        <v>151</v>
      </c>
      <c r="M31" s="15">
        <f t="shared" si="5"/>
        <v>74.45</v>
      </c>
      <c r="N31" s="15">
        <v>7.1</v>
      </c>
      <c r="O31" s="17">
        <f>SUMIFS(Inventario_Materiales!H$2:H$33,Inventario_Materiales!B$2:B$33,Calculadora_Produccion!F32)*E31+SUMIFS(Inventario_Materiales!H$2:H$33,Inventario_Materiales!B$2:B$33,H31)*G31+SUMIFS(Inventario_Materiales!H$2:H$33,Inventario_Materiales!B$2:B$33,Calculadora_Produccion!J31)*I31+SUMIFS(Inventario_Materiales!H$2:H$33,Inventario_Materiales!B$2:B$33,Calculadora_Produccion!L31)*K31</f>
        <v>4839.25</v>
      </c>
      <c r="P31" s="17">
        <f>N31*Configuracion_Costos!$B$4*Configuracion_Costos!$B$5</f>
        <v>812.80799999999999</v>
      </c>
      <c r="Q31" s="18">
        <f>N31*Configuracion_Costos!$B$8</f>
        <v>4813.8</v>
      </c>
      <c r="T31" s="17">
        <f t="shared" si="6"/>
        <v>10465.858</v>
      </c>
      <c r="U31" s="17">
        <f>T31*(1+Configuracion_Costos!$B$7)</f>
        <v>29304.402399999999</v>
      </c>
      <c r="V31" s="18">
        <f t="shared" si="8"/>
        <v>5860.8804799999998</v>
      </c>
      <c r="W31" s="18">
        <f t="shared" si="9"/>
        <v>23443.521919999999</v>
      </c>
      <c r="AC31" s="17">
        <f t="shared" si="7"/>
        <v>58608.804799999998</v>
      </c>
      <c r="AG31" s="15" t="s">
        <v>446</v>
      </c>
      <c r="AH31" s="15">
        <v>140</v>
      </c>
      <c r="AJ31" s="15">
        <v>965</v>
      </c>
      <c r="AK31" s="15">
        <v>1000</v>
      </c>
      <c r="AL31" s="15">
        <f>+AJ31-AH31</f>
        <v>825</v>
      </c>
      <c r="AM31" s="15">
        <f>+AK31-AL31</f>
        <v>175</v>
      </c>
    </row>
    <row r="32" spans="1:42" x14ac:dyDescent="0.3">
      <c r="A32" s="15" t="s">
        <v>215</v>
      </c>
      <c r="B32" s="15" t="s">
        <v>247</v>
      </c>
      <c r="C32" s="20">
        <v>20</v>
      </c>
      <c r="E32" s="15">
        <v>14.58</v>
      </c>
      <c r="F32" s="15" t="s">
        <v>154</v>
      </c>
      <c r="G32" s="15">
        <v>0.19</v>
      </c>
      <c r="H32" s="15" t="s">
        <v>27</v>
      </c>
      <c r="J32" s="15" t="s">
        <v>27</v>
      </c>
      <c r="M32" s="15">
        <f t="shared" si="5"/>
        <v>14.77</v>
      </c>
      <c r="N32" s="15">
        <v>8.1</v>
      </c>
      <c r="O32" s="17">
        <f>SUMIFS(Inventario_Materiales!H$2:H$33,Inventario_Materiales!B$2:B$33,Calculadora_Produccion!F33)*E32+SUMIFS(Inventario_Materiales!H$2:H$33,Inventario_Materiales!B$2:B$33,H32)*G32+SUMIFS(Inventario_Materiales!H$2:H$33,Inventario_Materiales!B$2:B$33,Calculadora_Produccion!J32)*I32+SUMIFS(Inventario_Materiales!H$2:H$33,Inventario_Materiales!B$2:B$33,Calculadora_Produccion!L32)*K32</f>
        <v>1975.96</v>
      </c>
      <c r="P32" s="17">
        <f>N32*Configuracion_Costos!$B$4*Configuracion_Costos!$B$5</f>
        <v>927.28800000000001</v>
      </c>
      <c r="Q32" s="18">
        <f>N32*Configuracion_Costos!$B$8</f>
        <v>5491.8</v>
      </c>
      <c r="T32" s="17">
        <f t="shared" si="6"/>
        <v>8395.0480000000007</v>
      </c>
      <c r="U32" s="17">
        <f>T32*(1+Configuracion_Costos!$B$7)</f>
        <v>23506.134399999999</v>
      </c>
      <c r="V32" s="18">
        <f t="shared" si="8"/>
        <v>4701.2268800000002</v>
      </c>
      <c r="W32" s="18">
        <f t="shared" si="9"/>
        <v>18804.907520000001</v>
      </c>
      <c r="AC32" s="17">
        <f t="shared" si="7"/>
        <v>470122.68799999997</v>
      </c>
      <c r="AG32" s="15" t="s">
        <v>445</v>
      </c>
      <c r="AH32" s="15">
        <v>140</v>
      </c>
      <c r="AJ32" s="15">
        <v>1092</v>
      </c>
      <c r="AK32" s="15">
        <v>1000</v>
      </c>
      <c r="AL32" s="15">
        <f>+AJ32-AH32</f>
        <v>952</v>
      </c>
      <c r="AM32" s="15">
        <f>+AK32-AL32</f>
        <v>48</v>
      </c>
    </row>
    <row r="33" spans="1:39" x14ac:dyDescent="0.3">
      <c r="A33" s="15" t="s">
        <v>216</v>
      </c>
      <c r="B33" s="15" t="s">
        <v>199</v>
      </c>
      <c r="C33" s="20">
        <v>1</v>
      </c>
      <c r="E33" s="15">
        <v>48</v>
      </c>
      <c r="F33" s="15" t="s">
        <v>159</v>
      </c>
      <c r="G33" s="15">
        <v>42.34</v>
      </c>
      <c r="H33" s="15" t="s">
        <v>158</v>
      </c>
      <c r="M33" s="15">
        <f t="shared" si="5"/>
        <v>90.34</v>
      </c>
      <c r="N33" s="15">
        <v>8.15</v>
      </c>
      <c r="O33" s="17">
        <f>SUMIFS(Inventario_Materiales!H$2:H$33,Inventario_Materiales!B$2:B$33,Calculadora_Produccion!F34)*E33+SUMIFS(Inventario_Materiales!H$2:H$33,Inventario_Materiales!B$2:B$33,H33)*G33+SUMIFS(Inventario_Materiales!H$2:H$33,Inventario_Materiales!B$2:B$33,Calculadora_Produccion!J33)*I33+SUMIFS(Inventario_Materiales!H$2:H$33,Inventario_Materiales!B$2:B$33,Calculadora_Produccion!L33)*K33</f>
        <v>24586</v>
      </c>
      <c r="P33" s="17">
        <f>N33*Configuracion_Costos!$B$4*Configuracion_Costos!$B$5</f>
        <v>933.01200000000006</v>
      </c>
      <c r="Q33" s="18">
        <f>N33*Configuracion_Costos!$B$8</f>
        <v>5525.7</v>
      </c>
      <c r="T33" s="17">
        <f t="shared" si="6"/>
        <v>31044.712</v>
      </c>
      <c r="U33" s="17">
        <f>T33*(1+Configuracion_Costos!$B$7)</f>
        <v>86925.193599999999</v>
      </c>
      <c r="V33" s="18">
        <f t="shared" si="8"/>
        <v>17385.03872</v>
      </c>
      <c r="W33" s="18">
        <f t="shared" si="9"/>
        <v>69540.154880000002</v>
      </c>
      <c r="AC33" s="17">
        <f t="shared" si="7"/>
        <v>86925.193599999999</v>
      </c>
      <c r="AG33" s="15" t="s">
        <v>447</v>
      </c>
      <c r="AH33" s="15">
        <v>164</v>
      </c>
      <c r="AJ33" s="15">
        <v>1206</v>
      </c>
      <c r="AK33" s="15">
        <v>1000</v>
      </c>
      <c r="AL33" s="15">
        <f>+AJ33-AH33</f>
        <v>1042</v>
      </c>
      <c r="AM33" s="15">
        <f>+AK33-AL33</f>
        <v>-42</v>
      </c>
    </row>
    <row r="34" spans="1:39" x14ac:dyDescent="0.3">
      <c r="A34" s="15" t="s">
        <v>217</v>
      </c>
      <c r="B34" s="15" t="s">
        <v>249</v>
      </c>
      <c r="C34" s="20">
        <v>1</v>
      </c>
      <c r="F34" s="15" t="s">
        <v>27</v>
      </c>
      <c r="M34" s="15">
        <f t="shared" ref="M34:M47" si="10">+SUM(E34,G34,I34,K34)</f>
        <v>0</v>
      </c>
      <c r="N34" s="15">
        <v>9.15</v>
      </c>
      <c r="O34" s="17">
        <f>SUMIFS(Inventario_Materiales!H$2:H$33,Inventario_Materiales!B$2:B$33,Calculadora_Produccion!F35)*E34+SUMIFS(Inventario_Materiales!H$2:H$33,Inventario_Materiales!B$2:B$33,H34)*G34+SUMIFS(Inventario_Materiales!H$2:H$33,Inventario_Materiales!B$2:B$33,Calculadora_Produccion!J34)*I34+SUMIFS(Inventario_Materiales!H$2:H$33,Inventario_Materiales!B$2:B$33,Calculadora_Produccion!L34)*K34</f>
        <v>0</v>
      </c>
      <c r="P34" s="17">
        <f>N34*Configuracion_Costos!$B$4*Configuracion_Costos!$B$5</f>
        <v>1047.492</v>
      </c>
      <c r="Q34" s="18">
        <f>N34*Configuracion_Costos!$B$8</f>
        <v>6203.7</v>
      </c>
      <c r="T34" s="17">
        <f t="shared" ref="T34:T47" si="11">SUM(O34:S34)</f>
        <v>7251.192</v>
      </c>
      <c r="U34" s="17">
        <f>T34*(1+Configuracion_Costos!$B$7)</f>
        <v>20303.337599999999</v>
      </c>
      <c r="V34" s="18">
        <f t="shared" ref="V34:V47" si="12">U34*0.2</f>
        <v>4060.66752</v>
      </c>
      <c r="W34" s="18">
        <f t="shared" ref="W34:W47" si="13">U34-V34</f>
        <v>16242.67008</v>
      </c>
      <c r="AC34" s="17">
        <f t="shared" si="7"/>
        <v>20303.337599999999</v>
      </c>
      <c r="AH34" s="15">
        <v>215</v>
      </c>
      <c r="AJ34" s="15">
        <v>1129</v>
      </c>
      <c r="AK34" s="15">
        <v>1000</v>
      </c>
      <c r="AL34" s="15">
        <f>+AJ34-AH34</f>
        <v>914</v>
      </c>
      <c r="AM34" s="15">
        <f>+AK34-AL34</f>
        <v>86</v>
      </c>
    </row>
    <row r="35" spans="1:39" x14ac:dyDescent="0.3">
      <c r="A35" s="15" t="s">
        <v>218</v>
      </c>
      <c r="B35" s="21" t="s">
        <v>253</v>
      </c>
      <c r="C35" s="20">
        <v>2</v>
      </c>
      <c r="M35" s="15">
        <f t="shared" si="10"/>
        <v>0</v>
      </c>
      <c r="N35" s="15">
        <v>10.15</v>
      </c>
      <c r="O35" s="17">
        <f>SUMIFS(Inventario_Materiales!H$2:H$33,Inventario_Materiales!B$2:B$33,Calculadora_Produccion!F36)*E35+SUMIFS(Inventario_Materiales!H$2:H$33,Inventario_Materiales!B$2:B$33,H35)*G35+SUMIFS(Inventario_Materiales!H$2:H$33,Inventario_Materiales!B$2:B$33,Calculadora_Produccion!J35)*I35+SUMIFS(Inventario_Materiales!H$2:H$33,Inventario_Materiales!B$2:B$33,Calculadora_Produccion!L35)*K35</f>
        <v>0</v>
      </c>
      <c r="P35" s="17">
        <f>N35*Configuracion_Costos!$B$4*Configuracion_Costos!$B$5</f>
        <v>1161.972</v>
      </c>
      <c r="Q35" s="18">
        <f>N35*Configuracion_Costos!$B$8</f>
        <v>6881.7</v>
      </c>
      <c r="T35" s="17">
        <f t="shared" si="11"/>
        <v>8043.6719999999996</v>
      </c>
      <c r="U35" s="17">
        <f>T35*(1+Configuracion_Costos!$B$7)</f>
        <v>22522.281599999998</v>
      </c>
      <c r="V35" s="18">
        <f t="shared" si="12"/>
        <v>4504.4563200000002</v>
      </c>
      <c r="W35" s="18">
        <f t="shared" si="13"/>
        <v>18017.825279999997</v>
      </c>
      <c r="AC35" s="17">
        <f t="shared" si="7"/>
        <v>45044.563199999997</v>
      </c>
    </row>
    <row r="36" spans="1:39" x14ac:dyDescent="0.3">
      <c r="A36" s="15" t="s">
        <v>219</v>
      </c>
      <c r="B36" s="15" t="s">
        <v>258</v>
      </c>
      <c r="C36" s="20">
        <v>1</v>
      </c>
      <c r="E36" s="15">
        <v>112.27</v>
      </c>
      <c r="F36" s="15" t="s">
        <v>28</v>
      </c>
      <c r="G36" s="15">
        <v>61.64</v>
      </c>
      <c r="H36" s="15" t="s">
        <v>29</v>
      </c>
      <c r="M36" s="15">
        <f t="shared" si="10"/>
        <v>173.91</v>
      </c>
      <c r="N36" s="15">
        <v>11.15</v>
      </c>
      <c r="O36" s="17">
        <f>SUMIFS(Inventario_Materiales!H$2:H$33,Inventario_Materiales!B$2:B$33,Calculadora_Produccion!F37)*E36+SUMIFS(Inventario_Materiales!H$2:H$33,Inventario_Materiales!B$2:B$33,H36)*G36+SUMIFS(Inventario_Materiales!H$2:H$33,Inventario_Materiales!B$2:B$33,Calculadora_Produccion!J36)*I36+SUMIFS(Inventario_Materiales!H$2:H$33,Inventario_Materiales!B$2:B$33,Calculadora_Produccion!L36)*K36</f>
        <v>72113.00959999999</v>
      </c>
      <c r="P36" s="17">
        <f>N36*Configuracion_Costos!$B$4*Configuracion_Costos!$B$5</f>
        <v>1276.452</v>
      </c>
      <c r="Q36" s="18">
        <f>N36*Configuracion_Costos!$B$8</f>
        <v>7559.7</v>
      </c>
      <c r="T36" s="17">
        <f t="shared" si="11"/>
        <v>80949.161599999992</v>
      </c>
      <c r="U36" s="17">
        <f>T36*(1+Configuracion_Costos!$B$7)</f>
        <v>226657.65247999996</v>
      </c>
      <c r="V36" s="18">
        <f t="shared" si="12"/>
        <v>45331.530495999992</v>
      </c>
      <c r="W36" s="18">
        <f t="shared" si="13"/>
        <v>181326.12198399997</v>
      </c>
      <c r="Z36" s="15" t="s">
        <v>260</v>
      </c>
      <c r="AC36" s="17">
        <f t="shared" si="7"/>
        <v>226657.65247999996</v>
      </c>
    </row>
    <row r="37" spans="1:39" x14ac:dyDescent="0.3">
      <c r="A37" s="15" t="s">
        <v>220</v>
      </c>
      <c r="B37" s="15" t="s">
        <v>259</v>
      </c>
      <c r="C37" s="20">
        <v>1</v>
      </c>
      <c r="E37" s="15">
        <v>1.75</v>
      </c>
      <c r="F37" s="15" t="s">
        <v>27</v>
      </c>
      <c r="M37" s="15">
        <f t="shared" si="10"/>
        <v>1.75</v>
      </c>
      <c r="N37" s="15">
        <v>0.15</v>
      </c>
      <c r="O37" s="17">
        <f>SUMIFS(Inventario_Materiales!H$2:H$33,Inventario_Materiales!B$2:B$33,Calculadora_Produccion!F38)*E37+SUMIFS(Inventario_Materiales!H$2:H$33,Inventario_Materiales!B$2:B$33,H37)*G37+SUMIFS(Inventario_Materiales!H$2:H$33,Inventario_Materiales!B$2:B$33,Calculadora_Produccion!J37)*I37+SUMIFS(Inventario_Materiales!H$2:H$33,Inventario_Materiales!B$2:B$33,Calculadora_Produccion!L37)*K37</f>
        <v>742</v>
      </c>
      <c r="P37" s="17">
        <f>N37*Configuracion_Costos!$B$4*Configuracion_Costos!$B$5</f>
        <v>17.172000000000001</v>
      </c>
      <c r="Q37" s="18">
        <f>N37*Configuracion_Costos!$B$8</f>
        <v>101.7</v>
      </c>
      <c r="T37" s="17">
        <f t="shared" si="11"/>
        <v>860.87200000000007</v>
      </c>
      <c r="U37" s="17">
        <f>T37*(1+Configuracion_Costos!$B$7)</f>
        <v>2410.4416000000001</v>
      </c>
      <c r="V37" s="18">
        <f t="shared" si="12"/>
        <v>482.08832000000007</v>
      </c>
      <c r="W37" s="18">
        <f>U37-V37</f>
        <v>1928.35328</v>
      </c>
      <c r="AC37" s="17">
        <f t="shared" si="7"/>
        <v>2410.4416000000001</v>
      </c>
    </row>
    <row r="38" spans="1:39" x14ac:dyDescent="0.3">
      <c r="A38" s="15" t="s">
        <v>221</v>
      </c>
      <c r="B38" s="15" t="s">
        <v>261</v>
      </c>
      <c r="C38" s="20">
        <v>2</v>
      </c>
      <c r="E38" s="15">
        <f>83.02/2</f>
        <v>41.51</v>
      </c>
      <c r="F38" s="15" t="s">
        <v>27</v>
      </c>
      <c r="G38" s="15">
        <f>6.63/2</f>
        <v>3.3149999999999999</v>
      </c>
      <c r="H38" s="15" t="s">
        <v>28</v>
      </c>
      <c r="I38" s="15">
        <v>4</v>
      </c>
      <c r="J38" s="15" t="s">
        <v>158</v>
      </c>
      <c r="K38" s="15">
        <v>0.42</v>
      </c>
      <c r="L38" s="15" t="s">
        <v>155</v>
      </c>
      <c r="M38" s="15">
        <f t="shared" ref="M38:M43" si="14">+SUM(E38,G38,I38,K38)</f>
        <v>49.244999999999997</v>
      </c>
      <c r="N38" s="38">
        <v>2.5</v>
      </c>
      <c r="O38" s="17">
        <f>SUMIFS(Inventario_Materiales!H$2:H$33,Inventario_Materiales!B$2:B$33,Calculadora_Produccion!F38)*E38+SUMIFS(Inventario_Materiales!H$2:H$33,Inventario_Materiales!B$2:B$33,H38)*G38+SUMIFS(Inventario_Materiales!H$2:H$33,Inventario_Materiales!B$2:B$33,Calculadora_Produccion!J38)*I38+SUMIFS(Inventario_Materiales!H$2:H$33,Inventario_Materiales!B$2:B$33,Calculadora_Produccion!L38)*K38</f>
        <v>19071.367199999997</v>
      </c>
      <c r="P38" s="17">
        <f>N38*Configuracion_Costos!$B$4*Configuracion_Costos!$B$5</f>
        <v>286.2</v>
      </c>
      <c r="Q38" s="18">
        <f>N38*Configuracion_Costos!$B$8</f>
        <v>1695</v>
      </c>
      <c r="T38" s="17">
        <f t="shared" si="11"/>
        <v>21052.567199999998</v>
      </c>
      <c r="U38" s="17">
        <f>T38*(1+Configuracion_Costos!$B$7)</f>
        <v>58947.188159999991</v>
      </c>
      <c r="V38" s="18">
        <f t="shared" si="12"/>
        <v>11789.437631999999</v>
      </c>
      <c r="W38" s="18">
        <f>U38-V38</f>
        <v>47157.75052799999</v>
      </c>
      <c r="AC38" s="17">
        <f t="shared" si="7"/>
        <v>117894.37631999998</v>
      </c>
    </row>
    <row r="39" spans="1:39" x14ac:dyDescent="0.3">
      <c r="A39" s="15" t="s">
        <v>222</v>
      </c>
      <c r="B39" s="15" t="s">
        <v>262</v>
      </c>
      <c r="C39" s="20">
        <v>16</v>
      </c>
      <c r="E39" s="15">
        <f>92.36/16</f>
        <v>5.7725</v>
      </c>
      <c r="F39" s="15" t="s">
        <v>194</v>
      </c>
      <c r="M39" s="15">
        <f t="shared" si="14"/>
        <v>5.7725</v>
      </c>
      <c r="N39" s="15">
        <f>(412/60)/16</f>
        <v>0.42916666666666664</v>
      </c>
      <c r="O39" s="17">
        <f>SUMIFS(Inventario_Materiales!H$2:H$33,Inventario_Materiales!B$2:B$33,Calculadora_Produccion!F39)*E39+SUMIFS(Inventario_Materiales!H$2:H$33,Inventario_Materiales!B$2:B$33,H39)*G39+SUMIFS(Inventario_Materiales!H$2:H$33,Inventario_Materiales!B$2:B$33,Calculadora_Produccion!J39)*I39+SUMIFS(Inventario_Materiales!H$2:H$33,Inventario_Materiales!B$2:B$33,Calculadora_Produccion!L39)*K39</f>
        <v>346.35</v>
      </c>
      <c r="P39" s="17">
        <f>N39*Configuracion_Costos!$B$4*Configuracion_Costos!$B$5</f>
        <v>49.131</v>
      </c>
      <c r="Q39" s="18">
        <f>N39*Configuracion_Costos!$B$8</f>
        <v>290.97499999999997</v>
      </c>
      <c r="T39" s="17">
        <f>SUM(O39:S39)</f>
        <v>686.4559999999999</v>
      </c>
      <c r="U39" s="17">
        <f>T39*(1+Configuracion_Costos!$B$7)</f>
        <v>1922.0767999999996</v>
      </c>
      <c r="V39" s="18">
        <f t="shared" si="12"/>
        <v>384.41535999999996</v>
      </c>
      <c r="W39" s="18">
        <f t="shared" si="13"/>
        <v>1537.6614399999996</v>
      </c>
      <c r="AC39" s="17">
        <f>+U39*C39</f>
        <v>30753.228799999993</v>
      </c>
    </row>
    <row r="40" spans="1:39" x14ac:dyDescent="0.3">
      <c r="A40" s="15" t="s">
        <v>222</v>
      </c>
      <c r="B40" s="15" t="s">
        <v>262</v>
      </c>
      <c r="C40" s="20">
        <v>25</v>
      </c>
      <c r="E40" s="15">
        <f>143.29/C40</f>
        <v>5.7315999999999994</v>
      </c>
      <c r="F40" s="15" t="s">
        <v>194</v>
      </c>
      <c r="M40" s="15">
        <f t="shared" si="14"/>
        <v>5.7315999999999994</v>
      </c>
      <c r="N40" s="15">
        <f>((11*60+28)/60)/C40</f>
        <v>0.45866666666666667</v>
      </c>
      <c r="O40" s="17">
        <f>SUMIFS(Inventario_Materiales!H$2:H$33,Inventario_Materiales!B$2:B$33,Calculadora_Produccion!F40)*E40+SUMIFS(Inventario_Materiales!H$2:H$33,Inventario_Materiales!B$2:B$33,H40)*G40+SUMIFS(Inventario_Materiales!H$2:H$33,Inventario_Materiales!B$2:B$33,Calculadora_Produccion!J40)*I40+SUMIFS(Inventario_Materiales!H$2:H$33,Inventario_Materiales!B$2:B$33,Calculadora_Produccion!L40)*K40</f>
        <v>343.89599999999996</v>
      </c>
      <c r="P40" s="17">
        <f>N40*Configuracion_Costos!$B$4*Configuracion_Costos!$B$5</f>
        <v>52.508160000000004</v>
      </c>
      <c r="Q40" s="18">
        <f>N40*Configuracion_Costos!$B$8</f>
        <v>310.976</v>
      </c>
      <c r="T40" s="17">
        <f>SUM(O40:S40)</f>
        <v>707.38015999999993</v>
      </c>
      <c r="U40" s="17">
        <f>T40*(1+Configuracion_Costos!$B$7)</f>
        <v>1980.6644479999998</v>
      </c>
      <c r="V40" s="18">
        <f>U40*0.2</f>
        <v>396.1328896</v>
      </c>
      <c r="W40" s="18">
        <f>U40-V40</f>
        <v>1584.5315583999998</v>
      </c>
      <c r="AC40" s="17">
        <f t="shared" ref="AC40:AC110" si="15">+U40*C40</f>
        <v>49516.611199999992</v>
      </c>
    </row>
    <row r="41" spans="1:39" x14ac:dyDescent="0.3">
      <c r="A41" s="15" t="s">
        <v>223</v>
      </c>
      <c r="B41" s="15" t="s">
        <v>268</v>
      </c>
      <c r="I41" s="15">
        <f>8.98/7</f>
        <v>1.2828571428571429</v>
      </c>
      <c r="J41" s="15" t="s">
        <v>158</v>
      </c>
      <c r="K41" s="15">
        <f>1.92/7</f>
        <v>0.2742857142857143</v>
      </c>
      <c r="L41" s="15" t="s">
        <v>155</v>
      </c>
      <c r="M41" s="15">
        <f t="shared" si="14"/>
        <v>1.5571428571428572</v>
      </c>
      <c r="N41" s="15">
        <f>3/7</f>
        <v>0.42857142857142855</v>
      </c>
      <c r="O41" s="17">
        <f>SUMIFS(Inventario_Materiales!H$2:H$33,Inventario_Materiales!B$2:B$33,Calculadora_Produccion!F41)*E41+SUMIFS(Inventario_Materiales!H$2:H$33,Inventario_Materiales!B$2:B$33,H41)*G41+SUMIFS(Inventario_Materiales!H$2:H$33,Inventario_Materiales!B$2:B$33,Calculadora_Produccion!J41)*I41+SUMIFS(Inventario_Materiales!H$2:H$33,Inventario_Materiales!B$2:B$33,Calculadora_Produccion!L41)*K41</f>
        <v>146.1142857142857</v>
      </c>
      <c r="P41" s="17">
        <f>N41*Configuracion_Costos!$B$4*Configuracion_Costos!$B$5</f>
        <v>49.062857142857141</v>
      </c>
      <c r="Q41" s="18">
        <f>N41*Configuracion_Costos!$B$8</f>
        <v>290.57142857142856</v>
      </c>
      <c r="T41" s="17">
        <f t="shared" si="11"/>
        <v>485.74857142857138</v>
      </c>
      <c r="U41" s="17">
        <f>T41*(1+Configuracion_Costos!$B$7)</f>
        <v>1360.0959999999998</v>
      </c>
      <c r="V41" s="18">
        <f t="shared" si="12"/>
        <v>272.01919999999996</v>
      </c>
      <c r="W41" s="18">
        <f t="shared" si="13"/>
        <v>1088.0767999999998</v>
      </c>
      <c r="AC41" s="17">
        <f t="shared" si="15"/>
        <v>0</v>
      </c>
    </row>
    <row r="42" spans="1:39" x14ac:dyDescent="0.3">
      <c r="A42" s="15" t="s">
        <v>224</v>
      </c>
      <c r="B42" s="15" t="s">
        <v>263</v>
      </c>
      <c r="C42" s="20">
        <v>10</v>
      </c>
      <c r="E42" s="15">
        <f>130.06/42</f>
        <v>3.0966666666666667</v>
      </c>
      <c r="F42" s="15" t="s">
        <v>27</v>
      </c>
      <c r="H42" s="15" t="s">
        <v>28</v>
      </c>
      <c r="M42" s="15">
        <f t="shared" si="14"/>
        <v>3.0966666666666667</v>
      </c>
      <c r="N42" s="15">
        <f>23.15/42</f>
        <v>0.55119047619047612</v>
      </c>
      <c r="O42" s="17">
        <f>SUMIFS(Inventario_Materiales!H$2:H$33,Inventario_Materiales!B$2:B$33,Calculadora_Produccion!F42)*E42+SUMIFS(Inventario_Materiales!H$2:H$33,Inventario_Materiales!B$2:B$33,H42)*G42+SUMIFS(Inventario_Materiales!H$2:H$33,Inventario_Materiales!B$2:B$33,Calculadora_Produccion!J42)*I42+SUMIFS(Inventario_Materiales!H$2:H$33,Inventario_Materiales!B$2:B$33,Calculadora_Produccion!L42)*K42</f>
        <v>1312.9866666666667</v>
      </c>
      <c r="P42" s="17">
        <f>N42*Configuracion_Costos!$B$4*Configuracion_Costos!$B$5</f>
        <v>63.100285714285704</v>
      </c>
      <c r="Q42" s="18">
        <f>N42*Configuracion_Costos!$B$8</f>
        <v>373.7071428571428</v>
      </c>
      <c r="T42" s="17">
        <f>SUM(O42:S42)</f>
        <v>1749.7940952380952</v>
      </c>
      <c r="U42" s="17">
        <f>T42*(1+Configuracion_Costos!$B$7)</f>
        <v>4899.4234666666662</v>
      </c>
      <c r="V42" s="18">
        <f>U42*0.2</f>
        <v>979.8846933333333</v>
      </c>
      <c r="W42" s="18">
        <f>U42-V42</f>
        <v>3919.5387733333328</v>
      </c>
      <c r="AC42" s="17">
        <f t="shared" si="15"/>
        <v>48994.234666666664</v>
      </c>
    </row>
    <row r="43" spans="1:39" x14ac:dyDescent="0.3">
      <c r="A43" s="15" t="s">
        <v>225</v>
      </c>
      <c r="B43" s="15" t="s">
        <v>264</v>
      </c>
      <c r="C43" s="20">
        <v>40</v>
      </c>
      <c r="G43" s="15">
        <f>147.88/C43</f>
        <v>3.6970000000000001</v>
      </c>
      <c r="H43" s="15" t="s">
        <v>28</v>
      </c>
      <c r="M43" s="15">
        <f t="shared" si="14"/>
        <v>3.6970000000000001</v>
      </c>
      <c r="N43" s="15">
        <f>(((60*8)+1)/60)/15</f>
        <v>0.5344444444444445</v>
      </c>
      <c r="O43" s="17">
        <f>SUMIFS(Inventario_Materiales!H$2:H$33,Inventario_Materiales!B$2:B$33,Calculadora_Produccion!F43)*E43+SUMIFS(Inventario_Materiales!H$2:H$33,Inventario_Materiales!B$2:B$33,H43)*G43+SUMIFS(Inventario_Materiales!H$2:H$33,Inventario_Materiales!B$2:B$33,Calculadora_Produccion!J43)*I43+SUMIFS(Inventario_Materiales!H$2:H$33,Inventario_Materiales!B$2:B$33,Calculadora_Produccion!L43)*K43</f>
        <v>1164.1113600000001</v>
      </c>
      <c r="P43" s="17">
        <f>N43*Configuracion_Costos!$B$4*Configuracion_Costos!$B$5</f>
        <v>61.183200000000014</v>
      </c>
      <c r="Q43" s="18">
        <f>N43*Configuracion_Costos!$B$8</f>
        <v>362.35333333333335</v>
      </c>
      <c r="T43" s="17">
        <f t="shared" si="11"/>
        <v>1587.6478933333333</v>
      </c>
      <c r="U43" s="17">
        <f>T43*(1+Configuracion_Costos!$B$7)</f>
        <v>4445.4141013333328</v>
      </c>
      <c r="V43" s="18">
        <f t="shared" si="12"/>
        <v>889.08282026666666</v>
      </c>
      <c r="W43" s="18">
        <f t="shared" si="13"/>
        <v>3556.3312810666662</v>
      </c>
      <c r="AC43" s="17">
        <f t="shared" si="15"/>
        <v>177816.56405333331</v>
      </c>
    </row>
    <row r="44" spans="1:39" x14ac:dyDescent="0.3">
      <c r="A44" s="15" t="s">
        <v>226</v>
      </c>
      <c r="B44" s="15" t="s">
        <v>265</v>
      </c>
      <c r="C44" s="20">
        <v>36</v>
      </c>
      <c r="E44" s="15">
        <f>172.41/C44</f>
        <v>4.7891666666666666</v>
      </c>
      <c r="F44" s="15" t="s">
        <v>155</v>
      </c>
      <c r="M44" s="15">
        <f t="shared" si="10"/>
        <v>4.7891666666666666</v>
      </c>
      <c r="N44" s="15">
        <f>((13*60+36)/60)/18</f>
        <v>0.75555555555555554</v>
      </c>
      <c r="O44" s="17">
        <f>SUMIFS(Inventario_Materiales!H$2:H$33,Inventario_Materiales!B$2:B$33,Calculadora_Produccion!F44)*E44+SUMIFS(Inventario_Materiales!H$2:H$33,Inventario_Materiales!B$2:B$33,H44)*G44+SUMIFS(Inventario_Materiales!H$2:H$33,Inventario_Materiales!B$2:B$33,Calculadora_Produccion!J44)*I44+SUMIFS(Inventario_Materiales!H$2:H$33,Inventario_Materiales!B$2:B$33,Calculadora_Produccion!L44)*K44</f>
        <v>311.29583333333335</v>
      </c>
      <c r="P44" s="17">
        <f>N44*Configuracion_Costos!$B$4*Configuracion_Costos!$B$5</f>
        <v>86.495999999999995</v>
      </c>
      <c r="Q44" s="18">
        <f>N44*Configuracion_Costos!$B$8</f>
        <v>512.26666666666665</v>
      </c>
      <c r="T44" s="17">
        <f t="shared" si="11"/>
        <v>910.05849999999998</v>
      </c>
      <c r="U44" s="17">
        <f>T44*(1+Configuracion_Costos!$B$7)</f>
        <v>2548.1637999999998</v>
      </c>
      <c r="V44" s="18">
        <f t="shared" si="12"/>
        <v>509.63275999999996</v>
      </c>
      <c r="W44" s="18">
        <f t="shared" si="13"/>
        <v>2038.5310399999998</v>
      </c>
      <c r="AC44" s="17">
        <f t="shared" si="15"/>
        <v>91733.896799999988</v>
      </c>
    </row>
    <row r="45" spans="1:39" x14ac:dyDescent="0.3">
      <c r="A45" s="15" t="s">
        <v>226</v>
      </c>
      <c r="B45" s="15" t="s">
        <v>265</v>
      </c>
      <c r="C45" s="20">
        <v>36</v>
      </c>
      <c r="E45" s="15">
        <f>194.25/C45</f>
        <v>5.395833333333333</v>
      </c>
      <c r="F45" s="15" t="s">
        <v>155</v>
      </c>
      <c r="M45" s="15">
        <f>+SUM(E45,G45,I45,K45)</f>
        <v>5.395833333333333</v>
      </c>
      <c r="N45" s="15">
        <f>((13*60+40)/60)/C45</f>
        <v>0.37962962962962959</v>
      </c>
      <c r="O45" s="17">
        <f>SUMIFS(Inventario_Materiales!H$2:H$33,Inventario_Materiales!B$2:B$33,Calculadora_Produccion!F45)*E45+SUMIFS(Inventario_Materiales!H$2:H$33,Inventario_Materiales!B$2:B$33,H45)*G45+SUMIFS(Inventario_Materiales!H$2:H$33,Inventario_Materiales!B$2:B$33,Calculadora_Produccion!J45)*I45+SUMIFS(Inventario_Materiales!H$2:H$33,Inventario_Materiales!B$2:B$33,Calculadora_Produccion!L45)*K45</f>
        <v>350.72916666666663</v>
      </c>
      <c r="P45" s="17">
        <f>N45*Configuracion_Costos!$B$4*Configuracion_Costos!$B$5</f>
        <v>43.46</v>
      </c>
      <c r="Q45" s="18">
        <f>N45*Configuracion_Costos!$B$8</f>
        <v>257.38888888888886</v>
      </c>
      <c r="T45" s="17">
        <f>SUM(O45:S45)</f>
        <v>651.57805555555547</v>
      </c>
      <c r="U45" s="17">
        <f>T45*(1+Configuracion_Costos!$B$7)</f>
        <v>1824.4185555555553</v>
      </c>
      <c r="V45" s="18">
        <f>U45*0.2</f>
        <v>364.8837111111111</v>
      </c>
      <c r="W45" s="18">
        <f>U45-V45</f>
        <v>1459.5348444444442</v>
      </c>
      <c r="AC45" s="17">
        <f>+U45*C45</f>
        <v>65679.067999999985</v>
      </c>
    </row>
    <row r="46" spans="1:39" x14ac:dyDescent="0.3">
      <c r="A46" s="15" t="s">
        <v>227</v>
      </c>
      <c r="B46" s="15" t="s">
        <v>266</v>
      </c>
      <c r="C46" s="20">
        <v>20</v>
      </c>
      <c r="E46" s="15">
        <f>37.83/C46</f>
        <v>1.8915</v>
      </c>
      <c r="F46" s="15" t="s">
        <v>27</v>
      </c>
      <c r="M46" s="15">
        <f t="shared" si="10"/>
        <v>1.8915</v>
      </c>
      <c r="N46" s="15">
        <f>6.5/C46</f>
        <v>0.32500000000000001</v>
      </c>
      <c r="O46" s="17">
        <f>SUMIFS(Inventario_Materiales!H$2:H$33,Inventario_Materiales!B$2:B$33,Calculadora_Produccion!F46)*E46+SUMIFS(Inventario_Materiales!H$2:H$33,Inventario_Materiales!B$2:B$33,H46)*G46+SUMIFS(Inventario_Materiales!H$2:H$33,Inventario_Materiales!B$2:B$33,Calculadora_Produccion!J46)*I46+SUMIFS(Inventario_Materiales!H$2:H$33,Inventario_Materiales!B$2:B$33,Calculadora_Produccion!L46)*K46</f>
        <v>801.99599999999998</v>
      </c>
      <c r="P46" s="17">
        <f>N46*Configuracion_Costos!$B$4*Configuracion_Costos!$B$5</f>
        <v>37.206000000000003</v>
      </c>
      <c r="Q46" s="18">
        <f>N46*Configuracion_Costos!$B$8</f>
        <v>220.35</v>
      </c>
      <c r="T46" s="17">
        <f t="shared" si="11"/>
        <v>1059.5519999999999</v>
      </c>
      <c r="U46" s="17">
        <f>T46*(1+Configuracion_Costos!$B$7)</f>
        <v>2966.7455999999997</v>
      </c>
      <c r="V46" s="18">
        <f t="shared" si="12"/>
        <v>593.34911999999997</v>
      </c>
      <c r="W46" s="18">
        <f t="shared" si="13"/>
        <v>2373.3964799999999</v>
      </c>
      <c r="AC46" s="17">
        <f t="shared" si="15"/>
        <v>59334.911999999997</v>
      </c>
    </row>
    <row r="47" spans="1:39" x14ac:dyDescent="0.3">
      <c r="A47" s="15" t="s">
        <v>228</v>
      </c>
      <c r="B47" s="15" t="s">
        <v>267</v>
      </c>
      <c r="C47" s="20">
        <v>16</v>
      </c>
      <c r="E47" s="15">
        <f>138.15/C47</f>
        <v>8.6343750000000004</v>
      </c>
      <c r="F47" s="15" t="s">
        <v>154</v>
      </c>
      <c r="M47" s="15">
        <f t="shared" si="10"/>
        <v>8.6343750000000004</v>
      </c>
      <c r="N47" s="15">
        <f>((10*60+33)/60)/C47</f>
        <v>0.65937500000000004</v>
      </c>
      <c r="O47" s="17">
        <f>SUMIFS(Inventario_Materiales!H$2:H$33,Inventario_Materiales!B$2:B$33,Calculadora_Produccion!F47)*E47+SUMIFS(Inventario_Materiales!H$2:H$33,Inventario_Materiales!B$2:B$33,H47)*G47+SUMIFS(Inventario_Materiales!H$2:H$33,Inventario_Materiales!B$2:B$33,Calculadora_Produccion!J47)*I47+SUMIFS(Inventario_Materiales!H$2:H$33,Inventario_Materiales!B$2:B$33,Calculadora_Produccion!L47)*K47</f>
        <v>561.234375</v>
      </c>
      <c r="P47" s="17">
        <f>N47*Configuracion_Costos!$B$4*Configuracion_Costos!$B$5</f>
        <v>75.485250000000008</v>
      </c>
      <c r="Q47" s="18">
        <f>N47*Configuracion_Costos!$B$8</f>
        <v>447.05625000000003</v>
      </c>
      <c r="T47" s="17">
        <f t="shared" si="11"/>
        <v>1083.775875</v>
      </c>
      <c r="U47" s="17">
        <f>T47*(1+Configuracion_Costos!$B$7)</f>
        <v>3034.5724500000001</v>
      </c>
      <c r="V47" s="18">
        <f t="shared" si="12"/>
        <v>606.91449</v>
      </c>
      <c r="W47" s="18">
        <f t="shared" si="13"/>
        <v>2427.65796</v>
      </c>
      <c r="AC47" s="17">
        <f t="shared" si="15"/>
        <v>48553.159200000002</v>
      </c>
    </row>
    <row r="48" spans="1:39" x14ac:dyDescent="0.3">
      <c r="A48" s="15" t="s">
        <v>228</v>
      </c>
      <c r="B48" s="15" t="s">
        <v>267</v>
      </c>
      <c r="C48" s="20">
        <v>25</v>
      </c>
      <c r="E48" s="15">
        <f>229.17/C48</f>
        <v>9.1668000000000003</v>
      </c>
      <c r="F48" s="15" t="s">
        <v>154</v>
      </c>
      <c r="M48" s="15">
        <f>+SUM(E48,G48,I48,K48)</f>
        <v>9.1668000000000003</v>
      </c>
      <c r="N48" s="15">
        <f>((16*60+29)/60)/C48</f>
        <v>0.65933333333333333</v>
      </c>
      <c r="O48" s="17">
        <f>SUMIFS(Inventario_Materiales!H$2:H$33,Inventario_Materiales!B$2:B$33,Calculadora_Produccion!F48)*E48+SUMIFS(Inventario_Materiales!H$2:H$33,Inventario_Materiales!B$2:B$33,H48)*G48+SUMIFS(Inventario_Materiales!H$2:H$33,Inventario_Materiales!B$2:B$33,Calculadora_Produccion!J48)*I48+SUMIFS(Inventario_Materiales!H$2:H$33,Inventario_Materiales!B$2:B$33,Calculadora_Produccion!L48)*K48</f>
        <v>595.84199999999998</v>
      </c>
      <c r="P48" s="17">
        <f>N48*Configuracion_Costos!$B$4*Configuracion_Costos!$B$5</f>
        <v>75.48048</v>
      </c>
      <c r="Q48" s="18">
        <f>N48*Configuracion_Costos!$B$8</f>
        <v>447.02800000000002</v>
      </c>
      <c r="T48" s="17">
        <f>SUM(O48:S48)</f>
        <v>1118.3504800000001</v>
      </c>
      <c r="U48" s="17">
        <f>T48*(1+Configuracion_Costos!$B$7)</f>
        <v>3131.3813439999999</v>
      </c>
      <c r="V48" s="18">
        <f>U48*0.2</f>
        <v>626.27626880000003</v>
      </c>
      <c r="W48" s="18">
        <f>U48-V48</f>
        <v>2505.1050752000001</v>
      </c>
      <c r="AC48" s="17">
        <f>+U48*C48</f>
        <v>78284.533599999995</v>
      </c>
    </row>
    <row r="49" spans="1:29" x14ac:dyDescent="0.3">
      <c r="A49" s="15" t="s">
        <v>269</v>
      </c>
      <c r="B49" s="15" t="s">
        <v>277</v>
      </c>
      <c r="C49" s="20">
        <v>25</v>
      </c>
      <c r="D49" s="16">
        <v>0</v>
      </c>
      <c r="E49" s="15">
        <f>95.5/C49</f>
        <v>3.82</v>
      </c>
      <c r="F49" s="15" t="s">
        <v>29</v>
      </c>
      <c r="M49" s="15">
        <f t="shared" ref="M49:M57" si="16">+SUM(E49,G49,I49,K49)</f>
        <v>3.82</v>
      </c>
      <c r="N49" s="15">
        <f>((5*60+7)/60)/C49</f>
        <v>0.20466666666666666</v>
      </c>
      <c r="O49" s="17">
        <f>SUMIFS(Inventario_Materiales!H$2:H$33,Inventario_Materiales!B$2:B$33,Calculadora_Produccion!F49)*E49+SUMIFS(Inventario_Materiales!H$2:H$33,Inventario_Materiales!B$2:B$33,H49)*G49+SUMIFS(Inventario_Materiales!H$2:H$33,Inventario_Materiales!B$2:B$33,Calculadora_Produccion!J49)*I49+SUMIFS(Inventario_Materiales!H$2:H$33,Inventario_Materiales!B$2:B$33,Calculadora_Produccion!L49)*K49</f>
        <v>1518.9848000000002</v>
      </c>
      <c r="P49" s="17">
        <f>N49*Configuracion_Costos!$B$4*Configuracion_Costos!$B$5</f>
        <v>23.430240000000001</v>
      </c>
      <c r="Q49" s="18">
        <f>N49*Configuracion_Costos!$B$8</f>
        <v>138.76400000000001</v>
      </c>
      <c r="T49" s="17">
        <f t="shared" ref="T49:T57" si="17">SUM(O49:S49)</f>
        <v>1681.17904</v>
      </c>
      <c r="U49" s="17">
        <f>T49*(1+Configuracion_Costos!$B$7)</f>
        <v>4707.3013119999996</v>
      </c>
      <c r="V49" s="18">
        <f t="shared" ref="V49:V57" si="18">U49*0.2</f>
        <v>941.46026239999992</v>
      </c>
      <c r="W49" s="18">
        <f t="shared" ref="W49:W57" si="19">U49-V49</f>
        <v>3765.8410495999997</v>
      </c>
      <c r="AC49" s="17">
        <f t="shared" si="15"/>
        <v>117682.53279999999</v>
      </c>
    </row>
    <row r="50" spans="1:29" x14ac:dyDescent="0.3">
      <c r="A50" s="15" t="s">
        <v>269</v>
      </c>
      <c r="B50" s="15" t="s">
        <v>277</v>
      </c>
      <c r="C50" s="20">
        <v>60</v>
      </c>
      <c r="D50" s="16">
        <v>0</v>
      </c>
      <c r="E50" s="15">
        <f>223.01/C50</f>
        <v>3.7168333333333332</v>
      </c>
      <c r="F50" s="15" t="s">
        <v>29</v>
      </c>
      <c r="M50" s="15">
        <f>+SUM(E50,G50,I50,K50)</f>
        <v>3.7168333333333332</v>
      </c>
      <c r="N50" s="15">
        <f>((15*60+24)/60)/C50</f>
        <v>0.25666666666666665</v>
      </c>
      <c r="O50" s="17">
        <f>SUMIFS(Inventario_Materiales!H$2:H$33,Inventario_Materiales!B$2:B$33,Calculadora_Produccion!F50)*E50+SUMIFS(Inventario_Materiales!H$2:H$33,Inventario_Materiales!B$2:B$33,H50)*G50+SUMIFS(Inventario_Materiales!H$2:H$33,Inventario_Materiales!B$2:B$33,Calculadora_Produccion!J50)*I50+SUMIFS(Inventario_Materiales!H$2:H$33,Inventario_Materiales!B$2:B$33,Calculadora_Produccion!L50)*K50</f>
        <v>1477.9616066666667</v>
      </c>
      <c r="P50" s="17">
        <f>N50*Configuracion_Costos!$B$4*Configuracion_Costos!$B$5</f>
        <v>29.383199999999999</v>
      </c>
      <c r="Q50" s="18">
        <f>N50*Configuracion_Costos!$B$8</f>
        <v>174.01999999999998</v>
      </c>
      <c r="T50" s="17">
        <f>SUM(O50:S50)</f>
        <v>1681.3648066666667</v>
      </c>
      <c r="U50" s="17">
        <f>T50*(1+Configuracion_Costos!$B$7)</f>
        <v>4707.8214586666663</v>
      </c>
      <c r="V50" s="18">
        <f>U50*0.2</f>
        <v>941.56429173333333</v>
      </c>
      <c r="W50" s="18">
        <f>U50-V50</f>
        <v>3766.2571669333329</v>
      </c>
      <c r="AC50" s="17">
        <f>+U50*C50</f>
        <v>282469.28751999995</v>
      </c>
    </row>
    <row r="51" spans="1:29" x14ac:dyDescent="0.3">
      <c r="A51" s="15" t="s">
        <v>270</v>
      </c>
      <c r="B51" s="15" t="s">
        <v>278</v>
      </c>
      <c r="C51" s="20">
        <v>69</v>
      </c>
      <c r="E51" s="15">
        <f>221.67/C51</f>
        <v>3.2126086956521736</v>
      </c>
      <c r="F51" s="15" t="s">
        <v>158</v>
      </c>
      <c r="M51" s="15">
        <f t="shared" si="16"/>
        <v>3.2126086956521736</v>
      </c>
      <c r="N51" s="15">
        <f>((13*60+53)/60)/C51</f>
        <v>0.20120772946859902</v>
      </c>
      <c r="O51" s="17">
        <f>SUMIFS(Inventario_Materiales!H$2:H$33,Inventario_Materiales!B$2:B$33,Calculadora_Produccion!F51)*E51+SUMIFS(Inventario_Materiales!H$2:H$33,Inventario_Materiales!B$2:B$33,H51)*G51+SUMIFS(Inventario_Materiales!H$2:H$33,Inventario_Materiales!B$2:B$33,Calculadora_Produccion!J51)*I51+SUMIFS(Inventario_Materiales!H$2:H$33,Inventario_Materiales!B$2:B$33,Calculadora_Produccion!L51)*K51</f>
        <v>321.26086956521738</v>
      </c>
      <c r="P51" s="17">
        <f>N51*Configuracion_Costos!$B$4*Configuracion_Costos!$B$5</f>
        <v>23.034260869565216</v>
      </c>
      <c r="Q51" s="18">
        <f>N51*Configuracion_Costos!$B$8</f>
        <v>136.41884057971015</v>
      </c>
      <c r="T51" s="17">
        <f t="shared" si="17"/>
        <v>480.71397101449276</v>
      </c>
      <c r="U51" s="17">
        <f>T51*(1+Configuracion_Costos!$B$7)</f>
        <v>1345.9991188405797</v>
      </c>
      <c r="V51" s="18">
        <f t="shared" si="18"/>
        <v>269.19982376811595</v>
      </c>
      <c r="W51" s="18">
        <f t="shared" si="19"/>
        <v>1076.7992950724638</v>
      </c>
      <c r="AC51" s="17">
        <f t="shared" si="15"/>
        <v>92873.939200000008</v>
      </c>
    </row>
    <row r="52" spans="1:29" x14ac:dyDescent="0.3">
      <c r="A52" s="15" t="s">
        <v>271</v>
      </c>
      <c r="B52" s="15" t="s">
        <v>279</v>
      </c>
      <c r="C52" s="20">
        <v>15</v>
      </c>
      <c r="E52" s="15">
        <f>56.41/15</f>
        <v>3.7606666666666664</v>
      </c>
      <c r="F52" s="15" t="s">
        <v>27</v>
      </c>
      <c r="M52" s="15">
        <f t="shared" si="16"/>
        <v>3.7606666666666664</v>
      </c>
      <c r="N52" s="15">
        <f>((191)/60)/15</f>
        <v>0.2122222222222222</v>
      </c>
      <c r="O52" s="17">
        <f>SUMIFS(Inventario_Materiales!H$2:H$33,Inventario_Materiales!B$2:B$33,Calculadora_Produccion!F52)*E52+SUMIFS(Inventario_Materiales!H$2:H$33,Inventario_Materiales!B$2:B$33,H52)*G52+SUMIFS(Inventario_Materiales!H$2:H$33,Inventario_Materiales!B$2:B$33,Calculadora_Produccion!J52)*I52+SUMIFS(Inventario_Materiales!H$2:H$33,Inventario_Materiales!B$2:B$33,Calculadora_Produccion!L52)*K52</f>
        <v>1594.5226666666665</v>
      </c>
      <c r="P52" s="17">
        <f>N52*Configuracion_Costos!$B$4*Configuracion_Costos!$B$5</f>
        <v>24.295199999999998</v>
      </c>
      <c r="Q52" s="18">
        <f>N52*Configuracion_Costos!$B$8</f>
        <v>143.88666666666666</v>
      </c>
      <c r="T52" s="17">
        <f t="shared" si="17"/>
        <v>1762.7045333333331</v>
      </c>
      <c r="U52" s="17">
        <f>T52*(1+Configuracion_Costos!$B$7)</f>
        <v>4935.5726933333326</v>
      </c>
      <c r="V52" s="18">
        <f t="shared" si="18"/>
        <v>987.11453866666659</v>
      </c>
      <c r="W52" s="18">
        <f t="shared" si="19"/>
        <v>3948.4581546666659</v>
      </c>
      <c r="AC52" s="17">
        <f t="shared" si="15"/>
        <v>74033.590399999986</v>
      </c>
    </row>
    <row r="53" spans="1:29" x14ac:dyDescent="0.3">
      <c r="A53" s="15" t="s">
        <v>271</v>
      </c>
      <c r="B53" s="15" t="s">
        <v>279</v>
      </c>
      <c r="C53" s="20">
        <v>48</v>
      </c>
      <c r="E53" s="15">
        <f>176.2/C53</f>
        <v>3.6708333333333329</v>
      </c>
      <c r="F53" s="15" t="s">
        <v>27</v>
      </c>
      <c r="M53" s="15">
        <f>+SUM(E53,G53,I53,K53)</f>
        <v>3.6708333333333329</v>
      </c>
      <c r="N53" s="15">
        <f>((11*60+55)/60)/C53</f>
        <v>0.24826388888888887</v>
      </c>
      <c r="O53" s="17">
        <f>SUMIFS(Inventario_Materiales!H$2:H$33,Inventario_Materiales!B$2:B$33,Calculadora_Produccion!F53)*E53+SUMIFS(Inventario_Materiales!H$2:H$33,Inventario_Materiales!B$2:B$33,H53)*G53+SUMIFS(Inventario_Materiales!H$2:H$33,Inventario_Materiales!B$2:B$33,Calculadora_Produccion!J53)*I53+SUMIFS(Inventario_Materiales!H$2:H$33,Inventario_Materiales!B$2:B$33,Calculadora_Produccion!L53)*K53</f>
        <v>1556.4333333333332</v>
      </c>
      <c r="P53" s="17">
        <f>N53*Configuracion_Costos!$B$4*Configuracion_Costos!$B$5</f>
        <v>28.421249999999997</v>
      </c>
      <c r="Q53" s="18">
        <f>N53*Configuracion_Costos!$B$8</f>
        <v>168.32291666666666</v>
      </c>
      <c r="T53" s="17">
        <f>SUM(O53:S53)</f>
        <v>1753.1775</v>
      </c>
      <c r="U53" s="17">
        <f>T53*(1+Configuracion_Costos!$B$7)</f>
        <v>4908.8969999999999</v>
      </c>
      <c r="V53" s="18">
        <f>U53*0.2</f>
        <v>981.77940000000001</v>
      </c>
      <c r="W53" s="18">
        <f>U53-V53</f>
        <v>3927.1176</v>
      </c>
      <c r="AC53" s="17">
        <f>+U53*C53</f>
        <v>235627.05599999998</v>
      </c>
    </row>
    <row r="54" spans="1:29" x14ac:dyDescent="0.3">
      <c r="A54" s="15" t="s">
        <v>272</v>
      </c>
      <c r="B54" s="15" t="s">
        <v>280</v>
      </c>
      <c r="C54" s="20">
        <v>15</v>
      </c>
      <c r="E54" s="15">
        <f>57.63/15</f>
        <v>3.8420000000000001</v>
      </c>
      <c r="F54" s="15" t="s">
        <v>151</v>
      </c>
      <c r="M54" s="15">
        <f t="shared" si="16"/>
        <v>3.8420000000000001</v>
      </c>
      <c r="N54" s="15">
        <f>((171)/60)/15</f>
        <v>0.19</v>
      </c>
      <c r="O54" s="17">
        <f>SUMIFS(Inventario_Materiales!H$2:H$33,Inventario_Materiales!B$2:B$33,Calculadora_Produccion!F54)*E54+SUMIFS(Inventario_Materiales!H$2:H$33,Inventario_Materiales!B$2:B$33,H54)*G54+SUMIFS(Inventario_Materiales!H$2:H$33,Inventario_Materiales!B$2:B$33,Calculadora_Produccion!J54)*I54+SUMIFS(Inventario_Materiales!H$2:H$33,Inventario_Materiales!B$2:B$33,Calculadora_Produccion!L54)*K54</f>
        <v>249.73000000000002</v>
      </c>
      <c r="P54" s="17">
        <f>N54*Configuracion_Costos!$B$4*Configuracion_Costos!$B$5</f>
        <v>21.751200000000001</v>
      </c>
      <c r="Q54" s="18">
        <f>N54*Configuracion_Costos!$B$8</f>
        <v>128.82</v>
      </c>
      <c r="T54" s="17">
        <f t="shared" si="17"/>
        <v>400.30119999999999</v>
      </c>
      <c r="U54" s="17">
        <f>999</f>
        <v>999</v>
      </c>
      <c r="V54" s="18">
        <f t="shared" si="18"/>
        <v>199.8</v>
      </c>
      <c r="W54" s="18">
        <f t="shared" si="19"/>
        <v>799.2</v>
      </c>
      <c r="AC54" s="17">
        <f t="shared" si="15"/>
        <v>14985</v>
      </c>
    </row>
    <row r="55" spans="1:29" x14ac:dyDescent="0.3">
      <c r="A55" s="15" t="s">
        <v>273</v>
      </c>
      <c r="B55" s="15" t="s">
        <v>281</v>
      </c>
      <c r="C55" s="20">
        <v>18</v>
      </c>
      <c r="E55" s="15">
        <f>16.61/18</f>
        <v>0.9227777777777777</v>
      </c>
      <c r="F55" s="15" t="s">
        <v>28</v>
      </c>
      <c r="G55" s="15">
        <v>1.06</v>
      </c>
      <c r="H55" s="15" t="s">
        <v>151</v>
      </c>
      <c r="I55" s="15">
        <f>184.42/18</f>
        <v>10.245555555555555</v>
      </c>
      <c r="J55" s="15" t="s">
        <v>137</v>
      </c>
      <c r="M55" s="15">
        <f t="shared" si="16"/>
        <v>12.228333333333332</v>
      </c>
      <c r="N55" s="15">
        <f>((9*60+44)/60)/18</f>
        <v>0.54074074074074074</v>
      </c>
      <c r="O55" s="17">
        <f>SUMIFS(Inventario_Materiales!H$2:H$33,Inventario_Materiales!B$2:B$33,Calculadora_Produccion!F55)*E55+SUMIFS(Inventario_Materiales!H$2:H$33,Inventario_Materiales!B$2:B$33,H55)*G55+SUMIFS(Inventario_Materiales!H$2:H$33,Inventario_Materiales!B$2:B$33,Calculadora_Produccion!J55)*I55+SUMIFS(Inventario_Materiales!H$2:H$33,Inventario_Materiales!B$2:B$33,Calculadora_Produccion!L55)*K55</f>
        <v>974.19759999999997</v>
      </c>
      <c r="P55" s="17">
        <f>N55*Configuracion_Costos!$B$4*Configuracion_Costos!$B$5</f>
        <v>61.904000000000003</v>
      </c>
      <c r="Q55" s="18">
        <f>N55*Configuracion_Costos!$B$8</f>
        <v>366.62222222222221</v>
      </c>
      <c r="T55" s="17">
        <f t="shared" si="17"/>
        <v>1402.7238222222222</v>
      </c>
      <c r="U55" s="17">
        <f>T55*(1+Configuracion_Costos!$B$7)</f>
        <v>3927.6267022222219</v>
      </c>
      <c r="V55" s="18">
        <f t="shared" si="18"/>
        <v>785.5253404444444</v>
      </c>
      <c r="W55" s="18">
        <f t="shared" si="19"/>
        <v>3142.1013617777776</v>
      </c>
      <c r="AC55" s="17">
        <f t="shared" si="15"/>
        <v>70697.280639999997</v>
      </c>
    </row>
    <row r="56" spans="1:29" x14ac:dyDescent="0.3">
      <c r="A56" s="39" t="s">
        <v>274</v>
      </c>
      <c r="B56" s="39" t="s">
        <v>282</v>
      </c>
      <c r="C56" s="20">
        <v>24</v>
      </c>
      <c r="E56" s="15">
        <f>85.87/C56</f>
        <v>3.5779166666666669</v>
      </c>
      <c r="F56" s="15" t="s">
        <v>137</v>
      </c>
      <c r="G56" s="15">
        <f>2.19/C56</f>
        <v>9.1249999999999998E-2</v>
      </c>
      <c r="H56" s="15" t="s">
        <v>27</v>
      </c>
      <c r="I56" s="15">
        <f>8.69/24</f>
        <v>0.36208333333333331</v>
      </c>
      <c r="J56" s="15" t="s">
        <v>28</v>
      </c>
      <c r="K56" s="15">
        <f>4.57/C56</f>
        <v>0.19041666666666668</v>
      </c>
      <c r="L56" s="15" t="s">
        <v>29</v>
      </c>
      <c r="M56" s="15">
        <f>+SUM(E56,G56,I56,K56)</f>
        <v>4.2216666666666667</v>
      </c>
      <c r="N56" s="15">
        <f>((6*60+38)/60)/C56</f>
        <v>0.27638888888888891</v>
      </c>
      <c r="O56" s="17">
        <f>SUMIFS(Inventario_Materiales!H$2:H$33,Inventario_Materiales!B$2:B$33,Calculadora_Produccion!F56)*E56+SUMIFS(Inventario_Materiales!H$2:H$33,Inventario_Materiales!B$2:B$33,H56)*G56+SUMIFS(Inventario_Materiales!H$2:H$33,Inventario_Materiales!B$2:B$33,Calculadora_Produccion!J56)*I56+SUMIFS(Inventario_Materiales!H$2:H$33,Inventario_Materiales!B$2:B$33,Calculadora_Produccion!L56)*K56</f>
        <v>443.09508333333332</v>
      </c>
      <c r="P56" s="17">
        <f>N56*Configuracion_Costos!$B$4*Configuracion_Costos!$B$5</f>
        <v>31.641000000000002</v>
      </c>
      <c r="Q56" s="18">
        <f>N56*Configuracion_Costos!$B$8</f>
        <v>187.39166666666668</v>
      </c>
      <c r="T56" s="17">
        <f>SUM(O56:S56)</f>
        <v>662.12774999999999</v>
      </c>
      <c r="U56" s="17">
        <f>T56*(1+Configuracion_Costos!$B$7)</f>
        <v>1853.9576999999999</v>
      </c>
      <c r="V56" s="18">
        <f>U56*0.2</f>
        <v>370.79154</v>
      </c>
      <c r="W56" s="18">
        <f>U56-V56</f>
        <v>1483.16616</v>
      </c>
      <c r="AC56" s="17">
        <f t="shared" si="15"/>
        <v>44494.984799999998</v>
      </c>
    </row>
    <row r="57" spans="1:29" x14ac:dyDescent="0.3">
      <c r="A57" s="39" t="s">
        <v>274</v>
      </c>
      <c r="B57" s="39" t="s">
        <v>282</v>
      </c>
      <c r="C57" s="20">
        <v>86</v>
      </c>
      <c r="E57" s="15">
        <f>291.1/C57</f>
        <v>3.3848837209302327</v>
      </c>
      <c r="F57" s="15" t="s">
        <v>137</v>
      </c>
      <c r="G57" s="15">
        <f>1.3/C57</f>
        <v>1.5116279069767442E-2</v>
      </c>
      <c r="H57" s="15" t="s">
        <v>27</v>
      </c>
      <c r="I57" s="15">
        <f>19.99/C57</f>
        <v>0.23244186046511625</v>
      </c>
      <c r="J57" s="15" t="s">
        <v>28</v>
      </c>
      <c r="K57" s="15">
        <f>7.17/C57</f>
        <v>8.3372093023255808E-2</v>
      </c>
      <c r="L57" s="15" t="s">
        <v>29</v>
      </c>
      <c r="M57" s="15">
        <f t="shared" si="16"/>
        <v>3.7158139534883725</v>
      </c>
      <c r="N57" s="15">
        <f>((21*60+14)/60)/C57</f>
        <v>0.24689922480620155</v>
      </c>
      <c r="O57" s="17">
        <f>SUMIFS(Inventario_Materiales!H$2:H$33,Inventario_Materiales!B$2:B$33,Calculadora_Produccion!F57)*E57+SUMIFS(Inventario_Materiales!H$2:H$33,Inventario_Materiales!B$2:B$33,H57)*G57+SUMIFS(Inventario_Materiales!H$2:H$33,Inventario_Materiales!B$2:B$33,Calculadora_Produccion!J57)*I57+SUMIFS(Inventario_Materiales!H$2:H$33,Inventario_Materiales!B$2:B$33,Calculadora_Produccion!L57)*K57</f>
        <v>315.84569767441866</v>
      </c>
      <c r="P57" s="17">
        <f>N57*Configuracion_Costos!$B$4*Configuracion_Costos!$B$5</f>
        <v>28.265023255813954</v>
      </c>
      <c r="Q57" s="18">
        <f>N57*Configuracion_Costos!$B$8</f>
        <v>167.39767441860465</v>
      </c>
      <c r="T57" s="17">
        <f t="shared" si="17"/>
        <v>511.50839534883727</v>
      </c>
      <c r="U57" s="17">
        <f>T57*(1+Configuracion_Costos!$B$7)</f>
        <v>1432.2235069767444</v>
      </c>
      <c r="V57" s="18">
        <f t="shared" si="18"/>
        <v>286.44470139534889</v>
      </c>
      <c r="W57" s="18">
        <f t="shared" si="19"/>
        <v>1145.7788055813955</v>
      </c>
      <c r="Z57" s="15">
        <v>185</v>
      </c>
      <c r="AA57" s="15">
        <f>+T57*Z57</f>
        <v>94629.053139534895</v>
      </c>
      <c r="AC57" s="17">
        <f t="shared" si="15"/>
        <v>123171.22160000002</v>
      </c>
    </row>
    <row r="58" spans="1:29" x14ac:dyDescent="0.3">
      <c r="A58" s="15" t="s">
        <v>275</v>
      </c>
      <c r="B58" s="15" t="s">
        <v>283</v>
      </c>
      <c r="C58" s="20">
        <v>1</v>
      </c>
      <c r="E58" s="15">
        <v>208.66</v>
      </c>
      <c r="F58" s="15" t="s">
        <v>137</v>
      </c>
      <c r="G58" s="15">
        <f>2.19/C58</f>
        <v>2.19</v>
      </c>
      <c r="H58" s="15" t="s">
        <v>27</v>
      </c>
      <c r="I58" s="15">
        <f>8.69/24</f>
        <v>0.36208333333333331</v>
      </c>
      <c r="J58" s="15" t="s">
        <v>28</v>
      </c>
      <c r="K58" s="15">
        <f>4.57/C58</f>
        <v>4.57</v>
      </c>
      <c r="L58" s="15" t="s">
        <v>29</v>
      </c>
      <c r="M58" s="15">
        <f t="shared" ref="M58:M70" si="20">+SUM(E58,G58,I58,K58)</f>
        <v>215.78208333333333</v>
      </c>
      <c r="N58" s="15">
        <f>((9*60+28)/60)/C58</f>
        <v>9.4666666666666668</v>
      </c>
      <c r="O58" s="17">
        <f>SUMIFS(Inventario_Materiales!H$2:H$33,Inventario_Materiales!B$2:B$33,Calculadora_Produccion!F58)*E58+SUMIFS(Inventario_Materiales!H$2:H$33,Inventario_Materiales!B$2:B$33,H58)*G58+SUMIFS(Inventario_Materiales!H$2:H$33,Inventario_Materiales!B$2:B$33,Calculadora_Produccion!J58)*I58+SUMIFS(Inventario_Materiales!H$2:H$33,Inventario_Materiales!B$2:B$33,Calculadora_Produccion!L58)*K58</f>
        <v>15379.3876</v>
      </c>
      <c r="P58" s="17">
        <f>N58*Configuracion_Costos!$B$4*Configuracion_Costos!$B$5</f>
        <v>1083.7440000000001</v>
      </c>
      <c r="Q58" s="18">
        <f>N58*Configuracion_Costos!$B$8</f>
        <v>6418.4</v>
      </c>
      <c r="T58" s="17">
        <f t="shared" ref="T58:T70" si="21">SUM(O58:S58)</f>
        <v>22881.531600000002</v>
      </c>
      <c r="U58" s="17">
        <f>T58*(1+Configuracion_Costos!$B$7)</f>
        <v>64068.288480000003</v>
      </c>
      <c r="V58" s="18">
        <f t="shared" ref="V58:V70" si="22">U58*0.2</f>
        <v>12813.657696000002</v>
      </c>
      <c r="W58" s="18">
        <f t="shared" ref="W58:W70" si="23">U58-V58</f>
        <v>51254.630784000001</v>
      </c>
      <c r="AC58" s="17">
        <f t="shared" si="15"/>
        <v>64068.288480000003</v>
      </c>
    </row>
    <row r="59" spans="1:29" x14ac:dyDescent="0.3">
      <c r="A59" s="15" t="s">
        <v>276</v>
      </c>
      <c r="B59" s="15" t="s">
        <v>284</v>
      </c>
      <c r="C59" s="20">
        <v>24</v>
      </c>
      <c r="E59" s="15">
        <f>192.76/24</f>
        <v>8.0316666666666663</v>
      </c>
      <c r="F59" s="15" t="s">
        <v>27</v>
      </c>
      <c r="G59" s="15">
        <f>39.16/24</f>
        <v>1.6316666666666666</v>
      </c>
      <c r="H59" s="15" t="s">
        <v>150</v>
      </c>
      <c r="I59" s="15">
        <f>29.21/24</f>
        <v>1.2170833333333333</v>
      </c>
      <c r="J59" s="15" t="s">
        <v>29</v>
      </c>
      <c r="K59" s="15">
        <f>0.76/24</f>
        <v>3.1666666666666669E-2</v>
      </c>
      <c r="L59" s="15" t="s">
        <v>28</v>
      </c>
      <c r="M59" s="15">
        <f t="shared" si="20"/>
        <v>10.912083333333332</v>
      </c>
      <c r="N59" s="15">
        <f>((6*60+38)/60)/C59</f>
        <v>0.27638888888888891</v>
      </c>
      <c r="O59" s="17">
        <f>SUMIFS(Inventario_Materiales!H$2:H$33,Inventario_Materiales!B$2:B$33,Calculadora_Produccion!F59)*E59+SUMIFS(Inventario_Materiales!H$2:H$33,Inventario_Materiales!B$2:B$33,H59)*G59+SUMIFS(Inventario_Materiales!H$2:H$33,Inventario_Materiales!B$2:B$33,Calculadora_Produccion!J59)*I59+SUMIFS(Inventario_Materiales!H$2:H$33,Inventario_Materiales!B$2:B$33,Calculadora_Produccion!L59)*K59</f>
        <v>4005.4172166666663</v>
      </c>
      <c r="P59" s="17">
        <f>N59*Configuracion_Costos!$B$4*Configuracion_Costos!$B$5</f>
        <v>31.641000000000002</v>
      </c>
      <c r="Q59" s="18">
        <f>N59*Configuracion_Costos!$B$8</f>
        <v>187.39166666666668</v>
      </c>
      <c r="T59" s="17">
        <f t="shared" si="21"/>
        <v>4224.4498833333328</v>
      </c>
      <c r="U59" s="17">
        <f>T59*(1+Configuracion_Costos!$B$7)</f>
        <v>11828.459673333331</v>
      </c>
      <c r="V59" s="18">
        <f t="shared" si="22"/>
        <v>2365.6919346666664</v>
      </c>
      <c r="W59" s="18">
        <f t="shared" si="23"/>
        <v>9462.7677386666655</v>
      </c>
      <c r="AC59" s="17">
        <f t="shared" si="15"/>
        <v>283883.03215999994</v>
      </c>
    </row>
    <row r="60" spans="1:29" x14ac:dyDescent="0.3">
      <c r="A60" s="15" t="s">
        <v>287</v>
      </c>
      <c r="B60" s="15" t="s">
        <v>285</v>
      </c>
      <c r="C60" s="20">
        <v>1</v>
      </c>
      <c r="E60" s="15">
        <v>47.5</v>
      </c>
      <c r="F60" s="15" t="s">
        <v>154</v>
      </c>
      <c r="M60" s="15">
        <f t="shared" si="20"/>
        <v>47.5</v>
      </c>
      <c r="N60" s="15">
        <f>((1*60+41)/60)/C60</f>
        <v>1.6833333333333333</v>
      </c>
      <c r="O60" s="17">
        <f>SUMIFS(Inventario_Materiales!H$2:H$33,Inventario_Materiales!B$2:B$33,Calculadora_Produccion!F60)*E60+SUMIFS(Inventario_Materiales!H$2:H$33,Inventario_Materiales!B$2:B$33,H60)*G60+SUMIFS(Inventario_Materiales!H$2:H$33,Inventario_Materiales!B$2:B$33,Calculadora_Produccion!J60)*I60+SUMIFS(Inventario_Materiales!H$2:H$33,Inventario_Materiales!B$2:B$33,Calculadora_Produccion!L60)*K60</f>
        <v>3087.5</v>
      </c>
      <c r="P60" s="17">
        <f>N60*Configuracion_Costos!$B$4*Configuracion_Costos!$B$5</f>
        <v>192.708</v>
      </c>
      <c r="Q60" s="18">
        <f>N60*Configuracion_Costos!$B$8</f>
        <v>1141.3</v>
      </c>
      <c r="T60" s="17">
        <f t="shared" si="21"/>
        <v>4421.5079999999998</v>
      </c>
      <c r="U60" s="17">
        <f>T60*(1+Configuracion_Costos!$B$7)</f>
        <v>12380.222399999999</v>
      </c>
      <c r="V60" s="18">
        <f t="shared" si="22"/>
        <v>2476.04448</v>
      </c>
      <c r="W60" s="18">
        <f t="shared" si="23"/>
        <v>9904.1779199999983</v>
      </c>
      <c r="AC60" s="17">
        <f t="shared" si="15"/>
        <v>12380.222399999999</v>
      </c>
    </row>
    <row r="61" spans="1:29" x14ac:dyDescent="0.3">
      <c r="A61" s="39" t="s">
        <v>288</v>
      </c>
      <c r="B61" s="39" t="s">
        <v>286</v>
      </c>
      <c r="C61" s="20">
        <v>24</v>
      </c>
      <c r="E61" s="15">
        <f>58.74/C61</f>
        <v>2.4475000000000002</v>
      </c>
      <c r="F61" s="15" t="s">
        <v>28</v>
      </c>
      <c r="G61" s="15">
        <f>41.66/C61</f>
        <v>1.7358333333333331</v>
      </c>
      <c r="H61" s="15" t="s">
        <v>137</v>
      </c>
      <c r="I61" s="15">
        <f>1.66/C61</f>
        <v>6.9166666666666668E-2</v>
      </c>
      <c r="J61" s="15" t="s">
        <v>27</v>
      </c>
      <c r="K61" s="15">
        <f>4.95/C61</f>
        <v>0.20625000000000002</v>
      </c>
      <c r="L61" s="15" t="s">
        <v>29</v>
      </c>
      <c r="M61" s="15">
        <f t="shared" si="20"/>
        <v>4.4587500000000002</v>
      </c>
      <c r="N61" s="15">
        <f>((8*60+57)/60)/C61</f>
        <v>0.37291666666666662</v>
      </c>
      <c r="O61" s="17">
        <f>SUMIFS(Inventario_Materiales!H$2:H$33,Inventario_Materiales!B$2:B$33,Calculadora_Produccion!F61)*E61+SUMIFS(Inventario_Materiales!H$2:H$33,Inventario_Materiales!B$2:B$33,H61)*G61+SUMIFS(Inventario_Materiales!H$2:H$33,Inventario_Materiales!B$2:B$33,Calculadora_Produccion!J61)*I61+SUMIFS(Inventario_Materiales!H$2:H$33,Inventario_Materiales!B$2:B$33,Calculadora_Produccion!L61)*K61</f>
        <v>986.15871666666669</v>
      </c>
      <c r="P61" s="17">
        <f>N61*Configuracion_Costos!$B$4*Configuracion_Costos!$B$5</f>
        <v>42.691499999999991</v>
      </c>
      <c r="Q61" s="18">
        <f>N61*Configuracion_Costos!$B$8</f>
        <v>252.83749999999998</v>
      </c>
      <c r="T61" s="17">
        <f t="shared" si="21"/>
        <v>1281.6877166666668</v>
      </c>
      <c r="U61" s="17">
        <f>T61*(1+Configuracion_Costos!$B$7)</f>
        <v>3588.7256066666669</v>
      </c>
      <c r="V61" s="18">
        <f t="shared" si="22"/>
        <v>717.74512133333337</v>
      </c>
      <c r="W61" s="18">
        <f t="shared" si="23"/>
        <v>2870.9804853333335</v>
      </c>
      <c r="AC61" s="17">
        <f t="shared" si="15"/>
        <v>86129.414560000005</v>
      </c>
    </row>
    <row r="62" spans="1:29" x14ac:dyDescent="0.3">
      <c r="A62" s="40" t="s">
        <v>289</v>
      </c>
      <c r="B62" s="40" t="s">
        <v>297</v>
      </c>
      <c r="C62" s="20">
        <v>24</v>
      </c>
      <c r="E62" s="15">
        <f>11.36/C62</f>
        <v>0.47333333333333333</v>
      </c>
      <c r="F62" s="15" t="s">
        <v>28</v>
      </c>
      <c r="G62" s="15">
        <f>86.26/C62</f>
        <v>3.5941666666666667</v>
      </c>
      <c r="H62" s="15" t="s">
        <v>137</v>
      </c>
      <c r="I62" s="15">
        <f>33.14/C62</f>
        <v>1.3808333333333334</v>
      </c>
      <c r="J62" s="15" t="s">
        <v>27</v>
      </c>
      <c r="M62" s="15">
        <f t="shared" si="20"/>
        <v>5.4483333333333333</v>
      </c>
      <c r="N62" s="15">
        <f>((13*60+9)/60)/C62</f>
        <v>0.54791666666666672</v>
      </c>
      <c r="O62" s="17">
        <f>SUMIFS(Inventario_Materiales!H$2:H$33,Inventario_Materiales!B$2:B$33,Calculadora_Produccion!F62)*E62+SUMIFS(Inventario_Materiales!H$2:H$33,Inventario_Materiales!B$2:B$33,H62)*G62+SUMIFS(Inventario_Materiales!H$2:H$33,Inventario_Materiales!B$2:B$33,Calculadora_Produccion!J62)*I62+SUMIFS(Inventario_Materiales!H$2:H$33,Inventario_Materiales!B$2:B$33,Calculadora_Produccion!L62)*K62</f>
        <v>950.16653333333329</v>
      </c>
      <c r="P62" s="17">
        <f>N62*Configuracion_Costos!$B$4*Configuracion_Costos!$B$5</f>
        <v>62.725500000000011</v>
      </c>
      <c r="Q62" s="18">
        <f>N62*Configuracion_Costos!$B$8</f>
        <v>371.48750000000001</v>
      </c>
      <c r="T62" s="17">
        <f t="shared" si="21"/>
        <v>1384.3795333333333</v>
      </c>
      <c r="U62" s="17">
        <f>T62*(1+Configuracion_Costos!$B$7)</f>
        <v>3876.2626933333327</v>
      </c>
      <c r="V62" s="18">
        <f t="shared" si="22"/>
        <v>775.25253866666662</v>
      </c>
      <c r="W62" s="18">
        <f t="shared" si="23"/>
        <v>3101.010154666666</v>
      </c>
      <c r="AC62" s="17">
        <f t="shared" si="15"/>
        <v>93030.304639999988</v>
      </c>
    </row>
    <row r="63" spans="1:29" x14ac:dyDescent="0.3">
      <c r="A63" s="39" t="s">
        <v>290</v>
      </c>
      <c r="B63" s="39" t="s">
        <v>297</v>
      </c>
      <c r="C63" s="20">
        <v>24</v>
      </c>
      <c r="E63" s="15">
        <f>4.47/C63</f>
        <v>0.18625</v>
      </c>
      <c r="F63" s="15" t="s">
        <v>28</v>
      </c>
      <c r="G63" s="15">
        <f>76.33/C63</f>
        <v>3.1804166666666664</v>
      </c>
      <c r="H63" s="15" t="s">
        <v>137</v>
      </c>
      <c r="I63" s="15">
        <f>25.55/C63</f>
        <v>1.0645833333333334</v>
      </c>
      <c r="J63" s="15" t="s">
        <v>27</v>
      </c>
      <c r="M63" s="15">
        <f t="shared" si="20"/>
        <v>4.4312499999999995</v>
      </c>
      <c r="N63" s="15">
        <f>((11*60+12)/60)/C63</f>
        <v>0.46666666666666662</v>
      </c>
      <c r="O63" s="17">
        <f>SUMIFS(Inventario_Materiales!H$2:H$33,Inventario_Materiales!B$2:B$33,Calculadora_Produccion!F63)*E63+SUMIFS(Inventario_Materiales!H$2:H$33,Inventario_Materiales!B$2:B$33,H63)*G63+SUMIFS(Inventario_Materiales!H$2:H$33,Inventario_Materiales!B$2:B$33,Calculadora_Produccion!J63)*I63+SUMIFS(Inventario_Materiales!H$2:H$33,Inventario_Materiales!B$2:B$33,Calculadora_Produccion!L63)*K63</f>
        <v>700.85473333333334</v>
      </c>
      <c r="P63" s="17">
        <f>N63*Configuracion_Costos!$B$4*Configuracion_Costos!$B$5</f>
        <v>53.423999999999992</v>
      </c>
      <c r="Q63" s="18">
        <f>N63*Configuracion_Costos!$B$8</f>
        <v>316.39999999999998</v>
      </c>
      <c r="T63" s="17">
        <f t="shared" si="21"/>
        <v>1070.6787333333332</v>
      </c>
      <c r="U63" s="17">
        <f>T63*(1+Configuracion_Costos!$B$7)</f>
        <v>2997.9004533333327</v>
      </c>
      <c r="V63" s="18">
        <f t="shared" si="22"/>
        <v>599.58009066666659</v>
      </c>
      <c r="W63" s="18">
        <f t="shared" si="23"/>
        <v>2398.3203626666664</v>
      </c>
      <c r="AC63" s="17">
        <f t="shared" si="15"/>
        <v>71949.610879999993</v>
      </c>
    </row>
    <row r="64" spans="1:29" x14ac:dyDescent="0.3">
      <c r="A64" s="32" t="s">
        <v>291</v>
      </c>
      <c r="B64" s="32" t="s">
        <v>299</v>
      </c>
      <c r="C64" s="33">
        <v>1</v>
      </c>
      <c r="E64" s="15">
        <f>12.55/C64</f>
        <v>12.55</v>
      </c>
      <c r="F64" s="15" t="s">
        <v>28</v>
      </c>
      <c r="G64" s="15">
        <f>43.93/C64</f>
        <v>43.93</v>
      </c>
      <c r="H64" s="15" t="s">
        <v>137</v>
      </c>
      <c r="I64" s="15">
        <f>5.47/C64</f>
        <v>5.47</v>
      </c>
      <c r="J64" s="15" t="s">
        <v>27</v>
      </c>
      <c r="K64" s="15">
        <f>3.98/C64</f>
        <v>3.98</v>
      </c>
      <c r="L64" s="15" t="s">
        <v>29</v>
      </c>
      <c r="M64" s="15">
        <f t="shared" si="20"/>
        <v>65.930000000000007</v>
      </c>
      <c r="N64" s="15">
        <f>((4*60+49)/60)/C64</f>
        <v>4.8166666666666664</v>
      </c>
      <c r="O64" s="17">
        <f>SUMIFS(Inventario_Materiales!H$2:H$33,Inventario_Materiales!B$2:B$33,Calculadora_Produccion!F64)*E64+SUMIFS(Inventario_Materiales!H$2:H$33,Inventario_Materiales!B$2:B$33,H64)*G64+SUMIFS(Inventario_Materiales!H$2:H$33,Inventario_Materiales!B$2:B$33,Calculadora_Produccion!J64)*I64+SUMIFS(Inventario_Materiales!H$2:H$33,Inventario_Materiales!B$2:B$33,Calculadora_Produccion!L64)*K64</f>
        <v>10489.431200000001</v>
      </c>
      <c r="P64" s="17">
        <f>N64*Configuracion_Costos!$B$4*Configuracion_Costos!$B$5</f>
        <v>551.41199999999992</v>
      </c>
      <c r="Q64" s="18">
        <f>N64*Configuracion_Costos!$B$8</f>
        <v>3265.7</v>
      </c>
      <c r="T64" s="17">
        <f t="shared" si="21"/>
        <v>14306.5432</v>
      </c>
      <c r="U64" s="17">
        <f>T64*(1+Configuracion_Costos!$B$7)</f>
        <v>40058.320959999997</v>
      </c>
      <c r="V64" s="18">
        <f t="shared" si="22"/>
        <v>8011.6641920000002</v>
      </c>
      <c r="W64" s="18">
        <f t="shared" si="23"/>
        <v>32046.656767999997</v>
      </c>
      <c r="AC64" s="17">
        <f t="shared" si="15"/>
        <v>40058.320959999997</v>
      </c>
    </row>
    <row r="65" spans="1:29" x14ac:dyDescent="0.3">
      <c r="A65" s="32" t="s">
        <v>291</v>
      </c>
      <c r="B65" s="32" t="s">
        <v>300</v>
      </c>
      <c r="C65" s="33">
        <v>1</v>
      </c>
      <c r="G65" s="15">
        <f>10.15/C65</f>
        <v>10.15</v>
      </c>
      <c r="H65" s="15" t="s">
        <v>137</v>
      </c>
      <c r="M65" s="15">
        <f>+SUM(E65,G65,I65,K65)</f>
        <v>10.15</v>
      </c>
      <c r="N65" s="15">
        <f>((0*60+34)/60)/C65</f>
        <v>0.56666666666666665</v>
      </c>
      <c r="O65" s="17">
        <f>SUMIFS(Inventario_Materiales!H$2:H$33,Inventario_Materiales!B$2:B$33,Calculadora_Produccion!F65)*E65+SUMIFS(Inventario_Materiales!H$2:H$33,Inventario_Materiales!B$2:B$33,H65)*G65+SUMIFS(Inventario_Materiales!H$2:H$33,Inventario_Materiales!B$2:B$33,Calculadora_Produccion!J65)*I65+SUMIFS(Inventario_Materiales!H$2:H$33,Inventario_Materiales!B$2:B$33,Calculadora_Produccion!L65)*K65</f>
        <v>609</v>
      </c>
      <c r="P65" s="17">
        <f>N65*Configuracion_Costos!$B$4*Configuracion_Costos!$B$5</f>
        <v>64.872</v>
      </c>
      <c r="Q65" s="18">
        <f>N65*Configuracion_Costos!$B$8</f>
        <v>384.2</v>
      </c>
      <c r="T65" s="17">
        <f>SUM(O65:S65)</f>
        <v>1058.0719999999999</v>
      </c>
      <c r="U65" s="17">
        <f>T65*(1+Configuracion_Costos!$B$7)</f>
        <v>2962.6015999999995</v>
      </c>
      <c r="V65" s="18">
        <f>U65*0.2</f>
        <v>592.52031999999997</v>
      </c>
      <c r="W65" s="18">
        <f>U65-V65</f>
        <v>2370.0812799999994</v>
      </c>
      <c r="AC65" s="17">
        <f t="shared" si="15"/>
        <v>2962.6015999999995</v>
      </c>
    </row>
    <row r="66" spans="1:29" x14ac:dyDescent="0.3">
      <c r="A66" s="15" t="s">
        <v>292</v>
      </c>
      <c r="B66" s="15" t="s">
        <v>298</v>
      </c>
      <c r="C66" s="20">
        <v>1</v>
      </c>
      <c r="E66" s="15">
        <f>28.58/C66</f>
        <v>28.58</v>
      </c>
      <c r="F66" s="15" t="s">
        <v>27</v>
      </c>
      <c r="M66" s="15">
        <f t="shared" si="20"/>
        <v>28.58</v>
      </c>
      <c r="N66" s="15">
        <f>((1*60+26)/60)/C66</f>
        <v>1.4333333333333333</v>
      </c>
      <c r="O66" s="17">
        <f>SUMIFS(Inventario_Materiales!H$2:H$33,Inventario_Materiales!B$2:B$33,Calculadora_Produccion!F66)*E66+SUMIFS(Inventario_Materiales!H$2:H$33,Inventario_Materiales!B$2:B$33,H66)*G66+SUMIFS(Inventario_Materiales!H$2:H$33,Inventario_Materiales!B$2:B$33,Calculadora_Produccion!J66)*I66+SUMIFS(Inventario_Materiales!H$2:H$33,Inventario_Materiales!B$2:B$33,Calculadora_Produccion!L66)*K66</f>
        <v>12117.92</v>
      </c>
      <c r="P66" s="17">
        <f>N66*Configuracion_Costos!$B$4*Configuracion_Costos!$B$5</f>
        <v>164.08799999999999</v>
      </c>
      <c r="Q66" s="18">
        <f>N66*Configuracion_Costos!$B$8</f>
        <v>971.8</v>
      </c>
      <c r="R66" s="15">
        <v>9000</v>
      </c>
      <c r="T66" s="17">
        <f t="shared" si="21"/>
        <v>22253.807999999997</v>
      </c>
      <c r="U66" s="17">
        <f>T66*(1+Configuracion_Costos!$B$7)</f>
        <v>62310.662399999987</v>
      </c>
      <c r="V66" s="18">
        <f t="shared" si="22"/>
        <v>12462.132479999998</v>
      </c>
      <c r="W66" s="18">
        <f t="shared" si="23"/>
        <v>49848.529919999986</v>
      </c>
      <c r="AC66" s="17">
        <f t="shared" si="15"/>
        <v>62310.662399999987</v>
      </c>
    </row>
    <row r="67" spans="1:29" x14ac:dyDescent="0.3">
      <c r="A67" s="40" t="s">
        <v>293</v>
      </c>
      <c r="B67" s="40" t="s">
        <v>299</v>
      </c>
      <c r="C67" s="45">
        <v>20</v>
      </c>
      <c r="E67" s="15">
        <f>55.97/C67</f>
        <v>2.7984999999999998</v>
      </c>
      <c r="F67" s="15" t="s">
        <v>28</v>
      </c>
      <c r="G67" s="15">
        <f>211.72/C67</f>
        <v>10.586</v>
      </c>
      <c r="H67" s="15" t="s">
        <v>137</v>
      </c>
      <c r="I67" s="15">
        <f>8.95/C67</f>
        <v>0.44749999999999995</v>
      </c>
      <c r="J67" s="15" t="s">
        <v>27</v>
      </c>
      <c r="K67" s="15">
        <f>5.86/C67</f>
        <v>0.29300000000000004</v>
      </c>
      <c r="L67" s="15" t="s">
        <v>29</v>
      </c>
      <c r="M67" s="15">
        <f>+SUM(E67,G67,I67,K67)</f>
        <v>14.124999999999998</v>
      </c>
      <c r="N67" s="15">
        <f>((13*60+27)/60)/C67</f>
        <v>0.67249999999999999</v>
      </c>
      <c r="O67" s="17">
        <f>SUMIFS(Inventario_Materiales!H$2:H$33,Inventario_Materiales!B$2:B$33,Calculadora_Produccion!F67)*E67+SUMIFS(Inventario_Materiales!H$2:H$33,Inventario_Materiales!B$2:B$33,H67)*G67+SUMIFS(Inventario_Materiales!H$2:H$33,Inventario_Materiales!B$2:B$33,Calculadora_Produccion!J67)*I67+SUMIFS(Inventario_Materiales!H$2:H$33,Inventario_Materiales!B$2:B$33,Calculadora_Produccion!L67)*K67</f>
        <v>1822.6001999999999</v>
      </c>
      <c r="P67" s="17">
        <f>N67*Configuracion_Costos!$B$4*Configuracion_Costos!$B$5</f>
        <v>76.987800000000007</v>
      </c>
      <c r="Q67" s="18">
        <f>N67*Configuracion_Costos!$B$8</f>
        <v>455.95499999999998</v>
      </c>
      <c r="T67" s="17">
        <f t="shared" si="21"/>
        <v>2355.5430000000001</v>
      </c>
      <c r="U67" s="17">
        <f>T67*(1+Configuracion_Costos!$B$7)</f>
        <v>6595.5204000000003</v>
      </c>
      <c r="V67" s="18">
        <f t="shared" si="22"/>
        <v>1319.1040800000001</v>
      </c>
      <c r="W67" s="18">
        <f t="shared" si="23"/>
        <v>5276.4163200000003</v>
      </c>
      <c r="AA67" s="15" t="s">
        <v>416</v>
      </c>
      <c r="AC67" s="17">
        <f t="shared" si="15"/>
        <v>131910.408</v>
      </c>
    </row>
    <row r="68" spans="1:29" x14ac:dyDescent="0.3">
      <c r="A68" s="41" t="s">
        <v>294</v>
      </c>
      <c r="B68" s="41" t="s">
        <v>300</v>
      </c>
      <c r="C68" s="42">
        <v>21</v>
      </c>
      <c r="G68" s="15">
        <f>206.72/C68</f>
        <v>9.843809523809524</v>
      </c>
      <c r="H68" s="15" t="s">
        <v>137</v>
      </c>
      <c r="M68" s="15">
        <f>+SUM(E68,G68,I68,K68)</f>
        <v>9.843809523809524</v>
      </c>
      <c r="N68" s="15">
        <f>((10*60+20)/60)/C68</f>
        <v>0.49206349206349209</v>
      </c>
      <c r="O68" s="17">
        <f>SUMIFS(Inventario_Materiales!H$2:H$33,Inventario_Materiales!B$2:B$33,Calculadora_Produccion!F68)*E68+SUMIFS(Inventario_Materiales!H$2:H$33,Inventario_Materiales!B$2:B$33,H68)*G68+SUMIFS(Inventario_Materiales!H$2:H$33,Inventario_Materiales!B$2:B$33,Calculadora_Produccion!J68)*I68+SUMIFS(Inventario_Materiales!H$2:H$33,Inventario_Materiales!B$2:B$33,Calculadora_Produccion!L68)*K68</f>
        <v>590.62857142857149</v>
      </c>
      <c r="P68" s="17">
        <f>N68*Configuracion_Costos!$B$4*Configuracion_Costos!$B$5</f>
        <v>56.331428571428582</v>
      </c>
      <c r="Q68" s="18">
        <f>N68*Configuracion_Costos!$B$8</f>
        <v>333.61904761904765</v>
      </c>
      <c r="T68" s="17">
        <f t="shared" si="21"/>
        <v>980.57904761904774</v>
      </c>
      <c r="U68" s="17">
        <f>T68*(1+Configuracion_Costos!$B$7)</f>
        <v>2745.6213333333335</v>
      </c>
      <c r="V68" s="18">
        <f t="shared" si="22"/>
        <v>549.1242666666667</v>
      </c>
      <c r="W68" s="18">
        <f t="shared" si="23"/>
        <v>2196.4970666666668</v>
      </c>
      <c r="Y68" s="17">
        <f>+U68*30</f>
        <v>82368.639999999999</v>
      </c>
      <c r="Z68" s="32">
        <v>84000</v>
      </c>
      <c r="AA68" s="15">
        <v>88000</v>
      </c>
      <c r="AC68" s="17">
        <f t="shared" si="15"/>
        <v>57658.048000000003</v>
      </c>
    </row>
    <row r="69" spans="1:29" x14ac:dyDescent="0.3">
      <c r="A69" s="43" t="s">
        <v>295</v>
      </c>
      <c r="B69" s="43" t="s">
        <v>301</v>
      </c>
      <c r="C69" s="44">
        <v>10</v>
      </c>
      <c r="E69" s="15">
        <f>544.89/C69</f>
        <v>54.488999999999997</v>
      </c>
      <c r="F69" s="15" t="s">
        <v>28</v>
      </c>
      <c r="M69" s="15">
        <f t="shared" si="20"/>
        <v>54.488999999999997</v>
      </c>
      <c r="N69" s="15">
        <f>((18*60+27)/60)/C69</f>
        <v>1.845</v>
      </c>
      <c r="O69" s="17">
        <f>SUMIFS(Inventario_Materiales!H$2:H$33,Inventario_Materiales!B$2:B$33,Calculadora_Produccion!F69)*E69+SUMIFS(Inventario_Materiales!H$2:H$33,Inventario_Materiales!B$2:B$33,H69)*G69+SUMIFS(Inventario_Materiales!H$2:H$33,Inventario_Materiales!B$2:B$33,Calculadora_Produccion!J69)*I69+SUMIFS(Inventario_Materiales!H$2:H$33,Inventario_Materiales!B$2:B$33,Calculadora_Produccion!L69)*K69</f>
        <v>17157.496319999998</v>
      </c>
      <c r="P69" s="17">
        <f>N69*Configuracion_Costos!$B$4*Configuracion_Costos!$B$5</f>
        <v>211.21559999999999</v>
      </c>
      <c r="Q69" s="18">
        <f>N69*Configuracion_Costos!$B$8</f>
        <v>1250.9100000000001</v>
      </c>
      <c r="T69" s="17">
        <f t="shared" si="21"/>
        <v>18619.621919999998</v>
      </c>
      <c r="U69" s="17">
        <f>T69*(1+Configuracion_Costos!$B$7)</f>
        <v>52134.941375999988</v>
      </c>
      <c r="V69" s="18">
        <f t="shared" si="22"/>
        <v>10426.988275199998</v>
      </c>
      <c r="W69" s="18">
        <f t="shared" si="23"/>
        <v>41707.95310079999</v>
      </c>
      <c r="AC69" s="17">
        <f t="shared" si="15"/>
        <v>521349.41375999991</v>
      </c>
    </row>
    <row r="70" spans="1:29" x14ac:dyDescent="0.3">
      <c r="A70" s="43" t="s">
        <v>296</v>
      </c>
      <c r="B70" s="43" t="s">
        <v>414</v>
      </c>
      <c r="C70" s="44">
        <v>1</v>
      </c>
      <c r="E70" s="15">
        <f>97+77.18+52.97/C70</f>
        <v>227.15</v>
      </c>
      <c r="F70" s="15" t="s">
        <v>28</v>
      </c>
      <c r="M70" s="15">
        <f t="shared" si="20"/>
        <v>227.15</v>
      </c>
      <c r="N70" s="15">
        <f>((6*60+44)/60)/C70</f>
        <v>6.7333333333333334</v>
      </c>
      <c r="O70" s="17">
        <f>SUMIFS(Inventario_Materiales!H$2:H$33,Inventario_Materiales!B$2:B$33,Calculadora_Produccion!F70)*E70+SUMIFS(Inventario_Materiales!H$2:H$33,Inventario_Materiales!B$2:B$33,H70)*G70+SUMIFS(Inventario_Materiales!H$2:H$33,Inventario_Materiales!B$2:B$33,Calculadora_Produccion!J70)*I70+SUMIFS(Inventario_Materiales!H$2:H$33,Inventario_Materiales!B$2:B$33,Calculadora_Produccion!L70)*K70</f>
        <v>71524.991999999998</v>
      </c>
      <c r="P70" s="17">
        <f>N70*Configuracion_Costos!$B$4*Configuracion_Costos!$B$5</f>
        <v>770.83199999999999</v>
      </c>
      <c r="Q70" s="18">
        <f>N70*Configuracion_Costos!$B$8</f>
        <v>4565.2</v>
      </c>
      <c r="T70" s="17">
        <f t="shared" si="21"/>
        <v>76861.02399999999</v>
      </c>
      <c r="U70" s="17">
        <f>T70*(1+Configuracion_Costos!$B$7)</f>
        <v>215210.86719999995</v>
      </c>
      <c r="V70" s="18">
        <f t="shared" si="22"/>
        <v>43042.173439999991</v>
      </c>
      <c r="W70" s="18">
        <f t="shared" si="23"/>
        <v>172168.69375999997</v>
      </c>
      <c r="AC70" s="17">
        <f t="shared" si="15"/>
        <v>215210.86719999995</v>
      </c>
    </row>
    <row r="71" spans="1:29" x14ac:dyDescent="0.3">
      <c r="A71" s="15" t="s">
        <v>302</v>
      </c>
      <c r="C71" s="20">
        <v>2</v>
      </c>
      <c r="E71" s="15">
        <f>103.32/C71</f>
        <v>51.66</v>
      </c>
      <c r="F71" s="15" t="s">
        <v>28</v>
      </c>
      <c r="M71" s="15">
        <f t="shared" ref="M71:M137" si="24">+SUM(E71,G71,I71,K71)</f>
        <v>51.66</v>
      </c>
      <c r="N71" s="15">
        <f>((5*60+7)/60)/C71</f>
        <v>2.5583333333333331</v>
      </c>
      <c r="O71" s="17">
        <f>SUMIFS(Inventario_Materiales!H$2:H$33,Inventario_Materiales!B$2:B$33,Calculadora_Produccion!F71)*E71+SUMIFS(Inventario_Materiales!H$2:H$33,Inventario_Materiales!B$2:B$33,H71)*G71+SUMIFS(Inventario_Materiales!H$2:H$33,Inventario_Materiales!B$2:B$33,Calculadora_Produccion!J71)*I71+SUMIFS(Inventario_Materiales!H$2:H$33,Inventario_Materiales!B$2:B$33,Calculadora_Produccion!L71)*K71</f>
        <v>16266.700799999999</v>
      </c>
      <c r="P71" s="17">
        <f>N71*Configuracion_Costos!$B$4*Configuracion_Costos!$B$5</f>
        <v>292.87799999999999</v>
      </c>
      <c r="Q71" s="18">
        <f>N71*Configuracion_Costos!$B$8</f>
        <v>1734.55</v>
      </c>
      <c r="S71" s="15" t="s">
        <v>433</v>
      </c>
      <c r="T71" s="17">
        <f t="shared" ref="T71:T137" si="25">SUM(O71:S71)</f>
        <v>18294.128799999999</v>
      </c>
      <c r="U71" s="17">
        <f>T71*(1+Configuracion_Costos!$B$7)</f>
        <v>51223.560639999996</v>
      </c>
      <c r="V71" s="18">
        <f t="shared" ref="V71:V137" si="26">U71*0.2</f>
        <v>10244.712127999999</v>
      </c>
      <c r="W71" s="18">
        <f t="shared" ref="W71:W137" si="27">U71-V71</f>
        <v>40978.848511999997</v>
      </c>
      <c r="AC71" s="17">
        <f t="shared" si="15"/>
        <v>102447.12127999999</v>
      </c>
    </row>
    <row r="72" spans="1:29" x14ac:dyDescent="0.3">
      <c r="A72" s="15" t="s">
        <v>303</v>
      </c>
      <c r="B72" s="15" t="s">
        <v>415</v>
      </c>
      <c r="C72" s="20">
        <v>25</v>
      </c>
      <c r="E72" s="15">
        <f>11.33/C72</f>
        <v>0.45319999999999999</v>
      </c>
      <c r="F72" s="15" t="s">
        <v>28</v>
      </c>
      <c r="G72" s="15">
        <f>75.98/C72</f>
        <v>3.0392000000000001</v>
      </c>
      <c r="H72" s="15" t="s">
        <v>137</v>
      </c>
      <c r="I72" s="15">
        <f>40.99/C72</f>
        <v>1.6396000000000002</v>
      </c>
      <c r="J72" s="15" t="s">
        <v>27</v>
      </c>
      <c r="K72" s="15">
        <f>70.58/C72</f>
        <v>2.8231999999999999</v>
      </c>
      <c r="L72" s="15" t="s">
        <v>29</v>
      </c>
      <c r="M72" s="15">
        <f>+SUM(E72,G72,I72,K72)</f>
        <v>7.9551999999999996</v>
      </c>
      <c r="N72" s="15">
        <f>((15*60+57)/60)/C72</f>
        <v>0.63800000000000001</v>
      </c>
      <c r="O72" s="17">
        <f>SUMIFS(Inventario_Materiales!H$2:H$33,Inventario_Materiales!B$2:B$33,Calculadora_Produccion!F72)*E72+SUMIFS(Inventario_Materiales!H$2:H$33,Inventario_Materiales!B$2:B$33,H72)*G72+SUMIFS(Inventario_Materiales!H$2:H$33,Inventario_Materiales!B$2:B$33,Calculadora_Produccion!J72)*I72+SUMIFS(Inventario_Materiales!H$2:H$33,Inventario_Materiales!B$2:B$33,Calculadora_Produccion!L72)*K72</f>
        <v>2142.8632640000001</v>
      </c>
      <c r="P72" s="17">
        <f>N72*Configuracion_Costos!$B$4*Configuracion_Costos!$B$5</f>
        <v>73.038240000000002</v>
      </c>
      <c r="Q72" s="18">
        <f>N72*Configuracion_Costos!$B$8</f>
        <v>432.56400000000002</v>
      </c>
      <c r="T72" s="17">
        <f t="shared" si="25"/>
        <v>2648.4655039999998</v>
      </c>
      <c r="U72" s="17">
        <f>T72*(1+Configuracion_Costos!$B$7)</f>
        <v>7415.7034111999992</v>
      </c>
      <c r="V72" s="18">
        <f t="shared" si="26"/>
        <v>1483.1406822399999</v>
      </c>
      <c r="W72" s="18">
        <f t="shared" si="27"/>
        <v>5932.5627289599997</v>
      </c>
      <c r="AC72" s="17">
        <f t="shared" si="15"/>
        <v>185392.58527999997</v>
      </c>
    </row>
    <row r="73" spans="1:29" x14ac:dyDescent="0.3">
      <c r="A73" s="27" t="s">
        <v>304</v>
      </c>
      <c r="B73" s="27" t="s">
        <v>418</v>
      </c>
      <c r="C73" s="28">
        <v>60</v>
      </c>
      <c r="E73" s="15">
        <f>132.2/C73</f>
        <v>2.2033333333333331</v>
      </c>
      <c r="F73" s="15" t="s">
        <v>27</v>
      </c>
      <c r="G73" s="15">
        <f>154.91/C73</f>
        <v>2.5818333333333334</v>
      </c>
      <c r="H73" s="15" t="s">
        <v>194</v>
      </c>
      <c r="I73" s="15">
        <f>15.8/C73</f>
        <v>0.26333333333333336</v>
      </c>
      <c r="J73" s="15" t="s">
        <v>29</v>
      </c>
      <c r="K73" s="15">
        <f>6.2/C73</f>
        <v>0.10333333333333333</v>
      </c>
      <c r="L73" s="15" t="s">
        <v>28</v>
      </c>
      <c r="M73" s="15">
        <f t="shared" si="24"/>
        <v>5.1518333333333342</v>
      </c>
      <c r="N73" s="15">
        <f>((23*60+29)/60)/C73</f>
        <v>0.3913888888888889</v>
      </c>
      <c r="O73" s="17">
        <f>SUMIFS(Inventario_Materiales!H$2:H$33,Inventario_Materiales!B$2:B$33,Calculadora_Produccion!F73)*E73+SUMIFS(Inventario_Materiales!H$2:H$33,Inventario_Materiales!B$2:B$33,H73)*G73+SUMIFS(Inventario_Materiales!H$2:H$33,Inventario_Materiales!B$2:B$33,Calculadora_Produccion!J73)*I73+SUMIFS(Inventario_Materiales!H$2:H$33,Inventario_Materiales!B$2:B$33,Calculadora_Produccion!L73)*K73</f>
        <v>1226.3728000000001</v>
      </c>
      <c r="P73" s="17">
        <f>N73*Configuracion_Costos!$B$4*Configuracion_Costos!$B$5</f>
        <v>44.806200000000004</v>
      </c>
      <c r="Q73" s="18">
        <f>N73*Configuracion_Costos!$B$8</f>
        <v>265.36166666666668</v>
      </c>
      <c r="T73" s="17">
        <f t="shared" si="25"/>
        <v>1536.5406666666668</v>
      </c>
      <c r="U73" s="17">
        <f>T73*(1+Configuracion_Costos!$B$7)</f>
        <v>4302.3138666666664</v>
      </c>
      <c r="V73" s="18">
        <f t="shared" si="26"/>
        <v>860.4627733333333</v>
      </c>
      <c r="W73" s="18">
        <f t="shared" si="27"/>
        <v>3441.8510933333332</v>
      </c>
      <c r="AC73" s="17">
        <f t="shared" si="15"/>
        <v>258138.83199999999</v>
      </c>
    </row>
    <row r="74" spans="1:29" x14ac:dyDescent="0.3">
      <c r="A74" s="15" t="s">
        <v>305</v>
      </c>
      <c r="B74" s="15" t="s">
        <v>417</v>
      </c>
      <c r="C74" s="20">
        <v>6</v>
      </c>
      <c r="E74" s="15">
        <f>8.26/C74</f>
        <v>1.3766666666666667</v>
      </c>
      <c r="F74" s="15" t="s">
        <v>27</v>
      </c>
      <c r="G74" s="15">
        <f>26.35/C74</f>
        <v>4.3916666666666666</v>
      </c>
      <c r="H74" s="15" t="s">
        <v>28</v>
      </c>
      <c r="I74" s="15">
        <f>4.71/C74</f>
        <v>0.78500000000000003</v>
      </c>
      <c r="J74" s="15" t="s">
        <v>153</v>
      </c>
      <c r="M74" s="15">
        <f t="shared" si="24"/>
        <v>6.5533333333333337</v>
      </c>
      <c r="N74" s="15">
        <f>((2*60+18)/60)/C74</f>
        <v>0.3833333333333333</v>
      </c>
      <c r="O74" s="17">
        <f>SUMIFS(Inventario_Materiales!H$2:H$33,Inventario_Materiales!B$2:B$33,Calculadora_Produccion!F74)*E74+SUMIFS(Inventario_Materiales!H$2:H$33,Inventario_Materiales!B$2:B$33,H74)*G74+SUMIFS(Inventario_Materiales!H$2:H$33,Inventario_Materiales!B$2:B$33,Calculadora_Produccion!J74)*I74+SUMIFS(Inventario_Materiales!H$2:H$33,Inventario_Materiales!B$2:B$33,Calculadora_Produccion!L74)*K74</f>
        <v>2017.5796666666668</v>
      </c>
      <c r="P74" s="17">
        <f>N74*Configuracion_Costos!$B$4*Configuracion_Costos!$B$5</f>
        <v>43.884</v>
      </c>
      <c r="Q74" s="18">
        <f>N74*Configuracion_Costos!$B$8</f>
        <v>259.89999999999998</v>
      </c>
      <c r="S74" s="15">
        <v>1000</v>
      </c>
      <c r="T74" s="17">
        <f t="shared" si="25"/>
        <v>3321.3636666666666</v>
      </c>
      <c r="U74" s="17">
        <f>T74*(1+Configuracion_Costos!$B$7)</f>
        <v>9299.8182666666653</v>
      </c>
      <c r="V74" s="18">
        <f t="shared" si="26"/>
        <v>1859.9636533333332</v>
      </c>
      <c r="W74" s="18">
        <f t="shared" si="27"/>
        <v>7439.8546133333321</v>
      </c>
      <c r="AC74" s="17">
        <f t="shared" si="15"/>
        <v>55798.909599999992</v>
      </c>
    </row>
    <row r="75" spans="1:29" x14ac:dyDescent="0.3">
      <c r="A75" s="15" t="s">
        <v>306</v>
      </c>
      <c r="B75" s="15" t="s">
        <v>419</v>
      </c>
      <c r="C75" s="20">
        <v>25</v>
      </c>
      <c r="E75" s="15">
        <f>64.68/C75</f>
        <v>2.5872000000000002</v>
      </c>
      <c r="F75" s="15" t="s">
        <v>27</v>
      </c>
      <c r="G75" s="15">
        <f>19.88/C75</f>
        <v>0.79519999999999991</v>
      </c>
      <c r="H75" s="15" t="s">
        <v>194</v>
      </c>
      <c r="I75" s="15">
        <f>3.92/C75</f>
        <v>0.15679999999999999</v>
      </c>
      <c r="J75" s="15" t="s">
        <v>29</v>
      </c>
      <c r="K75" s="15">
        <f>0.28/C75</f>
        <v>1.1200000000000002E-2</v>
      </c>
      <c r="L75" s="15" t="s">
        <v>28</v>
      </c>
      <c r="M75" s="15">
        <f t="shared" si="24"/>
        <v>3.5504000000000002</v>
      </c>
      <c r="N75" s="15">
        <f>((11*60+15)/60)/C75</f>
        <v>0.45</v>
      </c>
      <c r="O75" s="17">
        <f>SUMIFS(Inventario_Materiales!H$2:H$33,Inventario_Materiales!B$2:B$33,Calculadora_Produccion!F75)*E75+SUMIFS(Inventario_Materiales!H$2:H$33,Inventario_Materiales!B$2:B$33,H75)*G75+SUMIFS(Inventario_Materiales!H$2:H$33,Inventario_Materiales!B$2:B$33,Calculadora_Produccion!J75)*I75+SUMIFS(Inventario_Materiales!H$2:H$33,Inventario_Materiales!B$2:B$33,Calculadora_Produccion!L75)*K75</f>
        <v>1210.561408</v>
      </c>
      <c r="P75" s="17">
        <f>N75*Configuracion_Costos!$B$4*Configuracion_Costos!$B$5</f>
        <v>51.516000000000005</v>
      </c>
      <c r="Q75" s="18">
        <f>N75*Configuracion_Costos!$B$8</f>
        <v>305.10000000000002</v>
      </c>
      <c r="T75" s="17">
        <f t="shared" si="25"/>
        <v>1567.177408</v>
      </c>
      <c r="U75" s="17">
        <f>T75*(1+Configuracion_Costos!$B$7)</f>
        <v>4388.0967424</v>
      </c>
      <c r="V75" s="18">
        <f t="shared" si="26"/>
        <v>877.6193484800001</v>
      </c>
      <c r="W75" s="18">
        <f t="shared" si="27"/>
        <v>3510.4773939199999</v>
      </c>
      <c r="Z75" s="15">
        <v>1.3</v>
      </c>
      <c r="AC75" s="17">
        <f t="shared" si="15"/>
        <v>109702.41856000001</v>
      </c>
    </row>
    <row r="76" spans="1:29" x14ac:dyDescent="0.3">
      <c r="A76" s="15" t="s">
        <v>307</v>
      </c>
      <c r="B76" s="15" t="s">
        <v>420</v>
      </c>
      <c r="C76" s="20">
        <v>9</v>
      </c>
      <c r="E76" s="15">
        <f>100.68/C76</f>
        <v>11.186666666666667</v>
      </c>
      <c r="F76" s="15" t="s">
        <v>137</v>
      </c>
      <c r="G76" s="15">
        <f>3.2/C76</f>
        <v>0.35555555555555557</v>
      </c>
      <c r="H76" s="15" t="s">
        <v>27</v>
      </c>
      <c r="I76" s="15">
        <f>7.34/24</f>
        <v>0.30583333333333335</v>
      </c>
      <c r="J76" s="15" t="s">
        <v>28</v>
      </c>
      <c r="K76" s="15">
        <f>5.64/C76</f>
        <v>0.62666666666666659</v>
      </c>
      <c r="L76" s="15" t="s">
        <v>29</v>
      </c>
      <c r="M76" s="15">
        <f t="shared" si="24"/>
        <v>12.474722222222224</v>
      </c>
      <c r="N76" s="15">
        <f>((6*60+16)/60)/C76</f>
        <v>0.6962962962962963</v>
      </c>
      <c r="O76" s="17">
        <f>SUMIFS(Inventario_Materiales!H$2:H$33,Inventario_Materiales!B$2:B$33,Calculadora_Produccion!F76)*E76+SUMIFS(Inventario_Materiales!H$2:H$33,Inventario_Materiales!B$2:B$33,H76)*G76+SUMIFS(Inventario_Materiales!H$2:H$33,Inventario_Materiales!B$2:B$33,Calculadora_Produccion!J76)*I76+SUMIFS(Inventario_Materiales!H$2:H$33,Inventario_Materiales!B$2:B$33,Calculadora_Produccion!L76)*K76</f>
        <v>1167.4440888888889</v>
      </c>
      <c r="P76" s="17">
        <f>N76*Configuracion_Costos!$B$4*Configuracion_Costos!$B$5</f>
        <v>79.712000000000003</v>
      </c>
      <c r="Q76" s="18">
        <f>N76*Configuracion_Costos!$B$8</f>
        <v>472.0888888888889</v>
      </c>
      <c r="T76" s="17">
        <f t="shared" si="25"/>
        <v>1719.2449777777779</v>
      </c>
      <c r="U76" s="17">
        <f>T76*(1+Configuracion_Costos!$B$7)</f>
        <v>4813.8859377777781</v>
      </c>
      <c r="V76" s="18">
        <f t="shared" si="26"/>
        <v>962.77718755555566</v>
      </c>
      <c r="W76" s="18">
        <f t="shared" si="27"/>
        <v>3851.1087502222226</v>
      </c>
      <c r="AC76" s="17">
        <f t="shared" si="15"/>
        <v>43324.973440000002</v>
      </c>
    </row>
    <row r="77" spans="1:29" x14ac:dyDescent="0.3">
      <c r="A77" s="43" t="s">
        <v>308</v>
      </c>
      <c r="B77" s="43" t="s">
        <v>423</v>
      </c>
      <c r="C77" s="44">
        <v>1</v>
      </c>
      <c r="E77" s="15">
        <v>72.569999999999993</v>
      </c>
      <c r="F77" s="15" t="s">
        <v>28</v>
      </c>
      <c r="M77" s="15">
        <f t="shared" si="24"/>
        <v>72.569999999999993</v>
      </c>
      <c r="N77" s="15">
        <f>((4*60+14)/60)/C77</f>
        <v>4.2333333333333334</v>
      </c>
      <c r="O77" s="17">
        <f>SUMIFS(Inventario_Materiales!H$2:H$33,Inventario_Materiales!B$2:B$33,Calculadora_Produccion!F77)*E77+SUMIFS(Inventario_Materiales!H$2:H$33,Inventario_Materiales!B$2:B$33,H77)*G77+SUMIFS(Inventario_Materiales!H$2:H$33,Inventario_Materiales!B$2:B$33,Calculadora_Produccion!J77)*I77+SUMIFS(Inventario_Materiales!H$2:H$33,Inventario_Materiales!B$2:B$33,Calculadora_Produccion!L77)*K77</f>
        <v>22850.841599999996</v>
      </c>
      <c r="P77" s="17">
        <f>N77*Configuracion_Costos!$B$4*Configuracion_Costos!$B$5</f>
        <v>484.63200000000001</v>
      </c>
      <c r="Q77" s="18">
        <f>N77*Configuracion_Costos!$B$8</f>
        <v>2870.2</v>
      </c>
      <c r="T77" s="17">
        <f t="shared" si="25"/>
        <v>26205.673599999998</v>
      </c>
      <c r="U77" s="17">
        <f>T77*(1+Configuracion_Costos!$B$7)</f>
        <v>73375.886079999997</v>
      </c>
      <c r="V77" s="18">
        <f t="shared" si="26"/>
        <v>14675.177216</v>
      </c>
      <c r="W77" s="18">
        <f t="shared" si="27"/>
        <v>58700.708864</v>
      </c>
      <c r="AC77" s="17">
        <f t="shared" si="15"/>
        <v>73375.886079999997</v>
      </c>
    </row>
    <row r="78" spans="1:29" x14ac:dyDescent="0.3">
      <c r="A78" s="15" t="s">
        <v>309</v>
      </c>
      <c r="B78" s="15" t="s">
        <v>424</v>
      </c>
      <c r="C78" s="20">
        <v>10</v>
      </c>
      <c r="E78" s="15">
        <f>34.37/C78</f>
        <v>3.4369999999999998</v>
      </c>
      <c r="F78" s="15" t="s">
        <v>28</v>
      </c>
      <c r="G78" s="15">
        <f>13.84/C78</f>
        <v>1.3839999999999999</v>
      </c>
      <c r="H78" s="15" t="s">
        <v>27</v>
      </c>
      <c r="M78" s="15">
        <f t="shared" si="24"/>
        <v>4.8209999999999997</v>
      </c>
      <c r="N78" s="15">
        <f>((5*60+19)/60)/C78</f>
        <v>0.53166666666666662</v>
      </c>
      <c r="O78" s="17">
        <f>SUMIFS(Inventario_Materiales!H$2:H$33,Inventario_Materiales!B$2:B$33,Calculadora_Produccion!F78)*E78+SUMIFS(Inventario_Materiales!H$2:H$33,Inventario_Materiales!B$2:B$33,H78)*G78+SUMIFS(Inventario_Materiales!H$2:H$33,Inventario_Materiales!B$2:B$33,Calculadora_Produccion!J78)*I78+SUMIFS(Inventario_Materiales!H$2:H$33,Inventario_Materiales!B$2:B$33,Calculadora_Produccion!L78)*K78</f>
        <v>1669.0585599999999</v>
      </c>
      <c r="P78" s="17">
        <f>N78*Configuracion_Costos!$B$4*Configuracion_Costos!$B$5</f>
        <v>60.865199999999994</v>
      </c>
      <c r="Q78" s="18">
        <f>N78*Configuracion_Costos!$B$8</f>
        <v>360.46999999999997</v>
      </c>
      <c r="T78" s="17">
        <f t="shared" si="25"/>
        <v>2090.3937599999999</v>
      </c>
      <c r="U78" s="17">
        <f>T78*(1+Configuracion_Costos!$B$7)</f>
        <v>5853.1025279999994</v>
      </c>
      <c r="V78" s="18">
        <f t="shared" si="26"/>
        <v>1170.6205055999999</v>
      </c>
      <c r="W78" s="18">
        <f t="shared" si="27"/>
        <v>4682.4820223999996</v>
      </c>
      <c r="AC78" s="17">
        <f t="shared" si="15"/>
        <v>58531.025279999994</v>
      </c>
    </row>
    <row r="79" spans="1:29" x14ac:dyDescent="0.3">
      <c r="A79" s="15" t="s">
        <v>310</v>
      </c>
      <c r="B79" s="15" t="s">
        <v>425</v>
      </c>
      <c r="C79" s="20">
        <v>68</v>
      </c>
      <c r="G79" s="15">
        <f>139.9/C79</f>
        <v>2.0573529411764708</v>
      </c>
      <c r="H79" s="15" t="s">
        <v>27</v>
      </c>
      <c r="I79" s="15">
        <f>134.73/C79</f>
        <v>1.9813235294117646</v>
      </c>
      <c r="J79" s="15" t="s">
        <v>28</v>
      </c>
      <c r="K79" s="15">
        <f>10.29/C79</f>
        <v>0.15132352941176469</v>
      </c>
      <c r="L79" s="15" t="s">
        <v>29</v>
      </c>
      <c r="M79" s="15">
        <f t="shared" si="24"/>
        <v>4.1900000000000004</v>
      </c>
      <c r="N79" s="15">
        <f>((26*60+45)/60)/C79</f>
        <v>0.39338235294117646</v>
      </c>
      <c r="O79" s="17">
        <f>SUMIFS(Inventario_Materiales!H$2:H$33,Inventario_Materiales!B$2:B$33,Calculadora_Produccion!F79)*E79+SUMIFS(Inventario_Materiales!H$2:H$33,Inventario_Materiales!B$2:B$33,H79)*G79+SUMIFS(Inventario_Materiales!H$2:H$33,Inventario_Materiales!B$2:B$33,Calculadora_Produccion!J79)*I79+SUMIFS(Inventario_Materiales!H$2:H$33,Inventario_Materiales!B$2:B$33,Calculadora_Produccion!L79)*K79</f>
        <v>1556.3690882352944</v>
      </c>
      <c r="P79" s="17">
        <f>N79*Configuracion_Costos!$B$4*Configuracion_Costos!$B$5</f>
        <v>45.034411764705887</v>
      </c>
      <c r="Q79" s="18">
        <f>N79*Configuracion_Costos!$B$8</f>
        <v>266.71323529411762</v>
      </c>
      <c r="T79" s="17">
        <f t="shared" si="25"/>
        <v>1868.1167352941179</v>
      </c>
      <c r="U79" s="17">
        <f>T79*(1+Configuracion_Costos!$B$7)</f>
        <v>5230.7268588235302</v>
      </c>
      <c r="V79" s="18">
        <f t="shared" si="26"/>
        <v>1046.1453717647062</v>
      </c>
      <c r="W79" s="18">
        <f t="shared" si="27"/>
        <v>4184.5814870588238</v>
      </c>
      <c r="AC79" s="17">
        <f t="shared" si="15"/>
        <v>355689.42640000005</v>
      </c>
    </row>
    <row r="80" spans="1:29" x14ac:dyDescent="0.3">
      <c r="A80" s="15" t="s">
        <v>311</v>
      </c>
      <c r="B80" s="15" t="s">
        <v>426</v>
      </c>
      <c r="C80" s="20">
        <v>60</v>
      </c>
      <c r="E80" s="15">
        <f>162.49/C80</f>
        <v>2.7081666666666666</v>
      </c>
      <c r="F80" s="15" t="s">
        <v>137</v>
      </c>
      <c r="G80" s="15">
        <f>1.38/C80</f>
        <v>2.3E-2</v>
      </c>
      <c r="H80" s="15" t="s">
        <v>28</v>
      </c>
      <c r="M80" s="15">
        <f t="shared" si="24"/>
        <v>2.7311666666666667</v>
      </c>
      <c r="N80" s="15">
        <f>((7*60+33)/60)/C80</f>
        <v>0.12583333333333332</v>
      </c>
      <c r="O80" s="17">
        <f>SUMIFS(Inventario_Materiales!H$2:H$33,Inventario_Materiales!B$2:B$33,Calculadora_Produccion!F80)*E80+SUMIFS(Inventario_Materiales!H$2:H$33,Inventario_Materiales!B$2:B$33,H80)*G80+SUMIFS(Inventario_Materiales!H$2:H$33,Inventario_Materiales!B$2:B$33,Calculadora_Produccion!J80)*I80+SUMIFS(Inventario_Materiales!H$2:H$33,Inventario_Materiales!B$2:B$33,Calculadora_Produccion!L80)*K80</f>
        <v>169.73224000000002</v>
      </c>
      <c r="P80" s="17">
        <f>N80*Configuracion_Costos!$B$4*Configuracion_Costos!$B$5</f>
        <v>14.4054</v>
      </c>
      <c r="Q80" s="18">
        <f>N80*Configuracion_Costos!$B$8</f>
        <v>85.314999999999998</v>
      </c>
      <c r="T80" s="17">
        <f t="shared" si="25"/>
        <v>269.45264000000003</v>
      </c>
      <c r="U80" s="17">
        <f>T80*(1+Configuracion_Costos!$B$7)</f>
        <v>754.46739200000002</v>
      </c>
      <c r="V80" s="18">
        <f t="shared" si="26"/>
        <v>150.89347840000002</v>
      </c>
      <c r="W80" s="18">
        <f t="shared" si="27"/>
        <v>603.57391359999997</v>
      </c>
      <c r="AC80" s="17">
        <f t="shared" si="15"/>
        <v>45268.043519999999</v>
      </c>
    </row>
    <row r="81" spans="1:30" x14ac:dyDescent="0.3">
      <c r="A81" s="15" t="s">
        <v>312</v>
      </c>
      <c r="B81" s="15" t="s">
        <v>427</v>
      </c>
      <c r="C81" s="20">
        <v>5</v>
      </c>
      <c r="E81" s="15">
        <f>12.79/C81</f>
        <v>2.5579999999999998</v>
      </c>
      <c r="F81" s="15" t="s">
        <v>153</v>
      </c>
      <c r="G81" s="15">
        <f>12.77/C81</f>
        <v>2.5539999999999998</v>
      </c>
      <c r="H81" s="15" t="s">
        <v>28</v>
      </c>
      <c r="M81" s="15">
        <f t="shared" si="24"/>
        <v>5.1120000000000001</v>
      </c>
      <c r="N81" s="15">
        <f>((1*60+6)/60)/C81</f>
        <v>0.22000000000000003</v>
      </c>
      <c r="O81" s="17">
        <f>SUMIFS(Inventario_Materiales!H$2:H$33,Inventario_Materiales!B$2:B$33,Calculadora_Produccion!F81)*E81+SUMIFS(Inventario_Materiales!H$2:H$33,Inventario_Materiales!B$2:B$33,H81)*G81+SUMIFS(Inventario_Materiales!H$2:H$33,Inventario_Materiales!B$2:B$33,Calculadora_Produccion!J81)*I81+SUMIFS(Inventario_Materiales!H$2:H$33,Inventario_Materiales!B$2:B$33,Calculadora_Produccion!L81)*K81</f>
        <v>970.47351999999989</v>
      </c>
      <c r="P81" s="17">
        <f>N81*Configuracion_Costos!$B$4*Configuracion_Costos!$B$5</f>
        <v>25.185600000000004</v>
      </c>
      <c r="Q81" s="18">
        <f>N81*Configuracion_Costos!$B$8</f>
        <v>149.16000000000003</v>
      </c>
      <c r="R81" s="15">
        <v>1000</v>
      </c>
      <c r="T81" s="17">
        <f t="shared" si="25"/>
        <v>2144.8191200000001</v>
      </c>
      <c r="U81" s="17">
        <f>T81*(1+Configuracion_Costos!$B$7)</f>
        <v>6005.4935359999999</v>
      </c>
      <c r="V81" s="18">
        <f t="shared" si="26"/>
        <v>1201.0987072</v>
      </c>
      <c r="W81" s="18">
        <f t="shared" si="27"/>
        <v>4804.3948288000001</v>
      </c>
      <c r="AC81" s="17">
        <f t="shared" si="15"/>
        <v>30027.467680000002</v>
      </c>
    </row>
    <row r="82" spans="1:30" x14ac:dyDescent="0.3">
      <c r="A82" s="27" t="s">
        <v>313</v>
      </c>
      <c r="B82" s="27" t="s">
        <v>428</v>
      </c>
      <c r="C82" s="28">
        <v>1</v>
      </c>
      <c r="E82" s="15">
        <v>25.64</v>
      </c>
      <c r="F82" s="15" t="s">
        <v>28</v>
      </c>
      <c r="M82" s="15">
        <f t="shared" si="24"/>
        <v>25.64</v>
      </c>
      <c r="N82" s="15">
        <f>((3*60+56)/60)/C82</f>
        <v>3.9333333333333331</v>
      </c>
      <c r="O82" s="17">
        <f>SUMIFS(Inventario_Materiales!H$2:H$33,Inventario_Materiales!B$2:B$33,Calculadora_Produccion!F82)*E82+SUMIFS(Inventario_Materiales!H$2:H$33,Inventario_Materiales!B$2:B$33,H82)*G82+SUMIFS(Inventario_Materiales!H$2:H$33,Inventario_Materiales!B$2:B$33,Calculadora_Produccion!J82)*I82+SUMIFS(Inventario_Materiales!H$2:H$33,Inventario_Materiales!B$2:B$33,Calculadora_Produccion!L82)*K82</f>
        <v>8073.5231999999996</v>
      </c>
      <c r="P82" s="17">
        <f>N82*Configuracion_Costos!$B$4*Configuracion_Costos!$B$5</f>
        <v>450.28800000000001</v>
      </c>
      <c r="Q82" s="18">
        <f>N82*Configuracion_Costos!$B$8</f>
        <v>2666.7999999999997</v>
      </c>
      <c r="T82" s="17">
        <f t="shared" si="25"/>
        <v>11190.611199999999</v>
      </c>
      <c r="U82" s="17">
        <f>T82*(1+Configuracion_Costos!$B$7)</f>
        <v>31333.711359999998</v>
      </c>
      <c r="V82" s="18">
        <f t="shared" si="26"/>
        <v>6266.7422719999995</v>
      </c>
      <c r="W82" s="18">
        <f t="shared" si="27"/>
        <v>25066.969087999998</v>
      </c>
      <c r="Z82" s="46">
        <v>15000</v>
      </c>
      <c r="AC82" s="17">
        <f t="shared" si="15"/>
        <v>31333.711359999998</v>
      </c>
    </row>
    <row r="83" spans="1:30" x14ac:dyDescent="0.3">
      <c r="A83" s="15" t="s">
        <v>314</v>
      </c>
      <c r="B83" s="15" t="s">
        <v>429</v>
      </c>
      <c r="C83" s="20">
        <v>20</v>
      </c>
      <c r="E83" s="15">
        <f>1.7/C83</f>
        <v>8.4999999999999992E-2</v>
      </c>
      <c r="F83" s="15" t="s">
        <v>27</v>
      </c>
      <c r="G83" s="15">
        <f>5.17/C83</f>
        <v>0.25850000000000001</v>
      </c>
      <c r="H83" s="15" t="s">
        <v>28</v>
      </c>
      <c r="I83" s="15">
        <f>158.18/C83</f>
        <v>7.9090000000000007</v>
      </c>
      <c r="J83" s="15" t="s">
        <v>154</v>
      </c>
      <c r="M83" s="15">
        <f t="shared" si="24"/>
        <v>8.2525000000000013</v>
      </c>
      <c r="N83" s="15">
        <f>((12*60+37)/60)/C83</f>
        <v>0.63083333333333336</v>
      </c>
      <c r="O83" s="17">
        <f>SUMIFS(Inventario_Materiales!H$2:H$33,Inventario_Materiales!B$2:B$33,Calculadora_Produccion!F83)*E83+SUMIFS(Inventario_Materiales!H$2:H$33,Inventario_Materiales!B$2:B$33,H83)*G83+SUMIFS(Inventario_Materiales!H$2:H$33,Inventario_Materiales!B$2:B$33,Calculadora_Produccion!J83)*I83+SUMIFS(Inventario_Materiales!H$2:H$33,Inventario_Materiales!B$2:B$33,Calculadora_Produccion!L83)*K83</f>
        <v>631.52148</v>
      </c>
      <c r="P83" s="17">
        <f>N83*Configuracion_Costos!$B$4*Configuracion_Costos!$B$5</f>
        <v>72.217800000000011</v>
      </c>
      <c r="Q83" s="18">
        <f>N83*Configuracion_Costos!$B$8</f>
        <v>427.70500000000004</v>
      </c>
      <c r="T83" s="17">
        <f t="shared" si="25"/>
        <v>1131.4442800000002</v>
      </c>
      <c r="U83" s="17">
        <f>T83*(1+Configuracion_Costos!$B$7)</f>
        <v>3168.0439840000004</v>
      </c>
      <c r="V83" s="18">
        <f t="shared" si="26"/>
        <v>633.60879680000016</v>
      </c>
      <c r="W83" s="18">
        <f t="shared" si="27"/>
        <v>2534.4351872000002</v>
      </c>
      <c r="AC83" s="17">
        <f t="shared" si="15"/>
        <v>63360.879680000005</v>
      </c>
    </row>
    <row r="84" spans="1:30" x14ac:dyDescent="0.3">
      <c r="A84" s="47" t="s">
        <v>315</v>
      </c>
      <c r="B84" s="47" t="s">
        <v>430</v>
      </c>
      <c r="C84" s="48">
        <v>112</v>
      </c>
      <c r="E84" s="15">
        <f>264.85/C84</f>
        <v>2.3647321428571431</v>
      </c>
      <c r="F84" s="15" t="s">
        <v>27</v>
      </c>
      <c r="M84" s="15">
        <f t="shared" si="24"/>
        <v>2.3647321428571431</v>
      </c>
      <c r="N84" s="15">
        <f>((24*60+25)/60)/C84</f>
        <v>0.21800595238095238</v>
      </c>
      <c r="O84" s="17">
        <f>SUMIFS(Inventario_Materiales!H$2:H$33,Inventario_Materiales!B$2:B$33,Calculadora_Produccion!F84)*E84+SUMIFS(Inventario_Materiales!H$2:H$33,Inventario_Materiales!B$2:B$33,H84)*G84+SUMIFS(Inventario_Materiales!H$2:H$33,Inventario_Materiales!B$2:B$33,Calculadora_Produccion!J84)*I84+SUMIFS(Inventario_Materiales!H$2:H$33,Inventario_Materiales!B$2:B$33,Calculadora_Produccion!L84)*K84</f>
        <v>1002.6464285714287</v>
      </c>
      <c r="P84" s="17">
        <f>N84*Configuracion_Costos!$B$4*Configuracion_Costos!$B$5</f>
        <v>24.957321428571429</v>
      </c>
      <c r="Q84" s="18">
        <f>N84*Configuracion_Costos!$B$8</f>
        <v>147.80803571428572</v>
      </c>
      <c r="T84" s="17">
        <f t="shared" si="25"/>
        <v>1175.411785714286</v>
      </c>
      <c r="U84" s="17">
        <f>T84*(1+Configuracion_Costos!$B$7)</f>
        <v>3291.1530000000007</v>
      </c>
      <c r="V84" s="18">
        <f t="shared" si="26"/>
        <v>658.23060000000021</v>
      </c>
      <c r="W84" s="18">
        <f t="shared" si="27"/>
        <v>2632.9224000000004</v>
      </c>
      <c r="AC84" s="17">
        <f t="shared" si="15"/>
        <v>368609.13600000006</v>
      </c>
    </row>
    <row r="85" spans="1:30" x14ac:dyDescent="0.3">
      <c r="A85" s="47" t="s">
        <v>316</v>
      </c>
      <c r="B85" s="47"/>
      <c r="C85" s="48">
        <v>98</v>
      </c>
      <c r="E85" s="15">
        <f>265.55/C85</f>
        <v>2.7096938775510204</v>
      </c>
      <c r="F85" s="15" t="s">
        <v>27</v>
      </c>
      <c r="M85" s="15">
        <f t="shared" si="24"/>
        <v>2.7096938775510204</v>
      </c>
      <c r="N85" s="15">
        <f>((19*60+54)/60)/C85</f>
        <v>0.20306122448979591</v>
      </c>
      <c r="O85" s="17">
        <f>SUMIFS(Inventario_Materiales!H$2:H$33,Inventario_Materiales!B$2:B$33,Calculadora_Produccion!F85)*E85+SUMIFS(Inventario_Materiales!H$2:H$33,Inventario_Materiales!B$2:B$33,H85)*G85+SUMIFS(Inventario_Materiales!H$2:H$33,Inventario_Materiales!B$2:B$33,Calculadora_Produccion!J85)*I85+SUMIFS(Inventario_Materiales!H$2:H$33,Inventario_Materiales!B$2:B$33,Calculadora_Produccion!L85)*K85</f>
        <v>1148.9102040816326</v>
      </c>
      <c r="P85" s="17">
        <f>N85*Configuracion_Costos!$B$4*Configuracion_Costos!$B$5</f>
        <v>23.246448979591836</v>
      </c>
      <c r="Q85" s="18">
        <f>N85*Configuracion_Costos!$B$8</f>
        <v>137.67551020408163</v>
      </c>
      <c r="T85" s="17">
        <f t="shared" si="25"/>
        <v>1309.832163265306</v>
      </c>
      <c r="U85" s="17">
        <f>T85*(1+Configuracion_Costos!$B$7)</f>
        <v>3667.5300571428565</v>
      </c>
      <c r="V85" s="18">
        <f t="shared" si="26"/>
        <v>733.50601142857136</v>
      </c>
      <c r="W85" s="18">
        <f t="shared" si="27"/>
        <v>2934.0240457142854</v>
      </c>
      <c r="AC85" s="17">
        <f t="shared" si="15"/>
        <v>359417.94559999992</v>
      </c>
    </row>
    <row r="86" spans="1:30" x14ac:dyDescent="0.3">
      <c r="A86" s="47" t="s">
        <v>317</v>
      </c>
      <c r="B86" s="47"/>
      <c r="C86" s="48">
        <v>63</v>
      </c>
      <c r="E86" s="15">
        <f>287.46/C86</f>
        <v>4.5628571428571423</v>
      </c>
      <c r="F86" s="15" t="s">
        <v>27</v>
      </c>
      <c r="M86" s="15">
        <f t="shared" si="24"/>
        <v>4.5628571428571423</v>
      </c>
      <c r="N86" s="15">
        <f>((19*60+29)/60)/C86</f>
        <v>0.30925925925925929</v>
      </c>
      <c r="O86" s="17">
        <f>SUMIFS(Inventario_Materiales!H$2:H$33,Inventario_Materiales!B$2:B$33,Calculadora_Produccion!F86)*E86+SUMIFS(Inventario_Materiales!H$2:H$33,Inventario_Materiales!B$2:B$33,H86)*G86+SUMIFS(Inventario_Materiales!H$2:H$33,Inventario_Materiales!B$2:B$33,Calculadora_Produccion!J86)*I86+SUMIFS(Inventario_Materiales!H$2:H$33,Inventario_Materiales!B$2:B$33,Calculadora_Produccion!L86)*K86</f>
        <v>1934.6514285714284</v>
      </c>
      <c r="P86" s="17">
        <f>N86*Configuracion_Costos!$B$4*Configuracion_Costos!$B$5</f>
        <v>35.404000000000003</v>
      </c>
      <c r="Q86" s="18">
        <f>N86*Configuracion_Costos!$B$8</f>
        <v>209.67777777777781</v>
      </c>
      <c r="T86" s="17">
        <f t="shared" si="25"/>
        <v>2179.7332063492063</v>
      </c>
      <c r="U86" s="17">
        <f>T86*(1+Configuracion_Costos!$B$7)</f>
        <v>6103.2529777777772</v>
      </c>
      <c r="V86" s="18">
        <f t="shared" si="26"/>
        <v>1220.6505955555556</v>
      </c>
      <c r="W86" s="18">
        <f t="shared" si="27"/>
        <v>4882.6023822222214</v>
      </c>
      <c r="AC86" s="17">
        <f t="shared" si="15"/>
        <v>384504.93759999995</v>
      </c>
    </row>
    <row r="87" spans="1:30" x14ac:dyDescent="0.3">
      <c r="A87" s="47" t="s">
        <v>318</v>
      </c>
      <c r="B87" s="47"/>
      <c r="C87" s="48">
        <v>47</v>
      </c>
      <c r="E87" s="15">
        <f>282.01/C87</f>
        <v>6.0002127659574462</v>
      </c>
      <c r="F87" s="15" t="s">
        <v>27</v>
      </c>
      <c r="M87" s="15">
        <f t="shared" si="24"/>
        <v>6.0002127659574462</v>
      </c>
      <c r="N87" s="15">
        <f>((15*60+9)/60)/C87</f>
        <v>0.32234042553191489</v>
      </c>
      <c r="O87" s="17">
        <f>SUMIFS(Inventario_Materiales!H$2:H$33,Inventario_Materiales!B$2:B$33,Calculadora_Produccion!F87)*E87+SUMIFS(Inventario_Materiales!H$2:H$33,Inventario_Materiales!B$2:B$33,H87)*G87+SUMIFS(Inventario_Materiales!H$2:H$33,Inventario_Materiales!B$2:B$33,Calculadora_Produccion!J87)*I87+SUMIFS(Inventario_Materiales!H$2:H$33,Inventario_Materiales!B$2:B$33,Calculadora_Produccion!L87)*K87</f>
        <v>2544.0902127659574</v>
      </c>
      <c r="P87" s="17">
        <f>N87*Configuracion_Costos!$B$4*Configuracion_Costos!$B$5</f>
        <v>36.901531914893617</v>
      </c>
      <c r="Q87" s="18">
        <f>N87*Configuracion_Costos!$B$8</f>
        <v>218.5468085106383</v>
      </c>
      <c r="T87" s="17">
        <f t="shared" si="25"/>
        <v>2799.538553191489</v>
      </c>
      <c r="U87" s="17">
        <f>T87*(1+Configuracion_Costos!$B$7)</f>
        <v>7838.7079489361686</v>
      </c>
      <c r="V87" s="18">
        <f t="shared" si="26"/>
        <v>1567.7415897872338</v>
      </c>
      <c r="W87" s="18">
        <f t="shared" si="27"/>
        <v>6270.9663591489352</v>
      </c>
      <c r="AC87" s="17">
        <f t="shared" si="15"/>
        <v>368419.2735999999</v>
      </c>
    </row>
    <row r="88" spans="1:30" x14ac:dyDescent="0.3">
      <c r="A88" s="15" t="s">
        <v>319</v>
      </c>
      <c r="C88" s="20">
        <v>79</v>
      </c>
      <c r="E88" s="15">
        <f>340.83/C88</f>
        <v>4.3143037974683542</v>
      </c>
      <c r="F88" s="15" t="s">
        <v>27</v>
      </c>
      <c r="M88" s="15">
        <f t="shared" si="24"/>
        <v>4.3143037974683542</v>
      </c>
      <c r="N88" s="15">
        <f>((23*60+49)/60)/C88</f>
        <v>0.30147679324894516</v>
      </c>
      <c r="O88" s="17">
        <f>SUMIFS(Inventario_Materiales!H$2:H$33,Inventario_Materiales!B$2:B$33,Calculadora_Produccion!F88)*E88+SUMIFS(Inventario_Materiales!H$2:H$33,Inventario_Materiales!B$2:B$33,H88)*G88+SUMIFS(Inventario_Materiales!H$2:H$33,Inventario_Materiales!B$2:B$33,Calculadora_Produccion!J88)*I88+SUMIFS(Inventario_Materiales!H$2:H$33,Inventario_Materiales!B$2:B$33,Calculadora_Produccion!L88)*K88</f>
        <v>1829.2648101265822</v>
      </c>
      <c r="P88" s="17">
        <f>N88*Configuracion_Costos!$B$4*Configuracion_Costos!$B$5</f>
        <v>34.51306329113924</v>
      </c>
      <c r="Q88" s="18">
        <f>N88*Configuracion_Costos!$B$8</f>
        <v>204.40126582278481</v>
      </c>
      <c r="T88" s="17">
        <f t="shared" si="25"/>
        <v>2068.1791392405062</v>
      </c>
      <c r="U88" s="17">
        <f>T88*(1+Configuracion_Costos!$B$7)</f>
        <v>5790.9015898734169</v>
      </c>
      <c r="V88" s="18">
        <f t="shared" si="26"/>
        <v>1158.1803179746835</v>
      </c>
      <c r="W88" s="18">
        <f t="shared" si="27"/>
        <v>4632.7212718987339</v>
      </c>
      <c r="AC88" s="17">
        <f t="shared" si="15"/>
        <v>457481.22559999995</v>
      </c>
    </row>
    <row r="89" spans="1:30" x14ac:dyDescent="0.3">
      <c r="A89" s="15" t="s">
        <v>320</v>
      </c>
      <c r="B89" s="15" t="s">
        <v>431</v>
      </c>
      <c r="C89" s="20">
        <v>36</v>
      </c>
      <c r="E89" s="15">
        <f>178.16/C89</f>
        <v>4.9488888888888889</v>
      </c>
      <c r="F89" s="15" t="s">
        <v>27</v>
      </c>
      <c r="M89" s="15">
        <f t="shared" si="24"/>
        <v>4.9488888888888889</v>
      </c>
      <c r="N89" s="15">
        <f>((9*60+2)/60)/C89</f>
        <v>0.25092592592592594</v>
      </c>
      <c r="O89" s="17">
        <f>SUMIFS(Inventario_Materiales!H$2:H$33,Inventario_Materiales!B$2:B$33,Calculadora_Produccion!F89)*E89+SUMIFS(Inventario_Materiales!H$2:H$33,Inventario_Materiales!B$2:B$33,H89)*G89+SUMIFS(Inventario_Materiales!H$2:H$33,Inventario_Materiales!B$2:B$33,Calculadora_Produccion!J89)*I89+SUMIFS(Inventario_Materiales!H$2:H$33,Inventario_Materiales!B$2:B$33,Calculadora_Produccion!L89)*K89</f>
        <v>2098.3288888888887</v>
      </c>
      <c r="P89" s="17">
        <f>N89*Configuracion_Costos!$B$4*Configuracion_Costos!$B$5</f>
        <v>28.726000000000003</v>
      </c>
      <c r="Q89" s="18">
        <f>N89*Configuracion_Costos!$B$8</f>
        <v>170.12777777777779</v>
      </c>
      <c r="T89" s="17">
        <f t="shared" si="25"/>
        <v>2297.1826666666666</v>
      </c>
      <c r="U89" s="17">
        <f>T89*(1+Configuracion_Costos!$B$7)</f>
        <v>6432.1114666666663</v>
      </c>
      <c r="V89" s="18">
        <f t="shared" si="26"/>
        <v>1286.4222933333333</v>
      </c>
      <c r="W89" s="18">
        <f t="shared" si="27"/>
        <v>5145.6891733333332</v>
      </c>
      <c r="AC89" s="17">
        <f t="shared" si="15"/>
        <v>231556.0128</v>
      </c>
    </row>
    <row r="90" spans="1:30" x14ac:dyDescent="0.3">
      <c r="A90" s="15" t="s">
        <v>321</v>
      </c>
      <c r="B90" s="15" t="s">
        <v>432</v>
      </c>
      <c r="C90" s="20">
        <v>59</v>
      </c>
      <c r="E90" s="15">
        <f>22.98/C90</f>
        <v>0.38949152542372883</v>
      </c>
      <c r="F90" s="15" t="s">
        <v>27</v>
      </c>
      <c r="G90" s="15">
        <f>386.08/C90</f>
        <v>6.5437288135593219</v>
      </c>
      <c r="H90" s="15" t="s">
        <v>29</v>
      </c>
      <c r="M90" s="15">
        <f t="shared" si="24"/>
        <v>6.9332203389830509</v>
      </c>
      <c r="N90" s="15">
        <f>((21*60+53)/60)/C90</f>
        <v>0.37090395480225991</v>
      </c>
      <c r="O90" s="17">
        <f>SUMIFS(Inventario_Materiales!H$2:H$33,Inventario_Materiales!B$2:B$33,Calculadora_Produccion!F90)*E90+SUMIFS(Inventario_Materiales!H$2:H$33,Inventario_Materiales!B$2:B$33,H90)*G90+SUMIFS(Inventario_Materiales!H$2:H$33,Inventario_Materiales!B$2:B$33,Calculadora_Produccion!J90)*I90+SUMIFS(Inventario_Materiales!H$2:H$33,Inventario_Materiales!B$2:B$33,Calculadora_Produccion!L90)*K90</f>
        <v>2767.1927322033903</v>
      </c>
      <c r="P90" s="17">
        <f>N90*Configuracion_Costos!$B$4*Configuracion_Costos!$B$5</f>
        <v>42.461084745762712</v>
      </c>
      <c r="Q90" s="18">
        <f>N90*Configuracion_Costos!$B$8</f>
        <v>251.4728813559322</v>
      </c>
      <c r="T90" s="17">
        <f t="shared" si="25"/>
        <v>3061.126698305085</v>
      </c>
      <c r="U90" s="17">
        <f>T90*(1+Configuracion_Costos!$B$7)</f>
        <v>8571.1547552542379</v>
      </c>
      <c r="V90" s="18">
        <f t="shared" si="26"/>
        <v>1714.2309510508476</v>
      </c>
      <c r="W90" s="18">
        <f t="shared" si="27"/>
        <v>6856.9238042033903</v>
      </c>
      <c r="AC90" s="17">
        <f t="shared" si="15"/>
        <v>505698.13056000002</v>
      </c>
    </row>
    <row r="91" spans="1:30" x14ac:dyDescent="0.3">
      <c r="A91" s="15" t="s">
        <v>322</v>
      </c>
      <c r="B91" s="15" t="s">
        <v>434</v>
      </c>
      <c r="C91" s="20">
        <v>53</v>
      </c>
      <c r="E91" s="15">
        <f>228.4/C91</f>
        <v>4.3094339622641513</v>
      </c>
      <c r="F91" s="15" t="s">
        <v>27</v>
      </c>
      <c r="G91" s="15">
        <f>2.54/C91</f>
        <v>4.7924528301886794E-2</v>
      </c>
      <c r="H91" s="15" t="s">
        <v>28</v>
      </c>
      <c r="I91" s="15">
        <f>87.25/C91</f>
        <v>1.6462264150943395</v>
      </c>
      <c r="J91" s="15" t="s">
        <v>156</v>
      </c>
      <c r="M91" s="15">
        <f t="shared" si="24"/>
        <v>6.0035849056603778</v>
      </c>
      <c r="N91" s="15">
        <f>((28*60+52)/60)/C91</f>
        <v>0.54465408805031446</v>
      </c>
      <c r="O91" s="17">
        <f>SUMIFS(Inventario_Materiales!H$2:H$33,Inventario_Materiales!B$2:B$33,Calculadora_Produccion!F91)*E91+SUMIFS(Inventario_Materiales!H$2:H$33,Inventario_Materiales!B$2:B$33,H91)*G91+SUMIFS(Inventario_Materiales!H$2:H$33,Inventario_Materiales!B$2:B$33,Calculadora_Produccion!J91)*I91+SUMIFS(Inventario_Materiales!H$2:H$33,Inventario_Materiales!B$2:B$33,Calculadora_Produccion!L91)*K91</f>
        <v>1949.2951924528304</v>
      </c>
      <c r="P91" s="17">
        <f>N91*Configuracion_Costos!$B$4*Configuracion_Costos!$B$5</f>
        <v>62.351999999999997</v>
      </c>
      <c r="Q91" s="18">
        <f>N91*Configuracion_Costos!$B$8</f>
        <v>369.27547169811322</v>
      </c>
      <c r="T91" s="17">
        <f t="shared" si="25"/>
        <v>2380.9226641509435</v>
      </c>
      <c r="U91" s="17">
        <f>T91*(1+Configuracion_Costos!$B$7)</f>
        <v>6666.5834596226414</v>
      </c>
      <c r="V91" s="18">
        <f t="shared" si="26"/>
        <v>1333.3166919245284</v>
      </c>
      <c r="W91" s="18">
        <f t="shared" si="27"/>
        <v>5333.2667676981127</v>
      </c>
      <c r="AC91" s="17">
        <f t="shared" si="15"/>
        <v>353328.92336000002</v>
      </c>
    </row>
    <row r="92" spans="1:30" x14ac:dyDescent="0.3">
      <c r="A92" s="15" t="s">
        <v>323</v>
      </c>
      <c r="B92" s="15" t="s">
        <v>435</v>
      </c>
      <c r="C92" s="20">
        <v>1</v>
      </c>
      <c r="E92" s="15">
        <f>59.18+17.93/C92</f>
        <v>77.11</v>
      </c>
      <c r="F92" s="15" t="s">
        <v>28</v>
      </c>
      <c r="M92" s="15">
        <f t="shared" si="24"/>
        <v>77.11</v>
      </c>
      <c r="N92" s="15">
        <f>((6*60+48+29)/60)/C92</f>
        <v>7.2833333333333332</v>
      </c>
      <c r="O92" s="17">
        <f>SUMIFS(Inventario_Materiales!H$2:H$33,Inventario_Materiales!B$2:B$33,Calculadora_Produccion!F92)*E92+SUMIFS(Inventario_Materiales!H$2:H$33,Inventario_Materiales!B$2:B$33,H92)*G92+SUMIFS(Inventario_Materiales!H$2:H$33,Inventario_Materiales!B$2:B$33,Calculadora_Produccion!J92)*I92+SUMIFS(Inventario_Materiales!H$2:H$33,Inventario_Materiales!B$2:B$33,Calculadora_Produccion!L92)*K92</f>
        <v>24280.396799999999</v>
      </c>
      <c r="P92" s="17">
        <f>N92*Configuracion_Costos!$B$4*Configuracion_Costos!$B$5</f>
        <v>833.79600000000005</v>
      </c>
      <c r="Q92" s="18">
        <f>N92*Configuracion_Costos!$B$8</f>
        <v>4938.1000000000004</v>
      </c>
      <c r="T92" s="17">
        <f t="shared" si="25"/>
        <v>30052.292799999996</v>
      </c>
      <c r="U92" s="17">
        <f>T92*(1+Configuracion_Costos!$B$7)</f>
        <v>84146.419839999988</v>
      </c>
      <c r="V92" s="18">
        <f t="shared" si="26"/>
        <v>16829.283968</v>
      </c>
      <c r="W92" s="18">
        <f t="shared" si="27"/>
        <v>67317.135871999984</v>
      </c>
      <c r="AC92" s="17">
        <f t="shared" si="15"/>
        <v>84146.419839999988</v>
      </c>
    </row>
    <row r="93" spans="1:30" x14ac:dyDescent="0.3">
      <c r="A93" s="15" t="s">
        <v>324</v>
      </c>
      <c r="B93" s="15" t="s">
        <v>436</v>
      </c>
      <c r="C93" s="20">
        <v>70</v>
      </c>
      <c r="M93" s="15">
        <f t="shared" si="24"/>
        <v>0</v>
      </c>
      <c r="N93" s="15">
        <f t="shared" ref="N93:N137" si="28">((6*60+38)/60)/C93</f>
        <v>9.4761904761904769E-2</v>
      </c>
      <c r="O93" s="17">
        <f>SUMIFS(Inventario_Materiales!H$2:H$33,Inventario_Materiales!B$2:B$33,Calculadora_Produccion!F93)*E93+SUMIFS(Inventario_Materiales!H$2:H$33,Inventario_Materiales!B$2:B$33,H93)*G93+SUMIFS(Inventario_Materiales!H$2:H$33,Inventario_Materiales!B$2:B$33,Calculadora_Produccion!J93)*I93+SUMIFS(Inventario_Materiales!H$2:H$33,Inventario_Materiales!B$2:B$33,Calculadora_Produccion!L93)*K93</f>
        <v>0</v>
      </c>
      <c r="P93" s="17">
        <f>N93*Configuracion_Costos!$B$4*Configuracion_Costos!$B$5</f>
        <v>10.848342857142859</v>
      </c>
      <c r="Q93" s="18">
        <f>N93*Configuracion_Costos!$B$8</f>
        <v>64.248571428571438</v>
      </c>
      <c r="T93" s="17">
        <f t="shared" si="25"/>
        <v>75.096914285714291</v>
      </c>
      <c r="U93" s="17">
        <f>T93*(1+Configuracion_Costos!$B$7)</f>
        <v>210.27136000000002</v>
      </c>
      <c r="V93" s="18">
        <f t="shared" si="26"/>
        <v>42.054272000000005</v>
      </c>
      <c r="W93" s="18">
        <f t="shared" si="27"/>
        <v>168.21708800000002</v>
      </c>
      <c r="AC93" s="17">
        <f t="shared" si="15"/>
        <v>14718.995200000001</v>
      </c>
    </row>
    <row r="94" spans="1:30" x14ac:dyDescent="0.3">
      <c r="A94" s="15" t="s">
        <v>325</v>
      </c>
      <c r="B94" s="15" t="s">
        <v>437</v>
      </c>
      <c r="C94" s="20">
        <v>1</v>
      </c>
      <c r="E94" s="15">
        <v>100</v>
      </c>
      <c r="F94" s="15" t="s">
        <v>27</v>
      </c>
      <c r="M94" s="15">
        <f t="shared" si="24"/>
        <v>100</v>
      </c>
      <c r="N94" s="15">
        <f>((5*60+20)/60)/C94</f>
        <v>5.333333333333333</v>
      </c>
      <c r="O94" s="17">
        <f>SUMIFS(Inventario_Materiales!H$2:H$33,Inventario_Materiales!B$2:B$33,Calculadora_Produccion!F94)*E94+SUMIFS(Inventario_Materiales!H$2:H$33,Inventario_Materiales!B$2:B$33,H94)*G94+SUMIFS(Inventario_Materiales!H$2:H$33,Inventario_Materiales!B$2:B$33,Calculadora_Produccion!J94)*I94+SUMIFS(Inventario_Materiales!H$2:H$33,Inventario_Materiales!B$2:B$33,Calculadora_Produccion!L94)*K94</f>
        <v>42400</v>
      </c>
      <c r="P94" s="17">
        <f>N94*Configuracion_Costos!$B$4*Configuracion_Costos!$B$5</f>
        <v>610.55999999999995</v>
      </c>
      <c r="Q94" s="18">
        <f>N94*Configuracion_Costos!$B$8</f>
        <v>3616</v>
      </c>
      <c r="T94" s="17">
        <f t="shared" si="25"/>
        <v>46626.559999999998</v>
      </c>
      <c r="U94" s="17">
        <f>T94*(1+Configuracion_Costos!$B$7)</f>
        <v>130554.36799999999</v>
      </c>
      <c r="V94" s="18">
        <f t="shared" si="26"/>
        <v>26110.873599999999</v>
      </c>
      <c r="W94" s="18">
        <f t="shared" si="27"/>
        <v>104443.4944</v>
      </c>
      <c r="X94" s="15">
        <v>35000</v>
      </c>
      <c r="AC94" s="17">
        <f t="shared" si="15"/>
        <v>130554.36799999999</v>
      </c>
    </row>
    <row r="95" spans="1:30" x14ac:dyDescent="0.3">
      <c r="A95" s="15" t="s">
        <v>326</v>
      </c>
      <c r="B95" s="15" t="s">
        <v>438</v>
      </c>
      <c r="C95" s="20">
        <v>35</v>
      </c>
      <c r="E95" s="15">
        <f>227.82/C95</f>
        <v>6.5091428571428569</v>
      </c>
      <c r="F95" s="15" t="s">
        <v>154</v>
      </c>
      <c r="G95" s="15">
        <f>1.81/C95</f>
        <v>5.1714285714285713E-2</v>
      </c>
      <c r="H95" s="15" t="s">
        <v>27</v>
      </c>
      <c r="I95" s="15">
        <f>7.5/C95</f>
        <v>0.21428571428571427</v>
      </c>
      <c r="J95" s="15" t="s">
        <v>28</v>
      </c>
      <c r="M95" s="15">
        <f t="shared" si="24"/>
        <v>6.7751428571428569</v>
      </c>
      <c r="N95" s="15">
        <f>((17*60+54)/60)/C95</f>
        <v>0.51142857142857134</v>
      </c>
      <c r="O95" s="17">
        <f>SUMIFS(Inventario_Materiales!H$2:H$33,Inventario_Materiales!B$2:B$33,Calculadora_Produccion!F95)*E95+SUMIFS(Inventario_Materiales!H$2:H$33,Inventario_Materiales!B$2:B$33,H95)*G95+SUMIFS(Inventario_Materiales!H$2:H$33,Inventario_Materiales!B$2:B$33,Calculadora_Produccion!J95)*I95+SUMIFS(Inventario_Materiales!H$2:H$33,Inventario_Materiales!B$2:B$33,Calculadora_Produccion!L95)*K95</f>
        <v>512.49542857142865</v>
      </c>
      <c r="P95" s="17">
        <f>N95*Configuracion_Costos!$B$4*Configuracion_Costos!$B$5</f>
        <v>58.548342857142849</v>
      </c>
      <c r="Q95" s="18">
        <f>N95*Configuracion_Costos!$B$8</f>
        <v>346.74857142857138</v>
      </c>
      <c r="T95" s="17">
        <f t="shared" si="25"/>
        <v>917.7923428571429</v>
      </c>
      <c r="U95" s="17">
        <f>T95*(1+Configuracion_Costos!$B$7)</f>
        <v>2569.8185600000002</v>
      </c>
      <c r="V95" s="18">
        <f t="shared" si="26"/>
        <v>513.9637120000001</v>
      </c>
      <c r="W95" s="18">
        <f t="shared" si="27"/>
        <v>2055.8548479999999</v>
      </c>
      <c r="AC95" s="17">
        <f t="shared" si="15"/>
        <v>89943.649600000004</v>
      </c>
    </row>
    <row r="96" spans="1:30" x14ac:dyDescent="0.3">
      <c r="A96" s="49" t="s">
        <v>327</v>
      </c>
      <c r="B96" s="49" t="s">
        <v>439</v>
      </c>
      <c r="C96" s="50">
        <v>23</v>
      </c>
      <c r="D96" s="15"/>
      <c r="M96" s="15">
        <f>+SUM(E96,G96,I96,K96)</f>
        <v>0</v>
      </c>
      <c r="N96" s="15">
        <f>((3*60+59)/60)/C96</f>
        <v>0.17318840579710146</v>
      </c>
      <c r="O96" s="17">
        <f>SUMIFS(Inventario_Materiales!H$2:H$33,Inventario_Materiales!B$2:B$33,Calculadora_Produccion!F96)*E96+SUMIFS(Inventario_Materiales!H$2:H$33,Inventario_Materiales!B$2:B$33,H96)*G96+SUMIFS(Inventario_Materiales!H$2:H$33,Inventario_Materiales!B$2:B$33,Calculadora_Produccion!J96)*I96+SUMIFS(Inventario_Materiales!H$2:H$33,Inventario_Materiales!B$2:B$33,Calculadora_Produccion!L96)*K96</f>
        <v>0</v>
      </c>
      <c r="P96" s="17">
        <f>N96*Configuracion_Costos!$B$4*Configuracion_Costos!$B$5</f>
        <v>19.826608695652176</v>
      </c>
      <c r="Q96" s="18">
        <f>N96*Configuracion_Costos!$B$8</f>
        <v>117.42173913043479</v>
      </c>
      <c r="T96" s="17">
        <f>SUM(O96:S96)</f>
        <v>137.24834782608696</v>
      </c>
      <c r="U96" s="17">
        <f>T96*(1+Configuracion_Costos!$B$7)</f>
        <v>384.29537391304348</v>
      </c>
      <c r="V96" s="18">
        <f>U96*0.2</f>
        <v>76.859074782608701</v>
      </c>
      <c r="W96" s="18">
        <f>U96-V96</f>
        <v>307.4362991304348</v>
      </c>
      <c r="AC96" s="17">
        <f>+U96*C96</f>
        <v>8838.7936000000009</v>
      </c>
      <c r="AD96" s="17"/>
    </row>
    <row r="97" spans="1:30" x14ac:dyDescent="0.3">
      <c r="A97" s="49" t="s">
        <v>327</v>
      </c>
      <c r="B97" s="49" t="s">
        <v>439</v>
      </c>
      <c r="C97" s="50">
        <v>23</v>
      </c>
      <c r="D97" s="15"/>
      <c r="M97" s="15">
        <f t="shared" si="24"/>
        <v>0</v>
      </c>
      <c r="N97" s="15">
        <f>((3*60+59)/60)/C97</f>
        <v>0.17318840579710146</v>
      </c>
      <c r="O97" s="17">
        <f>SUMIFS(Inventario_Materiales!H$2:H$33,Inventario_Materiales!B$2:B$33,Calculadora_Produccion!F97)*E97+SUMIFS(Inventario_Materiales!H$2:H$33,Inventario_Materiales!B$2:B$33,H97)*G97+SUMIFS(Inventario_Materiales!H$2:H$33,Inventario_Materiales!B$2:B$33,Calculadora_Produccion!J97)*I97+SUMIFS(Inventario_Materiales!H$2:H$33,Inventario_Materiales!B$2:B$33,Calculadora_Produccion!L97)*K97</f>
        <v>0</v>
      </c>
      <c r="P97" s="17">
        <f>N97*Configuracion_Costos!$B$4*Configuracion_Costos!$B$5</f>
        <v>19.826608695652176</v>
      </c>
      <c r="Q97" s="18">
        <f>N97*Configuracion_Costos!$B$8</f>
        <v>117.42173913043479</v>
      </c>
      <c r="T97" s="17">
        <f t="shared" si="25"/>
        <v>137.24834782608696</v>
      </c>
      <c r="U97" s="17">
        <f>T97*(1+Configuracion_Costos!$B$7)</f>
        <v>384.29537391304348</v>
      </c>
      <c r="V97" s="18">
        <f t="shared" si="26"/>
        <v>76.859074782608701</v>
      </c>
      <c r="W97" s="18">
        <f t="shared" si="27"/>
        <v>307.4362991304348</v>
      </c>
      <c r="AC97" s="17">
        <f t="shared" si="15"/>
        <v>8838.7936000000009</v>
      </c>
      <c r="AD97" s="17"/>
    </row>
    <row r="98" spans="1:30" x14ac:dyDescent="0.3">
      <c r="A98" s="49" t="s">
        <v>327</v>
      </c>
      <c r="B98" s="49" t="s">
        <v>439</v>
      </c>
      <c r="C98" s="50">
        <v>4</v>
      </c>
      <c r="D98" s="15"/>
      <c r="M98" s="15">
        <f>+SUM(E98,G98,I98,K98)</f>
        <v>0</v>
      </c>
      <c r="N98" s="15">
        <f>((0*60+48)/60)/C98</f>
        <v>0.2</v>
      </c>
      <c r="O98" s="17">
        <f>SUMIFS(Inventario_Materiales!H$2:H$33,Inventario_Materiales!B$2:B$33,Calculadora_Produccion!F98)*E98+SUMIFS(Inventario_Materiales!H$2:H$33,Inventario_Materiales!B$2:B$33,H98)*G98+SUMIFS(Inventario_Materiales!H$2:H$33,Inventario_Materiales!B$2:B$33,Calculadora_Produccion!J98)*I98+SUMIFS(Inventario_Materiales!H$2:H$33,Inventario_Materiales!B$2:B$33,Calculadora_Produccion!L98)*K98</f>
        <v>0</v>
      </c>
      <c r="P98" s="17">
        <f>N98*Configuracion_Costos!$B$4*Configuracion_Costos!$B$5</f>
        <v>22.896000000000001</v>
      </c>
      <c r="Q98" s="18">
        <f>N98*Configuracion_Costos!$B$8</f>
        <v>135.6</v>
      </c>
      <c r="T98" s="17">
        <f>SUM(O98:S98)</f>
        <v>158.49599999999998</v>
      </c>
      <c r="U98" s="17">
        <f>T98*(1+Configuracion_Costos!$B$7)</f>
        <v>443.78879999999992</v>
      </c>
      <c r="V98" s="18">
        <f>U98*0.2</f>
        <v>88.75775999999999</v>
      </c>
      <c r="W98" s="18">
        <f>U98-V98</f>
        <v>355.03103999999996</v>
      </c>
      <c r="AC98" s="17">
        <f>+U98*C98</f>
        <v>1775.1551999999997</v>
      </c>
      <c r="AD98" s="17"/>
    </row>
    <row r="99" spans="1:30" x14ac:dyDescent="0.3">
      <c r="A99" s="49" t="s">
        <v>328</v>
      </c>
      <c r="B99" s="49"/>
      <c r="C99" s="50">
        <v>50</v>
      </c>
      <c r="D99" s="15"/>
      <c r="M99" s="15">
        <f t="shared" si="24"/>
        <v>0</v>
      </c>
      <c r="N99" s="15">
        <f>((2*60+50)/60)/C99</f>
        <v>5.6666666666666671E-2</v>
      </c>
      <c r="O99" s="17">
        <f>SUMIFS(Inventario_Materiales!H$2:H$33,Inventario_Materiales!B$2:B$33,Calculadora_Produccion!F99)*E99+SUMIFS(Inventario_Materiales!H$2:H$33,Inventario_Materiales!B$2:B$33,H99)*G99+SUMIFS(Inventario_Materiales!H$2:H$33,Inventario_Materiales!B$2:B$33,Calculadora_Produccion!J99)*I99+SUMIFS(Inventario_Materiales!H$2:H$33,Inventario_Materiales!B$2:B$33,Calculadora_Produccion!L99)*K99</f>
        <v>0</v>
      </c>
      <c r="P99" s="17">
        <f>N99*Configuracion_Costos!$B$4*Configuracion_Costos!$B$5</f>
        <v>6.4872000000000005</v>
      </c>
      <c r="Q99" s="18">
        <f>N99*Configuracion_Costos!$B$8</f>
        <v>38.42</v>
      </c>
      <c r="T99" s="17">
        <f t="shared" si="25"/>
        <v>44.907200000000003</v>
      </c>
      <c r="U99" s="17">
        <f>T99*(1+Configuracion_Costos!$B$7)</f>
        <v>125.74016</v>
      </c>
      <c r="V99" s="18">
        <f t="shared" si="26"/>
        <v>25.148032000000001</v>
      </c>
      <c r="W99" s="18">
        <f t="shared" si="27"/>
        <v>100.592128</v>
      </c>
      <c r="AC99" s="17">
        <f t="shared" si="15"/>
        <v>6287.0079999999998</v>
      </c>
      <c r="AD99" s="17"/>
    </row>
    <row r="100" spans="1:30" x14ac:dyDescent="0.3">
      <c r="A100" s="49" t="s">
        <v>329</v>
      </c>
      <c r="B100" s="49"/>
      <c r="C100" s="50">
        <v>20</v>
      </c>
      <c r="D100" s="15"/>
      <c r="M100" s="15">
        <f t="shared" si="24"/>
        <v>0</v>
      </c>
      <c r="N100" s="15">
        <f>((4*60+28)/60)/C100</f>
        <v>0.22333333333333333</v>
      </c>
      <c r="O100" s="17">
        <f>SUMIFS(Inventario_Materiales!H$2:H$33,Inventario_Materiales!B$2:B$33,Calculadora_Produccion!F100)*E100+SUMIFS(Inventario_Materiales!H$2:H$33,Inventario_Materiales!B$2:B$33,H100)*G100+SUMIFS(Inventario_Materiales!H$2:H$33,Inventario_Materiales!B$2:B$33,Calculadora_Produccion!J100)*I100+SUMIFS(Inventario_Materiales!H$2:H$33,Inventario_Materiales!B$2:B$33,Calculadora_Produccion!L100)*K100</f>
        <v>0</v>
      </c>
      <c r="P100" s="17">
        <f>N100*Configuracion_Costos!$B$4*Configuracion_Costos!$B$5</f>
        <v>25.5672</v>
      </c>
      <c r="Q100" s="18">
        <f>N100*Configuracion_Costos!$B$8</f>
        <v>151.41999999999999</v>
      </c>
      <c r="T100" s="17">
        <f t="shared" si="25"/>
        <v>176.98719999999997</v>
      </c>
      <c r="U100" s="17">
        <f>T100*(1+Configuracion_Costos!$B$7)</f>
        <v>495.5641599999999</v>
      </c>
      <c r="V100" s="18">
        <f t="shared" si="26"/>
        <v>99.112831999999983</v>
      </c>
      <c r="W100" s="18">
        <f t="shared" si="27"/>
        <v>396.45132799999993</v>
      </c>
      <c r="AC100" s="17">
        <f>+U100*C100</f>
        <v>9911.283199999998</v>
      </c>
      <c r="AD100" s="17"/>
    </row>
    <row r="101" spans="1:30" x14ac:dyDescent="0.3">
      <c r="A101" s="49" t="s">
        <v>329</v>
      </c>
      <c r="B101" s="49"/>
      <c r="C101" s="50">
        <v>20</v>
      </c>
      <c r="D101" s="15"/>
      <c r="M101" s="15">
        <f>+SUM(E101,G101,I101,K101)</f>
        <v>0</v>
      </c>
      <c r="N101" s="15">
        <f>((4*60+28)/60)/C101</f>
        <v>0.22333333333333333</v>
      </c>
      <c r="O101" s="17">
        <f>SUMIFS(Inventario_Materiales!H$2:H$33,Inventario_Materiales!B$2:B$33,Calculadora_Produccion!F101)*E101+SUMIFS(Inventario_Materiales!H$2:H$33,Inventario_Materiales!B$2:B$33,H101)*G101+SUMIFS(Inventario_Materiales!H$2:H$33,Inventario_Materiales!B$2:B$33,Calculadora_Produccion!J101)*I101+SUMIFS(Inventario_Materiales!H$2:H$33,Inventario_Materiales!B$2:B$33,Calculadora_Produccion!L101)*K101</f>
        <v>0</v>
      </c>
      <c r="P101" s="17">
        <f>N101*Configuracion_Costos!$B$4*Configuracion_Costos!$B$5</f>
        <v>25.5672</v>
      </c>
      <c r="Q101" s="18">
        <f>N101*Configuracion_Costos!$B$8</f>
        <v>151.41999999999999</v>
      </c>
      <c r="T101" s="17">
        <f>SUM(O101:S101)</f>
        <v>176.98719999999997</v>
      </c>
      <c r="U101" s="17">
        <f>T101*(1+Configuracion_Costos!$B$7)</f>
        <v>495.5641599999999</v>
      </c>
      <c r="V101" s="18">
        <f>U101*0.2</f>
        <v>99.112831999999983</v>
      </c>
      <c r="W101" s="18">
        <f>U101-V101</f>
        <v>396.45132799999993</v>
      </c>
      <c r="AC101" s="17">
        <f>+U101*C101</f>
        <v>9911.283199999998</v>
      </c>
      <c r="AD101" s="17"/>
    </row>
    <row r="102" spans="1:30" x14ac:dyDescent="0.3">
      <c r="A102" s="49" t="s">
        <v>330</v>
      </c>
      <c r="B102" s="49"/>
      <c r="C102" s="50">
        <v>10</v>
      </c>
      <c r="D102" s="15"/>
      <c r="M102" s="15">
        <f t="shared" si="24"/>
        <v>0</v>
      </c>
      <c r="N102" s="15">
        <f>((1*60+53)/60)/C102</f>
        <v>0.18833333333333332</v>
      </c>
      <c r="O102" s="17">
        <f>SUMIFS(Inventario_Materiales!H$2:H$33,Inventario_Materiales!B$2:B$33,Calculadora_Produccion!F102)*E102+SUMIFS(Inventario_Materiales!H$2:H$33,Inventario_Materiales!B$2:B$33,H102)*G102+SUMIFS(Inventario_Materiales!H$2:H$33,Inventario_Materiales!B$2:B$33,Calculadora_Produccion!J102)*I102+SUMIFS(Inventario_Materiales!H$2:H$33,Inventario_Materiales!B$2:B$33,Calculadora_Produccion!L102)*K102</f>
        <v>0</v>
      </c>
      <c r="P102" s="17">
        <f>N102*Configuracion_Costos!$B$4*Configuracion_Costos!$B$5</f>
        <v>21.560399999999998</v>
      </c>
      <c r="Q102" s="18">
        <f>N102*Configuracion_Costos!$B$8</f>
        <v>127.69</v>
      </c>
      <c r="T102" s="17">
        <f t="shared" si="25"/>
        <v>149.25039999999998</v>
      </c>
      <c r="U102" s="17">
        <f>T102*(1+Configuracion_Costos!$B$7)</f>
        <v>417.90111999999993</v>
      </c>
      <c r="V102" s="18">
        <f t="shared" si="26"/>
        <v>83.580223999999987</v>
      </c>
      <c r="W102" s="18">
        <f t="shared" si="27"/>
        <v>334.32089599999995</v>
      </c>
      <c r="AC102" s="17">
        <f t="shared" si="15"/>
        <v>4179.011199999999</v>
      </c>
      <c r="AD102" s="17"/>
    </row>
    <row r="103" spans="1:30" x14ac:dyDescent="0.3">
      <c r="A103" s="15">
        <v>85</v>
      </c>
      <c r="B103" s="15" t="s">
        <v>440</v>
      </c>
      <c r="C103" s="20">
        <v>1</v>
      </c>
      <c r="E103" s="15">
        <f>17.63</f>
        <v>17.63</v>
      </c>
      <c r="F103" s="15" t="s">
        <v>158</v>
      </c>
      <c r="M103" s="15">
        <f t="shared" si="24"/>
        <v>17.63</v>
      </c>
      <c r="N103" s="15">
        <f>((1*60+17)/60)/C103</f>
        <v>1.2833333333333334</v>
      </c>
      <c r="O103" s="17">
        <f>SUMIFS(Inventario_Materiales!H$2:H$33,Inventario_Materiales!B$2:B$33,Calculadora_Produccion!F103)*E103+SUMIFS(Inventario_Materiales!H$2:H$33,Inventario_Materiales!B$2:B$33,H103)*G103+SUMIFS(Inventario_Materiales!H$2:H$33,Inventario_Materiales!B$2:B$33,Calculadora_Produccion!J103)*I103+SUMIFS(Inventario_Materiales!H$2:H$33,Inventario_Materiales!B$2:B$33,Calculadora_Produccion!L103)*K103</f>
        <v>1763</v>
      </c>
      <c r="P103" s="17">
        <f>N103*Configuracion_Costos!$B$4*Configuracion_Costos!$B$5</f>
        <v>146.91600000000003</v>
      </c>
      <c r="Q103" s="18">
        <f>N103*Configuracion_Costos!$B$8</f>
        <v>870.1</v>
      </c>
      <c r="T103" s="17">
        <f t="shared" si="25"/>
        <v>2780.0160000000001</v>
      </c>
      <c r="U103" s="17">
        <f>T103*(1+Configuracion_Costos!$B$7)</f>
        <v>7784.0447999999997</v>
      </c>
      <c r="V103" s="18">
        <f t="shared" si="26"/>
        <v>1556.8089600000001</v>
      </c>
      <c r="W103" s="18">
        <f t="shared" si="27"/>
        <v>6227.2358399999994</v>
      </c>
      <c r="AC103" s="17">
        <f t="shared" si="15"/>
        <v>7784.0447999999997</v>
      </c>
    </row>
    <row r="104" spans="1:30" x14ac:dyDescent="0.3">
      <c r="A104" s="15" t="s">
        <v>331</v>
      </c>
      <c r="B104" s="15" t="s">
        <v>441</v>
      </c>
      <c r="C104" s="20">
        <v>16</v>
      </c>
      <c r="E104" s="15">
        <f>118.95/C104</f>
        <v>7.4343750000000002</v>
      </c>
      <c r="F104" s="15" t="s">
        <v>27</v>
      </c>
      <c r="M104" s="15">
        <f t="shared" si="24"/>
        <v>7.4343750000000002</v>
      </c>
      <c r="N104" s="15">
        <f>((7*60+12)/60)/C104</f>
        <v>0.45</v>
      </c>
      <c r="O104" s="17">
        <f>SUMIFS(Inventario_Materiales!H$2:H$33,Inventario_Materiales!B$2:B$33,Calculadora_Produccion!F104)*E104+SUMIFS(Inventario_Materiales!H$2:H$33,Inventario_Materiales!B$2:B$33,H104)*G104+SUMIFS(Inventario_Materiales!H$2:H$33,Inventario_Materiales!B$2:B$33,Calculadora_Produccion!J104)*I104+SUMIFS(Inventario_Materiales!H$2:H$33,Inventario_Materiales!B$2:B$33,Calculadora_Produccion!L104)*K104</f>
        <v>3152.1750000000002</v>
      </c>
      <c r="P104" s="17">
        <f>N104*Configuracion_Costos!$B$4*Configuracion_Costos!$B$5</f>
        <v>51.516000000000005</v>
      </c>
      <c r="Q104" s="18">
        <f>N104*Configuracion_Costos!$B$8</f>
        <v>305.10000000000002</v>
      </c>
      <c r="T104" s="17">
        <f t="shared" si="25"/>
        <v>3508.7910000000002</v>
      </c>
      <c r="U104" s="17">
        <f>T104*(1+Configuracion_Costos!$B$7)</f>
        <v>9824.6147999999994</v>
      </c>
      <c r="V104" s="18">
        <f t="shared" si="26"/>
        <v>1964.9229599999999</v>
      </c>
      <c r="W104" s="18">
        <f t="shared" si="27"/>
        <v>7859.6918399999995</v>
      </c>
      <c r="AC104" s="17">
        <f t="shared" si="15"/>
        <v>157193.83679999999</v>
      </c>
    </row>
    <row r="105" spans="1:30" x14ac:dyDescent="0.3">
      <c r="A105" s="15" t="s">
        <v>332</v>
      </c>
      <c r="B105" s="15" t="s">
        <v>442</v>
      </c>
      <c r="C105" s="20">
        <v>24</v>
      </c>
      <c r="E105" s="15">
        <f>216.31/C105</f>
        <v>9.0129166666666674</v>
      </c>
      <c r="F105" s="15" t="s">
        <v>152</v>
      </c>
      <c r="G105" s="15">
        <f>39.22/C105</f>
        <v>1.6341666666666665</v>
      </c>
      <c r="H105" s="15" t="s">
        <v>154</v>
      </c>
      <c r="I105" s="15">
        <f>6.05/C105</f>
        <v>0.25208333333333333</v>
      </c>
      <c r="J105" s="15" t="s">
        <v>28</v>
      </c>
      <c r="M105" s="15">
        <f t="shared" si="24"/>
        <v>10.899166666666668</v>
      </c>
      <c r="N105" s="15">
        <f>((15*60+2)/60)/C105</f>
        <v>0.62638888888888888</v>
      </c>
      <c r="O105" s="17">
        <f>SUMIFS(Inventario_Materiales!H$2:H$33,Inventario_Materiales!B$2:B$33,Calculadora_Produccion!F105)*E105+SUMIFS(Inventario_Materiales!H$2:H$33,Inventario_Materiales!B$2:B$33,H105)*G105+SUMIFS(Inventario_Materiales!H$2:H$33,Inventario_Materiales!B$2:B$33,Calculadora_Produccion!J105)*I105+SUMIFS(Inventario_Materiales!H$2:H$33,Inventario_Materiales!B$2:B$33,Calculadora_Produccion!L105)*K105</f>
        <v>771.43641666666667</v>
      </c>
      <c r="P105" s="17">
        <f>N105*Configuracion_Costos!$B$4*Configuracion_Costos!$B$5</f>
        <v>71.709000000000003</v>
      </c>
      <c r="Q105" s="18">
        <f>N105*Configuracion_Costos!$B$8</f>
        <v>424.69166666666666</v>
      </c>
      <c r="T105" s="17">
        <f t="shared" si="25"/>
        <v>1267.8370833333333</v>
      </c>
      <c r="U105" s="17">
        <f>T105*(1+Configuracion_Costos!$B$7)</f>
        <v>3549.9438333333333</v>
      </c>
      <c r="V105" s="18">
        <f t="shared" si="26"/>
        <v>709.98876666666672</v>
      </c>
      <c r="W105" s="18">
        <f t="shared" si="27"/>
        <v>2839.9550666666664</v>
      </c>
      <c r="AC105" s="17">
        <f t="shared" si="15"/>
        <v>85198.652000000002</v>
      </c>
    </row>
    <row r="106" spans="1:30" x14ac:dyDescent="0.3">
      <c r="A106" s="15" t="s">
        <v>333</v>
      </c>
      <c r="B106" s="15" t="s">
        <v>459</v>
      </c>
      <c r="C106" s="20">
        <v>30</v>
      </c>
      <c r="E106" s="19">
        <f>83.91/C106</f>
        <v>2.7969999999999997</v>
      </c>
      <c r="F106" s="15" t="s">
        <v>28</v>
      </c>
      <c r="G106" s="15">
        <f>29.01/C106</f>
        <v>0.96700000000000008</v>
      </c>
      <c r="H106" s="15" t="s">
        <v>27</v>
      </c>
      <c r="M106" s="15">
        <f t="shared" si="24"/>
        <v>3.7639999999999998</v>
      </c>
      <c r="N106" s="15">
        <f>((9*60+49)/60)/C106</f>
        <v>0.32722222222222219</v>
      </c>
      <c r="O106" s="17">
        <f>SUMIFS(Inventario_Materiales!H$2:H$33,Inventario_Materiales!B$2:B$33,Calculadora_Produccion!F106)*E106+SUMIFS(Inventario_Materiales!H$2:H$33,Inventario_Materiales!B$2:B$33,H106)*G106+SUMIFS(Inventario_Materiales!H$2:H$33,Inventario_Materiales!B$2:B$33,Calculadora_Produccion!J106)*I106+SUMIFS(Inventario_Materiales!H$2:H$33,Inventario_Materiales!B$2:B$33,Calculadora_Produccion!L106)*K106</f>
        <v>1290.7273599999999</v>
      </c>
      <c r="P106" s="17">
        <f>N106*Configuracion_Costos!$B$4*Configuracion_Costos!$B$5</f>
        <v>37.4604</v>
      </c>
      <c r="Q106" s="18">
        <f>N106*Configuracion_Costos!$B$8</f>
        <v>221.85666666666665</v>
      </c>
      <c r="T106" s="17">
        <f t="shared" si="25"/>
        <v>1550.0444266666664</v>
      </c>
      <c r="U106" s="17">
        <f>T106*(1+Configuracion_Costos!$B$7)</f>
        <v>4340.1243946666655</v>
      </c>
      <c r="V106" s="18">
        <f t="shared" si="26"/>
        <v>868.02487893333318</v>
      </c>
      <c r="W106" s="18">
        <f t="shared" si="27"/>
        <v>3472.0995157333323</v>
      </c>
      <c r="AC106" s="17">
        <f t="shared" si="15"/>
        <v>130203.73183999996</v>
      </c>
    </row>
    <row r="107" spans="1:30" x14ac:dyDescent="0.3">
      <c r="A107" s="15" t="s">
        <v>334</v>
      </c>
      <c r="M107" s="15">
        <f t="shared" si="24"/>
        <v>0</v>
      </c>
      <c r="N107" s="15" t="e">
        <f t="shared" si="28"/>
        <v>#DIV/0!</v>
      </c>
      <c r="O107" s="17">
        <f>SUMIFS(Inventario_Materiales!H$2:H$33,Inventario_Materiales!B$2:B$33,Calculadora_Produccion!F107)*E107+SUMIFS(Inventario_Materiales!H$2:H$33,Inventario_Materiales!B$2:B$33,H107)*G107+SUMIFS(Inventario_Materiales!H$2:H$33,Inventario_Materiales!B$2:B$33,Calculadora_Produccion!J107)*I107+SUMIFS(Inventario_Materiales!H$2:H$33,Inventario_Materiales!B$2:B$33,Calculadora_Produccion!L107)*K107</f>
        <v>0</v>
      </c>
      <c r="P107" s="17" t="e">
        <f>N107*Configuracion_Costos!$B$4*Configuracion_Costos!$B$5</f>
        <v>#DIV/0!</v>
      </c>
      <c r="Q107" s="18" t="e">
        <f>N107*Configuracion_Costos!$B$8</f>
        <v>#DIV/0!</v>
      </c>
      <c r="T107" s="17" t="e">
        <f t="shared" si="25"/>
        <v>#DIV/0!</v>
      </c>
      <c r="U107" s="17" t="e">
        <f>T107*(1+Configuracion_Costos!$B$7)</f>
        <v>#DIV/0!</v>
      </c>
      <c r="V107" s="18" t="e">
        <f t="shared" si="26"/>
        <v>#DIV/0!</v>
      </c>
      <c r="W107" s="18" t="e">
        <f t="shared" si="27"/>
        <v>#DIV/0!</v>
      </c>
      <c r="AC107" s="17" t="e">
        <f t="shared" si="15"/>
        <v>#DIV/0!</v>
      </c>
    </row>
    <row r="108" spans="1:30" x14ac:dyDescent="0.3">
      <c r="A108" s="15" t="s">
        <v>335</v>
      </c>
      <c r="M108" s="15">
        <f t="shared" si="24"/>
        <v>0</v>
      </c>
      <c r="N108" s="15" t="e">
        <f t="shared" si="28"/>
        <v>#DIV/0!</v>
      </c>
      <c r="O108" s="17">
        <f>SUMIFS(Inventario_Materiales!H$2:H$33,Inventario_Materiales!B$2:B$33,Calculadora_Produccion!F108)*E108+SUMIFS(Inventario_Materiales!H$2:H$33,Inventario_Materiales!B$2:B$33,H108)*G108+SUMIFS(Inventario_Materiales!H$2:H$33,Inventario_Materiales!B$2:B$33,Calculadora_Produccion!J108)*I108+SUMIFS(Inventario_Materiales!H$2:H$33,Inventario_Materiales!B$2:B$33,Calculadora_Produccion!L108)*K108</f>
        <v>0</v>
      </c>
      <c r="P108" s="17" t="e">
        <f>N108*Configuracion_Costos!$B$4*Configuracion_Costos!$B$5</f>
        <v>#DIV/0!</v>
      </c>
      <c r="Q108" s="18" t="e">
        <f>N108*Configuracion_Costos!$B$8</f>
        <v>#DIV/0!</v>
      </c>
      <c r="T108" s="17" t="e">
        <f t="shared" si="25"/>
        <v>#DIV/0!</v>
      </c>
      <c r="U108" s="17" t="e">
        <f>T108*(1+Configuracion_Costos!$B$7)</f>
        <v>#DIV/0!</v>
      </c>
      <c r="V108" s="18" t="e">
        <f t="shared" si="26"/>
        <v>#DIV/0!</v>
      </c>
      <c r="W108" s="18" t="e">
        <f t="shared" si="27"/>
        <v>#DIV/0!</v>
      </c>
      <c r="AC108" s="17" t="e">
        <f t="shared" si="15"/>
        <v>#DIV/0!</v>
      </c>
    </row>
    <row r="109" spans="1:30" x14ac:dyDescent="0.3">
      <c r="A109" s="15" t="s">
        <v>336</v>
      </c>
      <c r="M109" s="15">
        <f t="shared" si="24"/>
        <v>0</v>
      </c>
      <c r="N109" s="15" t="e">
        <f t="shared" si="28"/>
        <v>#DIV/0!</v>
      </c>
      <c r="O109" s="17">
        <f>SUMIFS(Inventario_Materiales!H$2:H$33,Inventario_Materiales!B$2:B$33,Calculadora_Produccion!F109)*E109+SUMIFS(Inventario_Materiales!H$2:H$33,Inventario_Materiales!B$2:B$33,H109)*G109+SUMIFS(Inventario_Materiales!H$2:H$33,Inventario_Materiales!B$2:B$33,Calculadora_Produccion!J109)*I109+SUMIFS(Inventario_Materiales!H$2:H$33,Inventario_Materiales!B$2:B$33,Calculadora_Produccion!L109)*K109</f>
        <v>0</v>
      </c>
      <c r="P109" s="17" t="e">
        <f>N109*Configuracion_Costos!$B$4*Configuracion_Costos!$B$5</f>
        <v>#DIV/0!</v>
      </c>
      <c r="Q109" s="18" t="e">
        <f>N109*Configuracion_Costos!$B$8</f>
        <v>#DIV/0!</v>
      </c>
      <c r="T109" s="17" t="e">
        <f t="shared" si="25"/>
        <v>#DIV/0!</v>
      </c>
      <c r="U109" s="17" t="e">
        <f>T109*(1+Configuracion_Costos!$B$7)</f>
        <v>#DIV/0!</v>
      </c>
      <c r="V109" s="18" t="e">
        <f t="shared" si="26"/>
        <v>#DIV/0!</v>
      </c>
      <c r="W109" s="18" t="e">
        <f t="shared" si="27"/>
        <v>#DIV/0!</v>
      </c>
      <c r="AC109" s="17" t="e">
        <f t="shared" si="15"/>
        <v>#DIV/0!</v>
      </c>
    </row>
    <row r="110" spans="1:30" x14ac:dyDescent="0.3">
      <c r="A110" s="15" t="s">
        <v>337</v>
      </c>
      <c r="M110" s="15">
        <f t="shared" si="24"/>
        <v>0</v>
      </c>
      <c r="N110" s="15" t="e">
        <f t="shared" si="28"/>
        <v>#DIV/0!</v>
      </c>
      <c r="O110" s="17">
        <f>SUMIFS(Inventario_Materiales!H$2:H$33,Inventario_Materiales!B$2:B$33,Calculadora_Produccion!F110)*E110+SUMIFS(Inventario_Materiales!H$2:H$33,Inventario_Materiales!B$2:B$33,H110)*G110+SUMIFS(Inventario_Materiales!H$2:H$33,Inventario_Materiales!B$2:B$33,Calculadora_Produccion!J110)*I110+SUMIFS(Inventario_Materiales!H$2:H$33,Inventario_Materiales!B$2:B$33,Calculadora_Produccion!L110)*K110</f>
        <v>0</v>
      </c>
      <c r="P110" s="17" t="e">
        <f>N110*Configuracion_Costos!$B$4*Configuracion_Costos!$B$5</f>
        <v>#DIV/0!</v>
      </c>
      <c r="Q110" s="18" t="e">
        <f>N110*Configuracion_Costos!$B$8</f>
        <v>#DIV/0!</v>
      </c>
      <c r="T110" s="17" t="e">
        <f t="shared" si="25"/>
        <v>#DIV/0!</v>
      </c>
      <c r="U110" s="17" t="e">
        <f>T110*(1+Configuracion_Costos!$B$7)</f>
        <v>#DIV/0!</v>
      </c>
      <c r="V110" s="18" t="e">
        <f t="shared" si="26"/>
        <v>#DIV/0!</v>
      </c>
      <c r="W110" s="18" t="e">
        <f t="shared" si="27"/>
        <v>#DIV/0!</v>
      </c>
      <c r="AC110" s="17" t="e">
        <f t="shared" si="15"/>
        <v>#DIV/0!</v>
      </c>
    </row>
    <row r="111" spans="1:30" x14ac:dyDescent="0.3">
      <c r="A111" s="15" t="s">
        <v>338</v>
      </c>
      <c r="M111" s="15">
        <f t="shared" si="24"/>
        <v>0</v>
      </c>
      <c r="N111" s="15" t="e">
        <f t="shared" si="28"/>
        <v>#DIV/0!</v>
      </c>
      <c r="O111" s="17">
        <f>SUMIFS(Inventario_Materiales!H$2:H$33,Inventario_Materiales!B$2:B$33,Calculadora_Produccion!F111)*E111+SUMIFS(Inventario_Materiales!H$2:H$33,Inventario_Materiales!B$2:B$33,H111)*G111+SUMIFS(Inventario_Materiales!H$2:H$33,Inventario_Materiales!B$2:B$33,Calculadora_Produccion!J111)*I111+SUMIFS(Inventario_Materiales!H$2:H$33,Inventario_Materiales!B$2:B$33,Calculadora_Produccion!L111)*K111</f>
        <v>0</v>
      </c>
      <c r="P111" s="17" t="e">
        <f>N111*Configuracion_Costos!$B$4*Configuracion_Costos!$B$5</f>
        <v>#DIV/0!</v>
      </c>
      <c r="Q111" s="18" t="e">
        <f>N111*Configuracion_Costos!$B$8</f>
        <v>#DIV/0!</v>
      </c>
      <c r="T111" s="17" t="e">
        <f t="shared" si="25"/>
        <v>#DIV/0!</v>
      </c>
      <c r="U111" s="17" t="e">
        <f>T111*(1+Configuracion_Costos!$B$7)</f>
        <v>#DIV/0!</v>
      </c>
      <c r="V111" s="18" t="e">
        <f t="shared" si="26"/>
        <v>#DIV/0!</v>
      </c>
      <c r="W111" s="18" t="e">
        <f t="shared" si="27"/>
        <v>#DIV/0!</v>
      </c>
      <c r="AC111" s="17" t="e">
        <f t="shared" ref="AC111:AC174" si="29">+U111*C111</f>
        <v>#DIV/0!</v>
      </c>
    </row>
    <row r="112" spans="1:30" x14ac:dyDescent="0.3">
      <c r="A112" s="15" t="s">
        <v>339</v>
      </c>
      <c r="M112" s="15">
        <f t="shared" si="24"/>
        <v>0</v>
      </c>
      <c r="N112" s="15" t="e">
        <f t="shared" si="28"/>
        <v>#DIV/0!</v>
      </c>
      <c r="O112" s="17">
        <f>SUMIFS(Inventario_Materiales!H$2:H$33,Inventario_Materiales!B$2:B$33,Calculadora_Produccion!F112)*E112+SUMIFS(Inventario_Materiales!H$2:H$33,Inventario_Materiales!B$2:B$33,H112)*G112+SUMIFS(Inventario_Materiales!H$2:H$33,Inventario_Materiales!B$2:B$33,Calculadora_Produccion!J112)*I112+SUMIFS(Inventario_Materiales!H$2:H$33,Inventario_Materiales!B$2:B$33,Calculadora_Produccion!L112)*K112</f>
        <v>0</v>
      </c>
      <c r="P112" s="17" t="e">
        <f>N112*Configuracion_Costos!$B$4*Configuracion_Costos!$B$5</f>
        <v>#DIV/0!</v>
      </c>
      <c r="Q112" s="18" t="e">
        <f>N112*Configuracion_Costos!$B$8</f>
        <v>#DIV/0!</v>
      </c>
      <c r="T112" s="17" t="e">
        <f t="shared" si="25"/>
        <v>#DIV/0!</v>
      </c>
      <c r="U112" s="17" t="e">
        <f>T112*(1+Configuracion_Costos!$B$7)</f>
        <v>#DIV/0!</v>
      </c>
      <c r="V112" s="18" t="e">
        <f t="shared" si="26"/>
        <v>#DIV/0!</v>
      </c>
      <c r="W112" s="18" t="e">
        <f t="shared" si="27"/>
        <v>#DIV/0!</v>
      </c>
      <c r="AC112" s="17" t="e">
        <f t="shared" si="29"/>
        <v>#DIV/0!</v>
      </c>
    </row>
    <row r="113" spans="1:29" x14ac:dyDescent="0.3">
      <c r="A113" s="15" t="s">
        <v>340</v>
      </c>
      <c r="M113" s="15">
        <f t="shared" si="24"/>
        <v>0</v>
      </c>
      <c r="N113" s="15" t="e">
        <f t="shared" si="28"/>
        <v>#DIV/0!</v>
      </c>
      <c r="O113" s="17">
        <f>SUMIFS(Inventario_Materiales!H$2:H$33,Inventario_Materiales!B$2:B$33,Calculadora_Produccion!F113)*E113+SUMIFS(Inventario_Materiales!H$2:H$33,Inventario_Materiales!B$2:B$33,H113)*G113+SUMIFS(Inventario_Materiales!H$2:H$33,Inventario_Materiales!B$2:B$33,Calculadora_Produccion!J113)*I113+SUMIFS(Inventario_Materiales!H$2:H$33,Inventario_Materiales!B$2:B$33,Calculadora_Produccion!L113)*K113</f>
        <v>0</v>
      </c>
      <c r="P113" s="17" t="e">
        <f>N113*Configuracion_Costos!$B$4*Configuracion_Costos!$B$5</f>
        <v>#DIV/0!</v>
      </c>
      <c r="Q113" s="18" t="e">
        <f>N113*Configuracion_Costos!$B$8</f>
        <v>#DIV/0!</v>
      </c>
      <c r="T113" s="17" t="e">
        <f t="shared" si="25"/>
        <v>#DIV/0!</v>
      </c>
      <c r="U113" s="17" t="e">
        <f>T113*(1+Configuracion_Costos!$B$7)</f>
        <v>#DIV/0!</v>
      </c>
      <c r="V113" s="18" t="e">
        <f t="shared" si="26"/>
        <v>#DIV/0!</v>
      </c>
      <c r="W113" s="18" t="e">
        <f t="shared" si="27"/>
        <v>#DIV/0!</v>
      </c>
      <c r="AC113" s="17" t="e">
        <f t="shared" si="29"/>
        <v>#DIV/0!</v>
      </c>
    </row>
    <row r="114" spans="1:29" x14ac:dyDescent="0.3">
      <c r="A114" s="15" t="s">
        <v>341</v>
      </c>
      <c r="M114" s="15">
        <f t="shared" si="24"/>
        <v>0</v>
      </c>
      <c r="N114" s="15" t="e">
        <f t="shared" si="28"/>
        <v>#DIV/0!</v>
      </c>
      <c r="O114" s="17">
        <f>SUMIFS(Inventario_Materiales!H$2:H$33,Inventario_Materiales!B$2:B$33,Calculadora_Produccion!F114)*E114+SUMIFS(Inventario_Materiales!H$2:H$33,Inventario_Materiales!B$2:B$33,H114)*G114+SUMIFS(Inventario_Materiales!H$2:H$33,Inventario_Materiales!B$2:B$33,Calculadora_Produccion!J114)*I114+SUMIFS(Inventario_Materiales!H$2:H$33,Inventario_Materiales!B$2:B$33,Calculadora_Produccion!L114)*K114</f>
        <v>0</v>
      </c>
      <c r="P114" s="17" t="e">
        <f>N114*Configuracion_Costos!$B$4*Configuracion_Costos!$B$5</f>
        <v>#DIV/0!</v>
      </c>
      <c r="Q114" s="18" t="e">
        <f>N114*Configuracion_Costos!$B$8</f>
        <v>#DIV/0!</v>
      </c>
      <c r="T114" s="17" t="e">
        <f t="shared" si="25"/>
        <v>#DIV/0!</v>
      </c>
      <c r="U114" s="17" t="e">
        <f>T114*(1+Configuracion_Costos!$B$7)</f>
        <v>#DIV/0!</v>
      </c>
      <c r="V114" s="18" t="e">
        <f t="shared" si="26"/>
        <v>#DIV/0!</v>
      </c>
      <c r="W114" s="18" t="e">
        <f t="shared" si="27"/>
        <v>#DIV/0!</v>
      </c>
      <c r="AC114" s="17" t="e">
        <f t="shared" si="29"/>
        <v>#DIV/0!</v>
      </c>
    </row>
    <row r="115" spans="1:29" x14ac:dyDescent="0.3">
      <c r="A115" s="15" t="s">
        <v>342</v>
      </c>
      <c r="M115" s="15">
        <f t="shared" si="24"/>
        <v>0</v>
      </c>
      <c r="N115" s="15" t="e">
        <f t="shared" si="28"/>
        <v>#DIV/0!</v>
      </c>
      <c r="O115" s="17">
        <f>SUMIFS(Inventario_Materiales!H$2:H$33,Inventario_Materiales!B$2:B$33,Calculadora_Produccion!F115)*E115+SUMIFS(Inventario_Materiales!H$2:H$33,Inventario_Materiales!B$2:B$33,H115)*G115+SUMIFS(Inventario_Materiales!H$2:H$33,Inventario_Materiales!B$2:B$33,Calculadora_Produccion!J115)*I115+SUMIFS(Inventario_Materiales!H$2:H$33,Inventario_Materiales!B$2:B$33,Calculadora_Produccion!L115)*K115</f>
        <v>0</v>
      </c>
      <c r="P115" s="17" t="e">
        <f>N115*Configuracion_Costos!$B$4*Configuracion_Costos!$B$5</f>
        <v>#DIV/0!</v>
      </c>
      <c r="Q115" s="18" t="e">
        <f>N115*Configuracion_Costos!$B$8</f>
        <v>#DIV/0!</v>
      </c>
      <c r="T115" s="17" t="e">
        <f t="shared" si="25"/>
        <v>#DIV/0!</v>
      </c>
      <c r="U115" s="17" t="e">
        <f>T115*(1+Configuracion_Costos!$B$7)</f>
        <v>#DIV/0!</v>
      </c>
      <c r="V115" s="18" t="e">
        <f t="shared" si="26"/>
        <v>#DIV/0!</v>
      </c>
      <c r="W115" s="18" t="e">
        <f t="shared" si="27"/>
        <v>#DIV/0!</v>
      </c>
      <c r="AC115" s="17" t="e">
        <f t="shared" si="29"/>
        <v>#DIV/0!</v>
      </c>
    </row>
    <row r="116" spans="1:29" x14ac:dyDescent="0.3">
      <c r="A116" s="15" t="s">
        <v>343</v>
      </c>
      <c r="M116" s="15">
        <f t="shared" si="24"/>
        <v>0</v>
      </c>
      <c r="N116" s="15" t="e">
        <f t="shared" si="28"/>
        <v>#DIV/0!</v>
      </c>
      <c r="O116" s="17">
        <f>SUMIFS(Inventario_Materiales!H$2:H$33,Inventario_Materiales!B$2:B$33,Calculadora_Produccion!F116)*E116+SUMIFS(Inventario_Materiales!H$2:H$33,Inventario_Materiales!B$2:B$33,H116)*G116+SUMIFS(Inventario_Materiales!H$2:H$33,Inventario_Materiales!B$2:B$33,Calculadora_Produccion!J116)*I116+SUMIFS(Inventario_Materiales!H$2:H$33,Inventario_Materiales!B$2:B$33,Calculadora_Produccion!L116)*K116</f>
        <v>0</v>
      </c>
      <c r="P116" s="17" t="e">
        <f>N116*Configuracion_Costos!$B$4*Configuracion_Costos!$B$5</f>
        <v>#DIV/0!</v>
      </c>
      <c r="Q116" s="18" t="e">
        <f>N116*Configuracion_Costos!$B$8</f>
        <v>#DIV/0!</v>
      </c>
      <c r="T116" s="17" t="e">
        <f t="shared" si="25"/>
        <v>#DIV/0!</v>
      </c>
      <c r="U116" s="17" t="e">
        <f>T116*(1+Configuracion_Costos!$B$7)</f>
        <v>#DIV/0!</v>
      </c>
      <c r="V116" s="18" t="e">
        <f t="shared" si="26"/>
        <v>#DIV/0!</v>
      </c>
      <c r="W116" s="18" t="e">
        <f t="shared" si="27"/>
        <v>#DIV/0!</v>
      </c>
      <c r="AC116" s="17" t="e">
        <f t="shared" si="29"/>
        <v>#DIV/0!</v>
      </c>
    </row>
    <row r="117" spans="1:29" x14ac:dyDescent="0.3">
      <c r="A117" s="15" t="s">
        <v>344</v>
      </c>
      <c r="M117" s="15">
        <f t="shared" si="24"/>
        <v>0</v>
      </c>
      <c r="N117" s="15" t="e">
        <f t="shared" si="28"/>
        <v>#DIV/0!</v>
      </c>
      <c r="O117" s="17">
        <f>SUMIFS(Inventario_Materiales!H$2:H$33,Inventario_Materiales!B$2:B$33,Calculadora_Produccion!F117)*E117+SUMIFS(Inventario_Materiales!H$2:H$33,Inventario_Materiales!B$2:B$33,H117)*G117+SUMIFS(Inventario_Materiales!H$2:H$33,Inventario_Materiales!B$2:B$33,Calculadora_Produccion!J117)*I117+SUMIFS(Inventario_Materiales!H$2:H$33,Inventario_Materiales!B$2:B$33,Calculadora_Produccion!L117)*K117</f>
        <v>0</v>
      </c>
      <c r="P117" s="17" t="e">
        <f>N117*Configuracion_Costos!$B$4*Configuracion_Costos!$B$5</f>
        <v>#DIV/0!</v>
      </c>
      <c r="Q117" s="18" t="e">
        <f>N117*Configuracion_Costos!$B$8</f>
        <v>#DIV/0!</v>
      </c>
      <c r="T117" s="17" t="e">
        <f t="shared" si="25"/>
        <v>#DIV/0!</v>
      </c>
      <c r="U117" s="17" t="e">
        <f>T117*(1+Configuracion_Costos!$B$7)</f>
        <v>#DIV/0!</v>
      </c>
      <c r="V117" s="18" t="e">
        <f t="shared" si="26"/>
        <v>#DIV/0!</v>
      </c>
      <c r="W117" s="18" t="e">
        <f t="shared" si="27"/>
        <v>#DIV/0!</v>
      </c>
      <c r="AC117" s="17" t="e">
        <f t="shared" si="29"/>
        <v>#DIV/0!</v>
      </c>
    </row>
    <row r="118" spans="1:29" x14ac:dyDescent="0.3">
      <c r="A118" s="15" t="s">
        <v>345</v>
      </c>
      <c r="M118" s="15">
        <f t="shared" si="24"/>
        <v>0</v>
      </c>
      <c r="N118" s="15" t="e">
        <f t="shared" si="28"/>
        <v>#DIV/0!</v>
      </c>
      <c r="O118" s="17">
        <f>SUMIFS(Inventario_Materiales!H$2:H$33,Inventario_Materiales!B$2:B$33,Calculadora_Produccion!F118)*E118+SUMIFS(Inventario_Materiales!H$2:H$33,Inventario_Materiales!B$2:B$33,H118)*G118+SUMIFS(Inventario_Materiales!H$2:H$33,Inventario_Materiales!B$2:B$33,Calculadora_Produccion!J118)*I118+SUMIFS(Inventario_Materiales!H$2:H$33,Inventario_Materiales!B$2:B$33,Calculadora_Produccion!L118)*K118</f>
        <v>0</v>
      </c>
      <c r="P118" s="17" t="e">
        <f>N118*Configuracion_Costos!$B$4*Configuracion_Costos!$B$5</f>
        <v>#DIV/0!</v>
      </c>
      <c r="Q118" s="18" t="e">
        <f>N118*Configuracion_Costos!$B$8</f>
        <v>#DIV/0!</v>
      </c>
      <c r="T118" s="17" t="e">
        <f t="shared" si="25"/>
        <v>#DIV/0!</v>
      </c>
      <c r="U118" s="17" t="e">
        <f>T118*(1+Configuracion_Costos!$B$7)</f>
        <v>#DIV/0!</v>
      </c>
      <c r="V118" s="18" t="e">
        <f t="shared" si="26"/>
        <v>#DIV/0!</v>
      </c>
      <c r="W118" s="18" t="e">
        <f t="shared" si="27"/>
        <v>#DIV/0!</v>
      </c>
      <c r="AC118" s="17" t="e">
        <f t="shared" si="29"/>
        <v>#DIV/0!</v>
      </c>
    </row>
    <row r="119" spans="1:29" x14ac:dyDescent="0.3">
      <c r="A119" s="15" t="s">
        <v>346</v>
      </c>
      <c r="M119" s="15">
        <f t="shared" si="24"/>
        <v>0</v>
      </c>
      <c r="N119" s="15" t="e">
        <f t="shared" si="28"/>
        <v>#DIV/0!</v>
      </c>
      <c r="O119" s="17">
        <f>SUMIFS(Inventario_Materiales!H$2:H$33,Inventario_Materiales!B$2:B$33,Calculadora_Produccion!F119)*E119+SUMIFS(Inventario_Materiales!H$2:H$33,Inventario_Materiales!B$2:B$33,H119)*G119+SUMIFS(Inventario_Materiales!H$2:H$33,Inventario_Materiales!B$2:B$33,Calculadora_Produccion!J119)*I119+SUMIFS(Inventario_Materiales!H$2:H$33,Inventario_Materiales!B$2:B$33,Calculadora_Produccion!L119)*K119</f>
        <v>0</v>
      </c>
      <c r="P119" s="17" t="e">
        <f>N119*Configuracion_Costos!$B$4*Configuracion_Costos!$B$5</f>
        <v>#DIV/0!</v>
      </c>
      <c r="Q119" s="18" t="e">
        <f>N119*Configuracion_Costos!$B$8</f>
        <v>#DIV/0!</v>
      </c>
      <c r="T119" s="17" t="e">
        <f t="shared" si="25"/>
        <v>#DIV/0!</v>
      </c>
      <c r="U119" s="17" t="e">
        <f>T119*(1+Configuracion_Costos!$B$7)</f>
        <v>#DIV/0!</v>
      </c>
      <c r="V119" s="18" t="e">
        <f t="shared" si="26"/>
        <v>#DIV/0!</v>
      </c>
      <c r="W119" s="18" t="e">
        <f t="shared" si="27"/>
        <v>#DIV/0!</v>
      </c>
      <c r="AC119" s="17" t="e">
        <f t="shared" si="29"/>
        <v>#DIV/0!</v>
      </c>
    </row>
    <row r="120" spans="1:29" x14ac:dyDescent="0.3">
      <c r="A120" s="15" t="s">
        <v>347</v>
      </c>
      <c r="M120" s="15">
        <f t="shared" si="24"/>
        <v>0</v>
      </c>
      <c r="N120" s="15" t="e">
        <f t="shared" si="28"/>
        <v>#DIV/0!</v>
      </c>
      <c r="O120" s="17">
        <f>SUMIFS(Inventario_Materiales!H$2:H$33,Inventario_Materiales!B$2:B$33,Calculadora_Produccion!F120)*E120+SUMIFS(Inventario_Materiales!H$2:H$33,Inventario_Materiales!B$2:B$33,H120)*G120+SUMIFS(Inventario_Materiales!H$2:H$33,Inventario_Materiales!B$2:B$33,Calculadora_Produccion!J120)*I120+SUMIFS(Inventario_Materiales!H$2:H$33,Inventario_Materiales!B$2:B$33,Calculadora_Produccion!L120)*K120</f>
        <v>0</v>
      </c>
      <c r="P120" s="17" t="e">
        <f>N120*Configuracion_Costos!$B$4*Configuracion_Costos!$B$5</f>
        <v>#DIV/0!</v>
      </c>
      <c r="Q120" s="18" t="e">
        <f>N120*Configuracion_Costos!$B$8</f>
        <v>#DIV/0!</v>
      </c>
      <c r="T120" s="17" t="e">
        <f t="shared" si="25"/>
        <v>#DIV/0!</v>
      </c>
      <c r="U120" s="17" t="e">
        <f>T120*(1+Configuracion_Costos!$B$7)</f>
        <v>#DIV/0!</v>
      </c>
      <c r="V120" s="18" t="e">
        <f t="shared" si="26"/>
        <v>#DIV/0!</v>
      </c>
      <c r="W120" s="18" t="e">
        <f t="shared" si="27"/>
        <v>#DIV/0!</v>
      </c>
      <c r="AC120" s="17" t="e">
        <f t="shared" si="29"/>
        <v>#DIV/0!</v>
      </c>
    </row>
    <row r="121" spans="1:29" x14ac:dyDescent="0.3">
      <c r="A121" s="15" t="s">
        <v>348</v>
      </c>
      <c r="M121" s="15">
        <f t="shared" si="24"/>
        <v>0</v>
      </c>
      <c r="N121" s="15" t="e">
        <f t="shared" si="28"/>
        <v>#DIV/0!</v>
      </c>
      <c r="O121" s="17">
        <f>SUMIFS(Inventario_Materiales!H$2:H$33,Inventario_Materiales!B$2:B$33,Calculadora_Produccion!F121)*E121+SUMIFS(Inventario_Materiales!H$2:H$33,Inventario_Materiales!B$2:B$33,H121)*G121+SUMIFS(Inventario_Materiales!H$2:H$33,Inventario_Materiales!B$2:B$33,Calculadora_Produccion!J121)*I121+SUMIFS(Inventario_Materiales!H$2:H$33,Inventario_Materiales!B$2:B$33,Calculadora_Produccion!L121)*K121</f>
        <v>0</v>
      </c>
      <c r="P121" s="17" t="e">
        <f>N121*Configuracion_Costos!$B$4*Configuracion_Costos!$B$5</f>
        <v>#DIV/0!</v>
      </c>
      <c r="Q121" s="18" t="e">
        <f>N121*Configuracion_Costos!$B$8</f>
        <v>#DIV/0!</v>
      </c>
      <c r="T121" s="17" t="e">
        <f t="shared" si="25"/>
        <v>#DIV/0!</v>
      </c>
      <c r="U121" s="17" t="e">
        <f>T121*(1+Configuracion_Costos!$B$7)</f>
        <v>#DIV/0!</v>
      </c>
      <c r="V121" s="18" t="e">
        <f t="shared" si="26"/>
        <v>#DIV/0!</v>
      </c>
      <c r="W121" s="18" t="e">
        <f t="shared" si="27"/>
        <v>#DIV/0!</v>
      </c>
      <c r="AC121" s="17" t="e">
        <f t="shared" si="29"/>
        <v>#DIV/0!</v>
      </c>
    </row>
    <row r="122" spans="1:29" x14ac:dyDescent="0.3">
      <c r="A122" s="15" t="s">
        <v>349</v>
      </c>
      <c r="M122" s="15">
        <f t="shared" si="24"/>
        <v>0</v>
      </c>
      <c r="N122" s="15" t="e">
        <f t="shared" si="28"/>
        <v>#DIV/0!</v>
      </c>
      <c r="O122" s="17">
        <f>SUMIFS(Inventario_Materiales!H$2:H$33,Inventario_Materiales!B$2:B$33,Calculadora_Produccion!F122)*E122+SUMIFS(Inventario_Materiales!H$2:H$33,Inventario_Materiales!B$2:B$33,H122)*G122+SUMIFS(Inventario_Materiales!H$2:H$33,Inventario_Materiales!B$2:B$33,Calculadora_Produccion!J122)*I122+SUMIFS(Inventario_Materiales!H$2:H$33,Inventario_Materiales!B$2:B$33,Calculadora_Produccion!L122)*K122</f>
        <v>0</v>
      </c>
      <c r="P122" s="17" t="e">
        <f>N122*Configuracion_Costos!$B$4*Configuracion_Costos!$B$5</f>
        <v>#DIV/0!</v>
      </c>
      <c r="Q122" s="18" t="e">
        <f>N122*Configuracion_Costos!$B$8</f>
        <v>#DIV/0!</v>
      </c>
      <c r="T122" s="17" t="e">
        <f t="shared" si="25"/>
        <v>#DIV/0!</v>
      </c>
      <c r="U122" s="17" t="e">
        <f>T122*(1+Configuracion_Costos!$B$7)</f>
        <v>#DIV/0!</v>
      </c>
      <c r="V122" s="18" t="e">
        <f t="shared" si="26"/>
        <v>#DIV/0!</v>
      </c>
      <c r="W122" s="18" t="e">
        <f t="shared" si="27"/>
        <v>#DIV/0!</v>
      </c>
      <c r="AC122" s="17" t="e">
        <f t="shared" si="29"/>
        <v>#DIV/0!</v>
      </c>
    </row>
    <row r="123" spans="1:29" x14ac:dyDescent="0.3">
      <c r="A123" s="15" t="s">
        <v>350</v>
      </c>
      <c r="M123" s="15">
        <f t="shared" si="24"/>
        <v>0</v>
      </c>
      <c r="N123" s="15" t="e">
        <f t="shared" si="28"/>
        <v>#DIV/0!</v>
      </c>
      <c r="O123" s="17">
        <f>SUMIFS(Inventario_Materiales!H$2:H$33,Inventario_Materiales!B$2:B$33,Calculadora_Produccion!F123)*E123+SUMIFS(Inventario_Materiales!H$2:H$33,Inventario_Materiales!B$2:B$33,H123)*G123+SUMIFS(Inventario_Materiales!H$2:H$33,Inventario_Materiales!B$2:B$33,Calculadora_Produccion!J123)*I123+SUMIFS(Inventario_Materiales!H$2:H$33,Inventario_Materiales!B$2:B$33,Calculadora_Produccion!L123)*K123</f>
        <v>0</v>
      </c>
      <c r="P123" s="17" t="e">
        <f>N123*Configuracion_Costos!$B$4*Configuracion_Costos!$B$5</f>
        <v>#DIV/0!</v>
      </c>
      <c r="Q123" s="18" t="e">
        <f>N123*Configuracion_Costos!$B$8</f>
        <v>#DIV/0!</v>
      </c>
      <c r="T123" s="17" t="e">
        <f t="shared" si="25"/>
        <v>#DIV/0!</v>
      </c>
      <c r="U123" s="17" t="e">
        <f>T123*(1+Configuracion_Costos!$B$7)</f>
        <v>#DIV/0!</v>
      </c>
      <c r="V123" s="18" t="e">
        <f t="shared" si="26"/>
        <v>#DIV/0!</v>
      </c>
      <c r="W123" s="18" t="e">
        <f t="shared" si="27"/>
        <v>#DIV/0!</v>
      </c>
      <c r="AC123" s="17" t="e">
        <f t="shared" si="29"/>
        <v>#DIV/0!</v>
      </c>
    </row>
    <row r="124" spans="1:29" x14ac:dyDescent="0.3">
      <c r="A124" s="15" t="s">
        <v>351</v>
      </c>
      <c r="M124" s="15">
        <f t="shared" si="24"/>
        <v>0</v>
      </c>
      <c r="N124" s="15" t="e">
        <f t="shared" si="28"/>
        <v>#DIV/0!</v>
      </c>
      <c r="O124" s="17">
        <f>SUMIFS(Inventario_Materiales!H$2:H$33,Inventario_Materiales!B$2:B$33,Calculadora_Produccion!F124)*E124+SUMIFS(Inventario_Materiales!H$2:H$33,Inventario_Materiales!B$2:B$33,H124)*G124+SUMIFS(Inventario_Materiales!H$2:H$33,Inventario_Materiales!B$2:B$33,Calculadora_Produccion!J124)*I124+SUMIFS(Inventario_Materiales!H$2:H$33,Inventario_Materiales!B$2:B$33,Calculadora_Produccion!L124)*K124</f>
        <v>0</v>
      </c>
      <c r="P124" s="17" t="e">
        <f>N124*Configuracion_Costos!$B$4*Configuracion_Costos!$B$5</f>
        <v>#DIV/0!</v>
      </c>
      <c r="Q124" s="18" t="e">
        <f>N124*Configuracion_Costos!$B$8</f>
        <v>#DIV/0!</v>
      </c>
      <c r="T124" s="17" t="e">
        <f t="shared" si="25"/>
        <v>#DIV/0!</v>
      </c>
      <c r="U124" s="17" t="e">
        <f>T124*(1+Configuracion_Costos!$B$7)</f>
        <v>#DIV/0!</v>
      </c>
      <c r="V124" s="18" t="e">
        <f t="shared" si="26"/>
        <v>#DIV/0!</v>
      </c>
      <c r="W124" s="18" t="e">
        <f t="shared" si="27"/>
        <v>#DIV/0!</v>
      </c>
      <c r="AC124" s="17" t="e">
        <f t="shared" si="29"/>
        <v>#DIV/0!</v>
      </c>
    </row>
    <row r="125" spans="1:29" x14ac:dyDescent="0.3">
      <c r="A125" s="15" t="s">
        <v>352</v>
      </c>
      <c r="M125" s="15">
        <f t="shared" si="24"/>
        <v>0</v>
      </c>
      <c r="N125" s="15" t="e">
        <f t="shared" si="28"/>
        <v>#DIV/0!</v>
      </c>
      <c r="O125" s="17">
        <f>SUMIFS(Inventario_Materiales!H$2:H$33,Inventario_Materiales!B$2:B$33,Calculadora_Produccion!F125)*E125+SUMIFS(Inventario_Materiales!H$2:H$33,Inventario_Materiales!B$2:B$33,H125)*G125+SUMIFS(Inventario_Materiales!H$2:H$33,Inventario_Materiales!B$2:B$33,Calculadora_Produccion!J125)*I125+SUMIFS(Inventario_Materiales!H$2:H$33,Inventario_Materiales!B$2:B$33,Calculadora_Produccion!L125)*K125</f>
        <v>0</v>
      </c>
      <c r="P125" s="17" t="e">
        <f>N125*Configuracion_Costos!$B$4*Configuracion_Costos!$B$5</f>
        <v>#DIV/0!</v>
      </c>
      <c r="Q125" s="18" t="e">
        <f>N125*Configuracion_Costos!$B$8</f>
        <v>#DIV/0!</v>
      </c>
      <c r="T125" s="17" t="e">
        <f t="shared" si="25"/>
        <v>#DIV/0!</v>
      </c>
      <c r="U125" s="17" t="e">
        <f>T125*(1+Configuracion_Costos!$B$7)</f>
        <v>#DIV/0!</v>
      </c>
      <c r="V125" s="18" t="e">
        <f t="shared" si="26"/>
        <v>#DIV/0!</v>
      </c>
      <c r="W125" s="18" t="e">
        <f t="shared" si="27"/>
        <v>#DIV/0!</v>
      </c>
      <c r="AC125" s="17" t="e">
        <f t="shared" si="29"/>
        <v>#DIV/0!</v>
      </c>
    </row>
    <row r="126" spans="1:29" x14ac:dyDescent="0.3">
      <c r="A126" s="15" t="s">
        <v>353</v>
      </c>
      <c r="M126" s="15">
        <f t="shared" si="24"/>
        <v>0</v>
      </c>
      <c r="N126" s="15" t="e">
        <f t="shared" si="28"/>
        <v>#DIV/0!</v>
      </c>
      <c r="O126" s="17">
        <f>SUMIFS(Inventario_Materiales!H$2:H$33,Inventario_Materiales!B$2:B$33,Calculadora_Produccion!F126)*E126+SUMIFS(Inventario_Materiales!H$2:H$33,Inventario_Materiales!B$2:B$33,H126)*G126+SUMIFS(Inventario_Materiales!H$2:H$33,Inventario_Materiales!B$2:B$33,Calculadora_Produccion!J126)*I126+SUMIFS(Inventario_Materiales!H$2:H$33,Inventario_Materiales!B$2:B$33,Calculadora_Produccion!L126)*K126</f>
        <v>0</v>
      </c>
      <c r="P126" s="17" t="e">
        <f>N126*Configuracion_Costos!$B$4*Configuracion_Costos!$B$5</f>
        <v>#DIV/0!</v>
      </c>
      <c r="Q126" s="18" t="e">
        <f>N126*Configuracion_Costos!$B$8</f>
        <v>#DIV/0!</v>
      </c>
      <c r="T126" s="17" t="e">
        <f t="shared" si="25"/>
        <v>#DIV/0!</v>
      </c>
      <c r="U126" s="17" t="e">
        <f>T126*(1+Configuracion_Costos!$B$7)</f>
        <v>#DIV/0!</v>
      </c>
      <c r="V126" s="18" t="e">
        <f t="shared" si="26"/>
        <v>#DIV/0!</v>
      </c>
      <c r="W126" s="18" t="e">
        <f t="shared" si="27"/>
        <v>#DIV/0!</v>
      </c>
      <c r="AC126" s="17" t="e">
        <f t="shared" si="29"/>
        <v>#DIV/0!</v>
      </c>
    </row>
    <row r="127" spans="1:29" x14ac:dyDescent="0.3">
      <c r="A127" s="15" t="s">
        <v>354</v>
      </c>
      <c r="M127" s="15">
        <f t="shared" si="24"/>
        <v>0</v>
      </c>
      <c r="N127" s="15" t="e">
        <f t="shared" si="28"/>
        <v>#DIV/0!</v>
      </c>
      <c r="O127" s="17">
        <f>SUMIFS(Inventario_Materiales!H$2:H$33,Inventario_Materiales!B$2:B$33,Calculadora_Produccion!F127)*E127+SUMIFS(Inventario_Materiales!H$2:H$33,Inventario_Materiales!B$2:B$33,H127)*G127+SUMIFS(Inventario_Materiales!H$2:H$33,Inventario_Materiales!B$2:B$33,Calculadora_Produccion!J127)*I127+SUMIFS(Inventario_Materiales!H$2:H$33,Inventario_Materiales!B$2:B$33,Calculadora_Produccion!L127)*K127</f>
        <v>0</v>
      </c>
      <c r="P127" s="17" t="e">
        <f>N127*Configuracion_Costos!$B$4*Configuracion_Costos!$B$5</f>
        <v>#DIV/0!</v>
      </c>
      <c r="Q127" s="18" t="e">
        <f>N127*Configuracion_Costos!$B$8</f>
        <v>#DIV/0!</v>
      </c>
      <c r="T127" s="17" t="e">
        <f t="shared" si="25"/>
        <v>#DIV/0!</v>
      </c>
      <c r="U127" s="17" t="e">
        <f>T127*(1+Configuracion_Costos!$B$7)</f>
        <v>#DIV/0!</v>
      </c>
      <c r="V127" s="18" t="e">
        <f t="shared" si="26"/>
        <v>#DIV/0!</v>
      </c>
      <c r="W127" s="18" t="e">
        <f t="shared" si="27"/>
        <v>#DIV/0!</v>
      </c>
      <c r="AC127" s="17" t="e">
        <f t="shared" si="29"/>
        <v>#DIV/0!</v>
      </c>
    </row>
    <row r="128" spans="1:29" x14ac:dyDescent="0.3">
      <c r="A128" s="15" t="s">
        <v>355</v>
      </c>
      <c r="M128" s="15">
        <f t="shared" si="24"/>
        <v>0</v>
      </c>
      <c r="N128" s="15" t="e">
        <f t="shared" si="28"/>
        <v>#DIV/0!</v>
      </c>
      <c r="O128" s="17">
        <f>SUMIFS(Inventario_Materiales!H$2:H$33,Inventario_Materiales!B$2:B$33,Calculadora_Produccion!F128)*E128+SUMIFS(Inventario_Materiales!H$2:H$33,Inventario_Materiales!B$2:B$33,H128)*G128+SUMIFS(Inventario_Materiales!H$2:H$33,Inventario_Materiales!B$2:B$33,Calculadora_Produccion!J128)*I128+SUMIFS(Inventario_Materiales!H$2:H$33,Inventario_Materiales!B$2:B$33,Calculadora_Produccion!L128)*K128</f>
        <v>0</v>
      </c>
      <c r="P128" s="17" t="e">
        <f>N128*Configuracion_Costos!$B$4*Configuracion_Costos!$B$5</f>
        <v>#DIV/0!</v>
      </c>
      <c r="Q128" s="18" t="e">
        <f>N128*Configuracion_Costos!$B$8</f>
        <v>#DIV/0!</v>
      </c>
      <c r="T128" s="17" t="e">
        <f t="shared" si="25"/>
        <v>#DIV/0!</v>
      </c>
      <c r="U128" s="17" t="e">
        <f>T128*(1+Configuracion_Costos!$B$7)</f>
        <v>#DIV/0!</v>
      </c>
      <c r="V128" s="18" t="e">
        <f t="shared" si="26"/>
        <v>#DIV/0!</v>
      </c>
      <c r="W128" s="18" t="e">
        <f t="shared" si="27"/>
        <v>#DIV/0!</v>
      </c>
      <c r="AC128" s="17" t="e">
        <f t="shared" si="29"/>
        <v>#DIV/0!</v>
      </c>
    </row>
    <row r="129" spans="1:29" x14ac:dyDescent="0.3">
      <c r="A129" s="15" t="s">
        <v>356</v>
      </c>
      <c r="M129" s="15">
        <f t="shared" si="24"/>
        <v>0</v>
      </c>
      <c r="N129" s="15" t="e">
        <f t="shared" si="28"/>
        <v>#DIV/0!</v>
      </c>
      <c r="O129" s="17">
        <f>SUMIFS(Inventario_Materiales!H$2:H$33,Inventario_Materiales!B$2:B$33,Calculadora_Produccion!F129)*E129+SUMIFS(Inventario_Materiales!H$2:H$33,Inventario_Materiales!B$2:B$33,H129)*G129+SUMIFS(Inventario_Materiales!H$2:H$33,Inventario_Materiales!B$2:B$33,Calculadora_Produccion!J129)*I129+SUMIFS(Inventario_Materiales!H$2:H$33,Inventario_Materiales!B$2:B$33,Calculadora_Produccion!L129)*K129</f>
        <v>0</v>
      </c>
      <c r="P129" s="17" t="e">
        <f>N129*Configuracion_Costos!$B$4*Configuracion_Costos!$B$5</f>
        <v>#DIV/0!</v>
      </c>
      <c r="Q129" s="18" t="e">
        <f>N129*Configuracion_Costos!$B$8</f>
        <v>#DIV/0!</v>
      </c>
      <c r="T129" s="17" t="e">
        <f t="shared" si="25"/>
        <v>#DIV/0!</v>
      </c>
      <c r="U129" s="17" t="e">
        <f>T129*(1+Configuracion_Costos!$B$7)</f>
        <v>#DIV/0!</v>
      </c>
      <c r="V129" s="18" t="e">
        <f t="shared" si="26"/>
        <v>#DIV/0!</v>
      </c>
      <c r="W129" s="18" t="e">
        <f t="shared" si="27"/>
        <v>#DIV/0!</v>
      </c>
      <c r="AC129" s="17" t="e">
        <f t="shared" si="29"/>
        <v>#DIV/0!</v>
      </c>
    </row>
    <row r="130" spans="1:29" x14ac:dyDescent="0.3">
      <c r="A130" s="15" t="s">
        <v>357</v>
      </c>
      <c r="M130" s="15">
        <f t="shared" si="24"/>
        <v>0</v>
      </c>
      <c r="N130" s="15" t="e">
        <f t="shared" si="28"/>
        <v>#DIV/0!</v>
      </c>
      <c r="O130" s="17">
        <f>SUMIFS(Inventario_Materiales!H$2:H$33,Inventario_Materiales!B$2:B$33,Calculadora_Produccion!F130)*E130+SUMIFS(Inventario_Materiales!H$2:H$33,Inventario_Materiales!B$2:B$33,H130)*G130+SUMIFS(Inventario_Materiales!H$2:H$33,Inventario_Materiales!B$2:B$33,Calculadora_Produccion!J130)*I130+SUMIFS(Inventario_Materiales!H$2:H$33,Inventario_Materiales!B$2:B$33,Calculadora_Produccion!L130)*K130</f>
        <v>0</v>
      </c>
      <c r="P130" s="17" t="e">
        <f>N130*Configuracion_Costos!$B$4*Configuracion_Costos!$B$5</f>
        <v>#DIV/0!</v>
      </c>
      <c r="Q130" s="18" t="e">
        <f>N130*Configuracion_Costos!$B$8</f>
        <v>#DIV/0!</v>
      </c>
      <c r="T130" s="17" t="e">
        <f t="shared" si="25"/>
        <v>#DIV/0!</v>
      </c>
      <c r="U130" s="17" t="e">
        <f>T130*(1+Configuracion_Costos!$B$7)</f>
        <v>#DIV/0!</v>
      </c>
      <c r="V130" s="18" t="e">
        <f t="shared" si="26"/>
        <v>#DIV/0!</v>
      </c>
      <c r="W130" s="18" t="e">
        <f t="shared" si="27"/>
        <v>#DIV/0!</v>
      </c>
      <c r="AC130" s="17" t="e">
        <f t="shared" si="29"/>
        <v>#DIV/0!</v>
      </c>
    </row>
    <row r="131" spans="1:29" x14ac:dyDescent="0.3">
      <c r="A131" s="15" t="s">
        <v>358</v>
      </c>
      <c r="M131" s="15">
        <f t="shared" si="24"/>
        <v>0</v>
      </c>
      <c r="N131" s="15" t="e">
        <f t="shared" si="28"/>
        <v>#DIV/0!</v>
      </c>
      <c r="O131" s="17">
        <f>SUMIFS(Inventario_Materiales!H$2:H$33,Inventario_Materiales!B$2:B$33,Calculadora_Produccion!F131)*E131+SUMIFS(Inventario_Materiales!H$2:H$33,Inventario_Materiales!B$2:B$33,H131)*G131+SUMIFS(Inventario_Materiales!H$2:H$33,Inventario_Materiales!B$2:B$33,Calculadora_Produccion!J131)*I131+SUMIFS(Inventario_Materiales!H$2:H$33,Inventario_Materiales!B$2:B$33,Calculadora_Produccion!L131)*K131</f>
        <v>0</v>
      </c>
      <c r="P131" s="17" t="e">
        <f>N131*Configuracion_Costos!$B$4*Configuracion_Costos!$B$5</f>
        <v>#DIV/0!</v>
      </c>
      <c r="Q131" s="18" t="e">
        <f>N131*Configuracion_Costos!$B$8</f>
        <v>#DIV/0!</v>
      </c>
      <c r="T131" s="17" t="e">
        <f t="shared" si="25"/>
        <v>#DIV/0!</v>
      </c>
      <c r="U131" s="17" t="e">
        <f>T131*(1+Configuracion_Costos!$B$7)</f>
        <v>#DIV/0!</v>
      </c>
      <c r="V131" s="18" t="e">
        <f t="shared" si="26"/>
        <v>#DIV/0!</v>
      </c>
      <c r="W131" s="18" t="e">
        <f t="shared" si="27"/>
        <v>#DIV/0!</v>
      </c>
      <c r="AC131" s="17" t="e">
        <f t="shared" si="29"/>
        <v>#DIV/0!</v>
      </c>
    </row>
    <row r="132" spans="1:29" x14ac:dyDescent="0.3">
      <c r="A132" s="15" t="s">
        <v>359</v>
      </c>
      <c r="M132" s="15">
        <f t="shared" si="24"/>
        <v>0</v>
      </c>
      <c r="N132" s="15" t="e">
        <f t="shared" si="28"/>
        <v>#DIV/0!</v>
      </c>
      <c r="O132" s="17">
        <f>SUMIFS(Inventario_Materiales!H$2:H$33,Inventario_Materiales!B$2:B$33,Calculadora_Produccion!F132)*E132+SUMIFS(Inventario_Materiales!H$2:H$33,Inventario_Materiales!B$2:B$33,H132)*G132+SUMIFS(Inventario_Materiales!H$2:H$33,Inventario_Materiales!B$2:B$33,Calculadora_Produccion!J132)*I132+SUMIFS(Inventario_Materiales!H$2:H$33,Inventario_Materiales!B$2:B$33,Calculadora_Produccion!L132)*K132</f>
        <v>0</v>
      </c>
      <c r="P132" s="17" t="e">
        <f>N132*Configuracion_Costos!$B$4*Configuracion_Costos!$B$5</f>
        <v>#DIV/0!</v>
      </c>
      <c r="Q132" s="18" t="e">
        <f>N132*Configuracion_Costos!$B$8</f>
        <v>#DIV/0!</v>
      </c>
      <c r="T132" s="17" t="e">
        <f t="shared" si="25"/>
        <v>#DIV/0!</v>
      </c>
      <c r="U132" s="17" t="e">
        <f>T132*(1+Configuracion_Costos!$B$7)</f>
        <v>#DIV/0!</v>
      </c>
      <c r="V132" s="18" t="e">
        <f t="shared" si="26"/>
        <v>#DIV/0!</v>
      </c>
      <c r="W132" s="18" t="e">
        <f t="shared" si="27"/>
        <v>#DIV/0!</v>
      </c>
      <c r="AC132" s="17" t="e">
        <f t="shared" si="29"/>
        <v>#DIV/0!</v>
      </c>
    </row>
    <row r="133" spans="1:29" x14ac:dyDescent="0.3">
      <c r="A133" s="15" t="s">
        <v>360</v>
      </c>
      <c r="M133" s="15">
        <f t="shared" si="24"/>
        <v>0</v>
      </c>
      <c r="N133" s="15" t="e">
        <f t="shared" si="28"/>
        <v>#DIV/0!</v>
      </c>
      <c r="O133" s="17">
        <f>SUMIFS(Inventario_Materiales!H$2:H$33,Inventario_Materiales!B$2:B$33,Calculadora_Produccion!F133)*E133+SUMIFS(Inventario_Materiales!H$2:H$33,Inventario_Materiales!B$2:B$33,H133)*G133+SUMIFS(Inventario_Materiales!H$2:H$33,Inventario_Materiales!B$2:B$33,Calculadora_Produccion!J133)*I133+SUMIFS(Inventario_Materiales!H$2:H$33,Inventario_Materiales!B$2:B$33,Calculadora_Produccion!L133)*K133</f>
        <v>0</v>
      </c>
      <c r="P133" s="17" t="e">
        <f>N133*Configuracion_Costos!$B$4*Configuracion_Costos!$B$5</f>
        <v>#DIV/0!</v>
      </c>
      <c r="Q133" s="18" t="e">
        <f>N133*Configuracion_Costos!$B$8</f>
        <v>#DIV/0!</v>
      </c>
      <c r="T133" s="17" t="e">
        <f t="shared" si="25"/>
        <v>#DIV/0!</v>
      </c>
      <c r="U133" s="17" t="e">
        <f>T133*(1+Configuracion_Costos!$B$7)</f>
        <v>#DIV/0!</v>
      </c>
      <c r="V133" s="18" t="e">
        <f t="shared" si="26"/>
        <v>#DIV/0!</v>
      </c>
      <c r="W133" s="18" t="e">
        <f t="shared" si="27"/>
        <v>#DIV/0!</v>
      </c>
      <c r="AC133" s="17" t="e">
        <f t="shared" si="29"/>
        <v>#DIV/0!</v>
      </c>
    </row>
    <row r="134" spans="1:29" x14ac:dyDescent="0.3">
      <c r="A134" s="15" t="s">
        <v>361</v>
      </c>
      <c r="M134" s="15">
        <f t="shared" si="24"/>
        <v>0</v>
      </c>
      <c r="N134" s="15" t="e">
        <f t="shared" si="28"/>
        <v>#DIV/0!</v>
      </c>
      <c r="O134" s="17">
        <f>SUMIFS(Inventario_Materiales!H$2:H$33,Inventario_Materiales!B$2:B$33,Calculadora_Produccion!F134)*E134+SUMIFS(Inventario_Materiales!H$2:H$33,Inventario_Materiales!B$2:B$33,H134)*G134+SUMIFS(Inventario_Materiales!H$2:H$33,Inventario_Materiales!B$2:B$33,Calculadora_Produccion!J134)*I134+SUMIFS(Inventario_Materiales!H$2:H$33,Inventario_Materiales!B$2:B$33,Calculadora_Produccion!L134)*K134</f>
        <v>0</v>
      </c>
      <c r="P134" s="17" t="e">
        <f>N134*Configuracion_Costos!$B$4*Configuracion_Costos!$B$5</f>
        <v>#DIV/0!</v>
      </c>
      <c r="Q134" s="18" t="e">
        <f>N134*Configuracion_Costos!$B$8</f>
        <v>#DIV/0!</v>
      </c>
      <c r="T134" s="17" t="e">
        <f t="shared" si="25"/>
        <v>#DIV/0!</v>
      </c>
      <c r="U134" s="17" t="e">
        <f>T134*(1+Configuracion_Costos!$B$7)</f>
        <v>#DIV/0!</v>
      </c>
      <c r="V134" s="18" t="e">
        <f t="shared" si="26"/>
        <v>#DIV/0!</v>
      </c>
      <c r="W134" s="18" t="e">
        <f t="shared" si="27"/>
        <v>#DIV/0!</v>
      </c>
      <c r="AC134" s="17" t="e">
        <f t="shared" si="29"/>
        <v>#DIV/0!</v>
      </c>
    </row>
    <row r="135" spans="1:29" x14ac:dyDescent="0.3">
      <c r="A135" s="15" t="s">
        <v>362</v>
      </c>
      <c r="M135" s="15">
        <f t="shared" si="24"/>
        <v>0</v>
      </c>
      <c r="N135" s="15" t="e">
        <f t="shared" si="28"/>
        <v>#DIV/0!</v>
      </c>
      <c r="O135" s="17">
        <f>SUMIFS(Inventario_Materiales!H$2:H$33,Inventario_Materiales!B$2:B$33,Calculadora_Produccion!F135)*E135+SUMIFS(Inventario_Materiales!H$2:H$33,Inventario_Materiales!B$2:B$33,H135)*G135+SUMIFS(Inventario_Materiales!H$2:H$33,Inventario_Materiales!B$2:B$33,Calculadora_Produccion!J135)*I135+SUMIFS(Inventario_Materiales!H$2:H$33,Inventario_Materiales!B$2:B$33,Calculadora_Produccion!L135)*K135</f>
        <v>0</v>
      </c>
      <c r="P135" s="17" t="e">
        <f>N135*Configuracion_Costos!$B$4*Configuracion_Costos!$B$5</f>
        <v>#DIV/0!</v>
      </c>
      <c r="Q135" s="18" t="e">
        <f>N135*Configuracion_Costos!$B$8</f>
        <v>#DIV/0!</v>
      </c>
      <c r="T135" s="17" t="e">
        <f t="shared" si="25"/>
        <v>#DIV/0!</v>
      </c>
      <c r="U135" s="17" t="e">
        <f>T135*(1+Configuracion_Costos!$B$7)</f>
        <v>#DIV/0!</v>
      </c>
      <c r="V135" s="18" t="e">
        <f t="shared" si="26"/>
        <v>#DIV/0!</v>
      </c>
      <c r="W135" s="18" t="e">
        <f t="shared" si="27"/>
        <v>#DIV/0!</v>
      </c>
      <c r="AC135" s="17" t="e">
        <f t="shared" si="29"/>
        <v>#DIV/0!</v>
      </c>
    </row>
    <row r="136" spans="1:29" x14ac:dyDescent="0.3">
      <c r="A136" s="15" t="s">
        <v>363</v>
      </c>
      <c r="M136" s="15">
        <f t="shared" si="24"/>
        <v>0</v>
      </c>
      <c r="N136" s="15" t="e">
        <f t="shared" si="28"/>
        <v>#DIV/0!</v>
      </c>
      <c r="O136" s="17">
        <f>SUMIFS(Inventario_Materiales!H$2:H$33,Inventario_Materiales!B$2:B$33,Calculadora_Produccion!F136)*E136+SUMIFS(Inventario_Materiales!H$2:H$33,Inventario_Materiales!B$2:B$33,H136)*G136+SUMIFS(Inventario_Materiales!H$2:H$33,Inventario_Materiales!B$2:B$33,Calculadora_Produccion!J136)*I136+SUMIFS(Inventario_Materiales!H$2:H$33,Inventario_Materiales!B$2:B$33,Calculadora_Produccion!L136)*K136</f>
        <v>0</v>
      </c>
      <c r="P136" s="17" t="e">
        <f>N136*Configuracion_Costos!$B$4*Configuracion_Costos!$B$5</f>
        <v>#DIV/0!</v>
      </c>
      <c r="Q136" s="18" t="e">
        <f>N136*Configuracion_Costos!$B$8</f>
        <v>#DIV/0!</v>
      </c>
      <c r="T136" s="17" t="e">
        <f t="shared" si="25"/>
        <v>#DIV/0!</v>
      </c>
      <c r="U136" s="17" t="e">
        <f>T136*(1+Configuracion_Costos!$B$7)</f>
        <v>#DIV/0!</v>
      </c>
      <c r="V136" s="18" t="e">
        <f t="shared" si="26"/>
        <v>#DIV/0!</v>
      </c>
      <c r="W136" s="18" t="e">
        <f t="shared" si="27"/>
        <v>#DIV/0!</v>
      </c>
      <c r="AC136" s="17" t="e">
        <f t="shared" si="29"/>
        <v>#DIV/0!</v>
      </c>
    </row>
    <row r="137" spans="1:29" x14ac:dyDescent="0.3">
      <c r="A137" s="15" t="s">
        <v>364</v>
      </c>
      <c r="M137" s="15">
        <f t="shared" si="24"/>
        <v>0</v>
      </c>
      <c r="N137" s="15" t="e">
        <f t="shared" si="28"/>
        <v>#DIV/0!</v>
      </c>
      <c r="O137" s="17">
        <f>SUMIFS(Inventario_Materiales!H$2:H$33,Inventario_Materiales!B$2:B$33,Calculadora_Produccion!F137)*E137+SUMIFS(Inventario_Materiales!H$2:H$33,Inventario_Materiales!B$2:B$33,H137)*G137+SUMIFS(Inventario_Materiales!H$2:H$33,Inventario_Materiales!B$2:B$33,Calculadora_Produccion!J137)*I137+SUMIFS(Inventario_Materiales!H$2:H$33,Inventario_Materiales!B$2:B$33,Calculadora_Produccion!L137)*K137</f>
        <v>0</v>
      </c>
      <c r="P137" s="17" t="e">
        <f>N137*Configuracion_Costos!$B$4*Configuracion_Costos!$B$5</f>
        <v>#DIV/0!</v>
      </c>
      <c r="Q137" s="18" t="e">
        <f>N137*Configuracion_Costos!$B$8</f>
        <v>#DIV/0!</v>
      </c>
      <c r="T137" s="17" t="e">
        <f t="shared" si="25"/>
        <v>#DIV/0!</v>
      </c>
      <c r="U137" s="17" t="e">
        <f>T137*(1+Configuracion_Costos!$B$7)</f>
        <v>#DIV/0!</v>
      </c>
      <c r="V137" s="18" t="e">
        <f t="shared" si="26"/>
        <v>#DIV/0!</v>
      </c>
      <c r="W137" s="18" t="e">
        <f t="shared" si="27"/>
        <v>#DIV/0!</v>
      </c>
      <c r="AC137" s="17" t="e">
        <f t="shared" si="29"/>
        <v>#DIV/0!</v>
      </c>
    </row>
    <row r="138" spans="1:29" x14ac:dyDescent="0.3">
      <c r="A138" s="15" t="s">
        <v>365</v>
      </c>
      <c r="M138" s="15">
        <f t="shared" ref="M138:M186" si="30">+SUM(E138,G138,I138,K138)</f>
        <v>0</v>
      </c>
      <c r="N138" s="15" t="e">
        <f t="shared" ref="N138:N186" si="31">((6*60+38)/60)/C138</f>
        <v>#DIV/0!</v>
      </c>
      <c r="O138" s="17">
        <f>SUMIFS(Inventario_Materiales!H$2:H$33,Inventario_Materiales!B$2:B$33,Calculadora_Produccion!F138)*E138+SUMIFS(Inventario_Materiales!H$2:H$33,Inventario_Materiales!B$2:B$33,H138)*G138+SUMIFS(Inventario_Materiales!H$2:H$33,Inventario_Materiales!B$2:B$33,Calculadora_Produccion!J138)*I138+SUMIFS(Inventario_Materiales!H$2:H$33,Inventario_Materiales!B$2:B$33,Calculadora_Produccion!L138)*K138</f>
        <v>0</v>
      </c>
      <c r="P138" s="17" t="e">
        <f>N138*Configuracion_Costos!$B$4*Configuracion_Costos!$B$5</f>
        <v>#DIV/0!</v>
      </c>
      <c r="Q138" s="18" t="e">
        <f>N138*Configuracion_Costos!$B$8</f>
        <v>#DIV/0!</v>
      </c>
      <c r="T138" s="17" t="e">
        <f t="shared" ref="T138:T186" si="32">SUM(O138:S138)</f>
        <v>#DIV/0!</v>
      </c>
      <c r="U138" s="17" t="e">
        <f>T138*(1+Configuracion_Costos!$B$7)</f>
        <v>#DIV/0!</v>
      </c>
      <c r="V138" s="18" t="e">
        <f t="shared" ref="V138:V186" si="33">U138*0.2</f>
        <v>#DIV/0!</v>
      </c>
      <c r="W138" s="18" t="e">
        <f t="shared" ref="W138:W186" si="34">U138-V138</f>
        <v>#DIV/0!</v>
      </c>
      <c r="AC138" s="17" t="e">
        <f t="shared" si="29"/>
        <v>#DIV/0!</v>
      </c>
    </row>
    <row r="139" spans="1:29" x14ac:dyDescent="0.3">
      <c r="A139" s="15" t="s">
        <v>366</v>
      </c>
      <c r="M139" s="15">
        <f t="shared" si="30"/>
        <v>0</v>
      </c>
      <c r="N139" s="15" t="e">
        <f t="shared" si="31"/>
        <v>#DIV/0!</v>
      </c>
      <c r="O139" s="17">
        <f>SUMIFS(Inventario_Materiales!H$2:H$33,Inventario_Materiales!B$2:B$33,Calculadora_Produccion!F139)*E139+SUMIFS(Inventario_Materiales!H$2:H$33,Inventario_Materiales!B$2:B$33,H139)*G139+SUMIFS(Inventario_Materiales!H$2:H$33,Inventario_Materiales!B$2:B$33,Calculadora_Produccion!J139)*I139+SUMIFS(Inventario_Materiales!H$2:H$33,Inventario_Materiales!B$2:B$33,Calculadora_Produccion!L139)*K139</f>
        <v>0</v>
      </c>
      <c r="P139" s="17" t="e">
        <f>N139*Configuracion_Costos!$B$4*Configuracion_Costos!$B$5</f>
        <v>#DIV/0!</v>
      </c>
      <c r="Q139" s="18" t="e">
        <f>N139*Configuracion_Costos!$B$8</f>
        <v>#DIV/0!</v>
      </c>
      <c r="T139" s="17" t="e">
        <f t="shared" si="32"/>
        <v>#DIV/0!</v>
      </c>
      <c r="U139" s="17" t="e">
        <f>T139*(1+Configuracion_Costos!$B$7)</f>
        <v>#DIV/0!</v>
      </c>
      <c r="V139" s="18" t="e">
        <f t="shared" si="33"/>
        <v>#DIV/0!</v>
      </c>
      <c r="W139" s="18" t="e">
        <f t="shared" si="34"/>
        <v>#DIV/0!</v>
      </c>
      <c r="AC139" s="17" t="e">
        <f t="shared" si="29"/>
        <v>#DIV/0!</v>
      </c>
    </row>
    <row r="140" spans="1:29" x14ac:dyDescent="0.3">
      <c r="A140" s="15" t="s">
        <v>367</v>
      </c>
      <c r="M140" s="15">
        <f t="shared" si="30"/>
        <v>0</v>
      </c>
      <c r="N140" s="15" t="e">
        <f t="shared" si="31"/>
        <v>#DIV/0!</v>
      </c>
      <c r="O140" s="17">
        <f>SUMIFS(Inventario_Materiales!H$2:H$33,Inventario_Materiales!B$2:B$33,Calculadora_Produccion!F140)*E140+SUMIFS(Inventario_Materiales!H$2:H$33,Inventario_Materiales!B$2:B$33,H140)*G140+SUMIFS(Inventario_Materiales!H$2:H$33,Inventario_Materiales!B$2:B$33,Calculadora_Produccion!J140)*I140+SUMIFS(Inventario_Materiales!H$2:H$33,Inventario_Materiales!B$2:B$33,Calculadora_Produccion!L140)*K140</f>
        <v>0</v>
      </c>
      <c r="P140" s="17" t="e">
        <f>N140*Configuracion_Costos!$B$4*Configuracion_Costos!$B$5</f>
        <v>#DIV/0!</v>
      </c>
      <c r="Q140" s="18" t="e">
        <f>N140*Configuracion_Costos!$B$8</f>
        <v>#DIV/0!</v>
      </c>
      <c r="T140" s="17" t="e">
        <f t="shared" si="32"/>
        <v>#DIV/0!</v>
      </c>
      <c r="U140" s="17" t="e">
        <f>T140*(1+Configuracion_Costos!$B$7)</f>
        <v>#DIV/0!</v>
      </c>
      <c r="V140" s="18" t="e">
        <f t="shared" si="33"/>
        <v>#DIV/0!</v>
      </c>
      <c r="W140" s="18" t="e">
        <f t="shared" si="34"/>
        <v>#DIV/0!</v>
      </c>
      <c r="AC140" s="17" t="e">
        <f t="shared" si="29"/>
        <v>#DIV/0!</v>
      </c>
    </row>
    <row r="141" spans="1:29" x14ac:dyDescent="0.3">
      <c r="A141" s="15" t="s">
        <v>368</v>
      </c>
      <c r="M141" s="15">
        <f t="shared" si="30"/>
        <v>0</v>
      </c>
      <c r="N141" s="15" t="e">
        <f t="shared" si="31"/>
        <v>#DIV/0!</v>
      </c>
      <c r="O141" s="17">
        <f>SUMIFS(Inventario_Materiales!H$2:H$33,Inventario_Materiales!B$2:B$33,Calculadora_Produccion!F141)*E141+SUMIFS(Inventario_Materiales!H$2:H$33,Inventario_Materiales!B$2:B$33,H141)*G141+SUMIFS(Inventario_Materiales!H$2:H$33,Inventario_Materiales!B$2:B$33,Calculadora_Produccion!J141)*I141+SUMIFS(Inventario_Materiales!H$2:H$33,Inventario_Materiales!B$2:B$33,Calculadora_Produccion!L141)*K141</f>
        <v>0</v>
      </c>
      <c r="P141" s="17" t="e">
        <f>N141*Configuracion_Costos!$B$4*Configuracion_Costos!$B$5</f>
        <v>#DIV/0!</v>
      </c>
      <c r="Q141" s="18" t="e">
        <f>N141*Configuracion_Costos!$B$8</f>
        <v>#DIV/0!</v>
      </c>
      <c r="T141" s="17" t="e">
        <f t="shared" si="32"/>
        <v>#DIV/0!</v>
      </c>
      <c r="U141" s="17" t="e">
        <f>T141*(1+Configuracion_Costos!$B$7)</f>
        <v>#DIV/0!</v>
      </c>
      <c r="V141" s="18" t="e">
        <f t="shared" si="33"/>
        <v>#DIV/0!</v>
      </c>
      <c r="W141" s="18" t="e">
        <f t="shared" si="34"/>
        <v>#DIV/0!</v>
      </c>
      <c r="AC141" s="17" t="e">
        <f t="shared" si="29"/>
        <v>#DIV/0!</v>
      </c>
    </row>
    <row r="142" spans="1:29" x14ac:dyDescent="0.3">
      <c r="A142" s="15" t="s">
        <v>369</v>
      </c>
      <c r="M142" s="15">
        <f t="shared" si="30"/>
        <v>0</v>
      </c>
      <c r="N142" s="15" t="e">
        <f t="shared" si="31"/>
        <v>#DIV/0!</v>
      </c>
      <c r="O142" s="17">
        <f>SUMIFS(Inventario_Materiales!H$2:H$33,Inventario_Materiales!B$2:B$33,Calculadora_Produccion!F142)*E142+SUMIFS(Inventario_Materiales!H$2:H$33,Inventario_Materiales!B$2:B$33,H142)*G142+SUMIFS(Inventario_Materiales!H$2:H$33,Inventario_Materiales!B$2:B$33,Calculadora_Produccion!J142)*I142+SUMIFS(Inventario_Materiales!H$2:H$33,Inventario_Materiales!B$2:B$33,Calculadora_Produccion!L142)*K142</f>
        <v>0</v>
      </c>
      <c r="P142" s="17" t="e">
        <f>N142*Configuracion_Costos!$B$4*Configuracion_Costos!$B$5</f>
        <v>#DIV/0!</v>
      </c>
      <c r="Q142" s="18" t="e">
        <f>N142*Configuracion_Costos!$B$8</f>
        <v>#DIV/0!</v>
      </c>
      <c r="T142" s="17" t="e">
        <f t="shared" si="32"/>
        <v>#DIV/0!</v>
      </c>
      <c r="U142" s="17" t="e">
        <f>T142*(1+Configuracion_Costos!$B$7)</f>
        <v>#DIV/0!</v>
      </c>
      <c r="V142" s="18" t="e">
        <f t="shared" si="33"/>
        <v>#DIV/0!</v>
      </c>
      <c r="W142" s="18" t="e">
        <f t="shared" si="34"/>
        <v>#DIV/0!</v>
      </c>
      <c r="AC142" s="17" t="e">
        <f t="shared" si="29"/>
        <v>#DIV/0!</v>
      </c>
    </row>
    <row r="143" spans="1:29" x14ac:dyDescent="0.3">
      <c r="A143" s="15" t="s">
        <v>370</v>
      </c>
      <c r="M143" s="15">
        <f t="shared" si="30"/>
        <v>0</v>
      </c>
      <c r="N143" s="15" t="e">
        <f t="shared" si="31"/>
        <v>#DIV/0!</v>
      </c>
      <c r="O143" s="17">
        <f>SUMIFS(Inventario_Materiales!H$2:H$33,Inventario_Materiales!B$2:B$33,Calculadora_Produccion!F143)*E143+SUMIFS(Inventario_Materiales!H$2:H$33,Inventario_Materiales!B$2:B$33,H143)*G143+SUMIFS(Inventario_Materiales!H$2:H$33,Inventario_Materiales!B$2:B$33,Calculadora_Produccion!J143)*I143+SUMIFS(Inventario_Materiales!H$2:H$33,Inventario_Materiales!B$2:B$33,Calculadora_Produccion!L143)*K143</f>
        <v>0</v>
      </c>
      <c r="P143" s="17" t="e">
        <f>N143*Configuracion_Costos!$B$4*Configuracion_Costos!$B$5</f>
        <v>#DIV/0!</v>
      </c>
      <c r="Q143" s="18" t="e">
        <f>N143*Configuracion_Costos!$B$8</f>
        <v>#DIV/0!</v>
      </c>
      <c r="T143" s="17" t="e">
        <f t="shared" si="32"/>
        <v>#DIV/0!</v>
      </c>
      <c r="U143" s="17" t="e">
        <f>T143*(1+Configuracion_Costos!$B$7)</f>
        <v>#DIV/0!</v>
      </c>
      <c r="V143" s="18" t="e">
        <f t="shared" si="33"/>
        <v>#DIV/0!</v>
      </c>
      <c r="W143" s="18" t="e">
        <f t="shared" si="34"/>
        <v>#DIV/0!</v>
      </c>
      <c r="AC143" s="17" t="e">
        <f t="shared" si="29"/>
        <v>#DIV/0!</v>
      </c>
    </row>
    <row r="144" spans="1:29" x14ac:dyDescent="0.3">
      <c r="A144" s="15" t="s">
        <v>371</v>
      </c>
      <c r="M144" s="15">
        <f t="shared" si="30"/>
        <v>0</v>
      </c>
      <c r="N144" s="15" t="e">
        <f t="shared" si="31"/>
        <v>#DIV/0!</v>
      </c>
      <c r="O144" s="17">
        <f>SUMIFS(Inventario_Materiales!H$2:H$33,Inventario_Materiales!B$2:B$33,Calculadora_Produccion!F144)*E144+SUMIFS(Inventario_Materiales!H$2:H$33,Inventario_Materiales!B$2:B$33,H144)*G144+SUMIFS(Inventario_Materiales!H$2:H$33,Inventario_Materiales!B$2:B$33,Calculadora_Produccion!J144)*I144+SUMIFS(Inventario_Materiales!H$2:H$33,Inventario_Materiales!B$2:B$33,Calculadora_Produccion!L144)*K144</f>
        <v>0</v>
      </c>
      <c r="P144" s="17" t="e">
        <f>N144*Configuracion_Costos!$B$4*Configuracion_Costos!$B$5</f>
        <v>#DIV/0!</v>
      </c>
      <c r="Q144" s="18" t="e">
        <f>N144*Configuracion_Costos!$B$8</f>
        <v>#DIV/0!</v>
      </c>
      <c r="T144" s="17" t="e">
        <f t="shared" si="32"/>
        <v>#DIV/0!</v>
      </c>
      <c r="U144" s="17" t="e">
        <f>T144*(1+Configuracion_Costos!$B$7)</f>
        <v>#DIV/0!</v>
      </c>
      <c r="V144" s="18" t="e">
        <f t="shared" si="33"/>
        <v>#DIV/0!</v>
      </c>
      <c r="W144" s="18" t="e">
        <f t="shared" si="34"/>
        <v>#DIV/0!</v>
      </c>
      <c r="AC144" s="17" t="e">
        <f t="shared" si="29"/>
        <v>#DIV/0!</v>
      </c>
    </row>
    <row r="145" spans="1:29" x14ac:dyDescent="0.3">
      <c r="A145" s="15" t="s">
        <v>372</v>
      </c>
      <c r="M145" s="15">
        <f t="shared" si="30"/>
        <v>0</v>
      </c>
      <c r="N145" s="15" t="e">
        <f t="shared" si="31"/>
        <v>#DIV/0!</v>
      </c>
      <c r="O145" s="17">
        <f>SUMIFS(Inventario_Materiales!H$2:H$33,Inventario_Materiales!B$2:B$33,Calculadora_Produccion!F145)*E145+SUMIFS(Inventario_Materiales!H$2:H$33,Inventario_Materiales!B$2:B$33,H145)*G145+SUMIFS(Inventario_Materiales!H$2:H$33,Inventario_Materiales!B$2:B$33,Calculadora_Produccion!J145)*I145+SUMIFS(Inventario_Materiales!H$2:H$33,Inventario_Materiales!B$2:B$33,Calculadora_Produccion!L145)*K145</f>
        <v>0</v>
      </c>
      <c r="P145" s="17" t="e">
        <f>N145*Configuracion_Costos!$B$4*Configuracion_Costos!$B$5</f>
        <v>#DIV/0!</v>
      </c>
      <c r="Q145" s="18" t="e">
        <f>N145*Configuracion_Costos!$B$8</f>
        <v>#DIV/0!</v>
      </c>
      <c r="T145" s="17" t="e">
        <f t="shared" si="32"/>
        <v>#DIV/0!</v>
      </c>
      <c r="U145" s="17" t="e">
        <f>T145*(1+Configuracion_Costos!$B$7)</f>
        <v>#DIV/0!</v>
      </c>
      <c r="V145" s="18" t="e">
        <f t="shared" si="33"/>
        <v>#DIV/0!</v>
      </c>
      <c r="W145" s="18" t="e">
        <f t="shared" si="34"/>
        <v>#DIV/0!</v>
      </c>
      <c r="AC145" s="17" t="e">
        <f t="shared" si="29"/>
        <v>#DIV/0!</v>
      </c>
    </row>
    <row r="146" spans="1:29" x14ac:dyDescent="0.3">
      <c r="A146" s="15" t="s">
        <v>373</v>
      </c>
      <c r="M146" s="15">
        <f t="shared" si="30"/>
        <v>0</v>
      </c>
      <c r="N146" s="15" t="e">
        <f t="shared" si="31"/>
        <v>#DIV/0!</v>
      </c>
      <c r="O146" s="17">
        <f>SUMIFS(Inventario_Materiales!H$2:H$33,Inventario_Materiales!B$2:B$33,Calculadora_Produccion!F146)*E146+SUMIFS(Inventario_Materiales!H$2:H$33,Inventario_Materiales!B$2:B$33,H146)*G146+SUMIFS(Inventario_Materiales!H$2:H$33,Inventario_Materiales!B$2:B$33,Calculadora_Produccion!J146)*I146+SUMIFS(Inventario_Materiales!H$2:H$33,Inventario_Materiales!B$2:B$33,Calculadora_Produccion!L146)*K146</f>
        <v>0</v>
      </c>
      <c r="P146" s="17" t="e">
        <f>N146*Configuracion_Costos!$B$4*Configuracion_Costos!$B$5</f>
        <v>#DIV/0!</v>
      </c>
      <c r="Q146" s="18" t="e">
        <f>N146*Configuracion_Costos!$B$8</f>
        <v>#DIV/0!</v>
      </c>
      <c r="T146" s="17" t="e">
        <f t="shared" si="32"/>
        <v>#DIV/0!</v>
      </c>
      <c r="U146" s="17" t="e">
        <f>T146*(1+Configuracion_Costos!$B$7)</f>
        <v>#DIV/0!</v>
      </c>
      <c r="V146" s="18" t="e">
        <f t="shared" si="33"/>
        <v>#DIV/0!</v>
      </c>
      <c r="W146" s="18" t="e">
        <f t="shared" si="34"/>
        <v>#DIV/0!</v>
      </c>
      <c r="AC146" s="17" t="e">
        <f t="shared" si="29"/>
        <v>#DIV/0!</v>
      </c>
    </row>
    <row r="147" spans="1:29" x14ac:dyDescent="0.3">
      <c r="A147" s="15" t="s">
        <v>374</v>
      </c>
      <c r="M147" s="15">
        <f t="shared" si="30"/>
        <v>0</v>
      </c>
      <c r="N147" s="15" t="e">
        <f t="shared" si="31"/>
        <v>#DIV/0!</v>
      </c>
      <c r="O147" s="17">
        <f>SUMIFS(Inventario_Materiales!H$2:H$33,Inventario_Materiales!B$2:B$33,Calculadora_Produccion!F147)*E147+SUMIFS(Inventario_Materiales!H$2:H$33,Inventario_Materiales!B$2:B$33,H147)*G147+SUMIFS(Inventario_Materiales!H$2:H$33,Inventario_Materiales!B$2:B$33,Calculadora_Produccion!J147)*I147+SUMIFS(Inventario_Materiales!H$2:H$33,Inventario_Materiales!B$2:B$33,Calculadora_Produccion!L147)*K147</f>
        <v>0</v>
      </c>
      <c r="P147" s="17" t="e">
        <f>N147*Configuracion_Costos!$B$4*Configuracion_Costos!$B$5</f>
        <v>#DIV/0!</v>
      </c>
      <c r="Q147" s="18" t="e">
        <f>N147*Configuracion_Costos!$B$8</f>
        <v>#DIV/0!</v>
      </c>
      <c r="T147" s="17" t="e">
        <f t="shared" si="32"/>
        <v>#DIV/0!</v>
      </c>
      <c r="U147" s="17" t="e">
        <f>T147*(1+Configuracion_Costos!$B$7)</f>
        <v>#DIV/0!</v>
      </c>
      <c r="V147" s="18" t="e">
        <f t="shared" si="33"/>
        <v>#DIV/0!</v>
      </c>
      <c r="W147" s="18" t="e">
        <f t="shared" si="34"/>
        <v>#DIV/0!</v>
      </c>
      <c r="AC147" s="17" t="e">
        <f t="shared" si="29"/>
        <v>#DIV/0!</v>
      </c>
    </row>
    <row r="148" spans="1:29" x14ac:dyDescent="0.3">
      <c r="A148" s="15" t="s">
        <v>375</v>
      </c>
      <c r="M148" s="15">
        <f t="shared" si="30"/>
        <v>0</v>
      </c>
      <c r="N148" s="15" t="e">
        <f t="shared" si="31"/>
        <v>#DIV/0!</v>
      </c>
      <c r="O148" s="17">
        <f>SUMIFS(Inventario_Materiales!H$2:H$33,Inventario_Materiales!B$2:B$33,Calculadora_Produccion!F148)*E148+SUMIFS(Inventario_Materiales!H$2:H$33,Inventario_Materiales!B$2:B$33,H148)*G148+SUMIFS(Inventario_Materiales!H$2:H$33,Inventario_Materiales!B$2:B$33,Calculadora_Produccion!J148)*I148+SUMIFS(Inventario_Materiales!H$2:H$33,Inventario_Materiales!B$2:B$33,Calculadora_Produccion!L148)*K148</f>
        <v>0</v>
      </c>
      <c r="P148" s="17" t="e">
        <f>N148*Configuracion_Costos!$B$4*Configuracion_Costos!$B$5</f>
        <v>#DIV/0!</v>
      </c>
      <c r="Q148" s="18" t="e">
        <f>N148*Configuracion_Costos!$B$8</f>
        <v>#DIV/0!</v>
      </c>
      <c r="T148" s="17" t="e">
        <f t="shared" si="32"/>
        <v>#DIV/0!</v>
      </c>
      <c r="U148" s="17" t="e">
        <f>T148*(1+Configuracion_Costos!$B$7)</f>
        <v>#DIV/0!</v>
      </c>
      <c r="V148" s="18" t="e">
        <f t="shared" si="33"/>
        <v>#DIV/0!</v>
      </c>
      <c r="W148" s="18" t="e">
        <f t="shared" si="34"/>
        <v>#DIV/0!</v>
      </c>
      <c r="AC148" s="17" t="e">
        <f t="shared" si="29"/>
        <v>#DIV/0!</v>
      </c>
    </row>
    <row r="149" spans="1:29" x14ac:dyDescent="0.3">
      <c r="A149" s="15" t="s">
        <v>376</v>
      </c>
      <c r="M149" s="15">
        <f t="shared" si="30"/>
        <v>0</v>
      </c>
      <c r="N149" s="15" t="e">
        <f t="shared" si="31"/>
        <v>#DIV/0!</v>
      </c>
      <c r="O149" s="17">
        <f>SUMIFS(Inventario_Materiales!H$2:H$33,Inventario_Materiales!B$2:B$33,Calculadora_Produccion!F149)*E149+SUMIFS(Inventario_Materiales!H$2:H$33,Inventario_Materiales!B$2:B$33,H149)*G149+SUMIFS(Inventario_Materiales!H$2:H$33,Inventario_Materiales!B$2:B$33,Calculadora_Produccion!J149)*I149+SUMIFS(Inventario_Materiales!H$2:H$33,Inventario_Materiales!B$2:B$33,Calculadora_Produccion!L149)*K149</f>
        <v>0</v>
      </c>
      <c r="P149" s="17" t="e">
        <f>N149*Configuracion_Costos!$B$4*Configuracion_Costos!$B$5</f>
        <v>#DIV/0!</v>
      </c>
      <c r="Q149" s="18" t="e">
        <f>N149*Configuracion_Costos!$B$8</f>
        <v>#DIV/0!</v>
      </c>
      <c r="T149" s="17" t="e">
        <f t="shared" si="32"/>
        <v>#DIV/0!</v>
      </c>
      <c r="U149" s="17" t="e">
        <f>T149*(1+Configuracion_Costos!$B$7)</f>
        <v>#DIV/0!</v>
      </c>
      <c r="V149" s="18" t="e">
        <f t="shared" si="33"/>
        <v>#DIV/0!</v>
      </c>
      <c r="W149" s="18" t="e">
        <f t="shared" si="34"/>
        <v>#DIV/0!</v>
      </c>
      <c r="AC149" s="17" t="e">
        <f t="shared" si="29"/>
        <v>#DIV/0!</v>
      </c>
    </row>
    <row r="150" spans="1:29" x14ac:dyDescent="0.3">
      <c r="A150" s="15" t="s">
        <v>377</v>
      </c>
      <c r="M150" s="15">
        <f t="shared" si="30"/>
        <v>0</v>
      </c>
      <c r="N150" s="15" t="e">
        <f t="shared" si="31"/>
        <v>#DIV/0!</v>
      </c>
      <c r="O150" s="17">
        <f>SUMIFS(Inventario_Materiales!H$2:H$33,Inventario_Materiales!B$2:B$33,Calculadora_Produccion!F150)*E150+SUMIFS(Inventario_Materiales!H$2:H$33,Inventario_Materiales!B$2:B$33,H150)*G150+SUMIFS(Inventario_Materiales!H$2:H$33,Inventario_Materiales!B$2:B$33,Calculadora_Produccion!J150)*I150+SUMIFS(Inventario_Materiales!H$2:H$33,Inventario_Materiales!B$2:B$33,Calculadora_Produccion!L150)*K150</f>
        <v>0</v>
      </c>
      <c r="P150" s="17" t="e">
        <f>N150*Configuracion_Costos!$B$4*Configuracion_Costos!$B$5</f>
        <v>#DIV/0!</v>
      </c>
      <c r="Q150" s="18" t="e">
        <f>N150*Configuracion_Costos!$B$8</f>
        <v>#DIV/0!</v>
      </c>
      <c r="T150" s="17" t="e">
        <f t="shared" si="32"/>
        <v>#DIV/0!</v>
      </c>
      <c r="U150" s="17" t="e">
        <f>T150*(1+Configuracion_Costos!$B$7)</f>
        <v>#DIV/0!</v>
      </c>
      <c r="V150" s="18" t="e">
        <f t="shared" si="33"/>
        <v>#DIV/0!</v>
      </c>
      <c r="W150" s="18" t="e">
        <f t="shared" si="34"/>
        <v>#DIV/0!</v>
      </c>
      <c r="AC150" s="17" t="e">
        <f t="shared" si="29"/>
        <v>#DIV/0!</v>
      </c>
    </row>
    <row r="151" spans="1:29" x14ac:dyDescent="0.3">
      <c r="A151" s="15" t="s">
        <v>378</v>
      </c>
      <c r="M151" s="15">
        <f t="shared" si="30"/>
        <v>0</v>
      </c>
      <c r="N151" s="15" t="e">
        <f t="shared" si="31"/>
        <v>#DIV/0!</v>
      </c>
      <c r="O151" s="17">
        <f>SUMIFS(Inventario_Materiales!H$2:H$33,Inventario_Materiales!B$2:B$33,Calculadora_Produccion!F151)*E151+SUMIFS(Inventario_Materiales!H$2:H$33,Inventario_Materiales!B$2:B$33,H151)*G151+SUMIFS(Inventario_Materiales!H$2:H$33,Inventario_Materiales!B$2:B$33,Calculadora_Produccion!J151)*I151+SUMIFS(Inventario_Materiales!H$2:H$33,Inventario_Materiales!B$2:B$33,Calculadora_Produccion!L151)*K151</f>
        <v>0</v>
      </c>
      <c r="P151" s="17" t="e">
        <f>N151*Configuracion_Costos!$B$4*Configuracion_Costos!$B$5</f>
        <v>#DIV/0!</v>
      </c>
      <c r="Q151" s="18" t="e">
        <f>N151*Configuracion_Costos!$B$8</f>
        <v>#DIV/0!</v>
      </c>
      <c r="T151" s="17" t="e">
        <f t="shared" si="32"/>
        <v>#DIV/0!</v>
      </c>
      <c r="U151" s="17" t="e">
        <f>T151*(1+Configuracion_Costos!$B$7)</f>
        <v>#DIV/0!</v>
      </c>
      <c r="V151" s="18" t="e">
        <f t="shared" si="33"/>
        <v>#DIV/0!</v>
      </c>
      <c r="W151" s="18" t="e">
        <f t="shared" si="34"/>
        <v>#DIV/0!</v>
      </c>
      <c r="AC151" s="17" t="e">
        <f t="shared" si="29"/>
        <v>#DIV/0!</v>
      </c>
    </row>
    <row r="152" spans="1:29" x14ac:dyDescent="0.3">
      <c r="A152" s="15" t="s">
        <v>379</v>
      </c>
      <c r="M152" s="15">
        <f t="shared" si="30"/>
        <v>0</v>
      </c>
      <c r="N152" s="15" t="e">
        <f t="shared" si="31"/>
        <v>#DIV/0!</v>
      </c>
      <c r="O152" s="17">
        <f>SUMIFS(Inventario_Materiales!H$2:H$33,Inventario_Materiales!B$2:B$33,Calculadora_Produccion!F152)*E152+SUMIFS(Inventario_Materiales!H$2:H$33,Inventario_Materiales!B$2:B$33,H152)*G152+SUMIFS(Inventario_Materiales!H$2:H$33,Inventario_Materiales!B$2:B$33,Calculadora_Produccion!J152)*I152+SUMIFS(Inventario_Materiales!H$2:H$33,Inventario_Materiales!B$2:B$33,Calculadora_Produccion!L152)*K152</f>
        <v>0</v>
      </c>
      <c r="P152" s="17" t="e">
        <f>N152*Configuracion_Costos!$B$4*Configuracion_Costos!$B$5</f>
        <v>#DIV/0!</v>
      </c>
      <c r="Q152" s="18" t="e">
        <f>N152*Configuracion_Costos!$B$8</f>
        <v>#DIV/0!</v>
      </c>
      <c r="T152" s="17" t="e">
        <f t="shared" si="32"/>
        <v>#DIV/0!</v>
      </c>
      <c r="U152" s="17" t="e">
        <f>T152*(1+Configuracion_Costos!$B$7)</f>
        <v>#DIV/0!</v>
      </c>
      <c r="V152" s="18" t="e">
        <f t="shared" si="33"/>
        <v>#DIV/0!</v>
      </c>
      <c r="W152" s="18" t="e">
        <f t="shared" si="34"/>
        <v>#DIV/0!</v>
      </c>
      <c r="AC152" s="17" t="e">
        <f t="shared" si="29"/>
        <v>#DIV/0!</v>
      </c>
    </row>
    <row r="153" spans="1:29" x14ac:dyDescent="0.3">
      <c r="A153" s="15" t="s">
        <v>380</v>
      </c>
      <c r="M153" s="15">
        <f t="shared" si="30"/>
        <v>0</v>
      </c>
      <c r="N153" s="15" t="e">
        <f t="shared" si="31"/>
        <v>#DIV/0!</v>
      </c>
      <c r="O153" s="17">
        <f>SUMIFS(Inventario_Materiales!H$2:H$33,Inventario_Materiales!B$2:B$33,Calculadora_Produccion!F153)*E153+SUMIFS(Inventario_Materiales!H$2:H$33,Inventario_Materiales!B$2:B$33,H153)*G153+SUMIFS(Inventario_Materiales!H$2:H$33,Inventario_Materiales!B$2:B$33,Calculadora_Produccion!J153)*I153+SUMIFS(Inventario_Materiales!H$2:H$33,Inventario_Materiales!B$2:B$33,Calculadora_Produccion!L153)*K153</f>
        <v>0</v>
      </c>
      <c r="P153" s="17" t="e">
        <f>N153*Configuracion_Costos!$B$4*Configuracion_Costos!$B$5</f>
        <v>#DIV/0!</v>
      </c>
      <c r="Q153" s="18" t="e">
        <f>N153*Configuracion_Costos!$B$8</f>
        <v>#DIV/0!</v>
      </c>
      <c r="T153" s="17" t="e">
        <f t="shared" si="32"/>
        <v>#DIV/0!</v>
      </c>
      <c r="U153" s="17" t="e">
        <f>T153*(1+Configuracion_Costos!$B$7)</f>
        <v>#DIV/0!</v>
      </c>
      <c r="V153" s="18" t="e">
        <f t="shared" si="33"/>
        <v>#DIV/0!</v>
      </c>
      <c r="W153" s="18" t="e">
        <f t="shared" si="34"/>
        <v>#DIV/0!</v>
      </c>
      <c r="AC153" s="17" t="e">
        <f t="shared" si="29"/>
        <v>#DIV/0!</v>
      </c>
    </row>
    <row r="154" spans="1:29" x14ac:dyDescent="0.3">
      <c r="A154" s="15" t="s">
        <v>381</v>
      </c>
      <c r="M154" s="15">
        <f t="shared" si="30"/>
        <v>0</v>
      </c>
      <c r="N154" s="15" t="e">
        <f t="shared" si="31"/>
        <v>#DIV/0!</v>
      </c>
      <c r="O154" s="17">
        <f>SUMIFS(Inventario_Materiales!H$2:H$33,Inventario_Materiales!B$2:B$33,Calculadora_Produccion!F154)*E154+SUMIFS(Inventario_Materiales!H$2:H$33,Inventario_Materiales!B$2:B$33,H154)*G154+SUMIFS(Inventario_Materiales!H$2:H$33,Inventario_Materiales!B$2:B$33,Calculadora_Produccion!J154)*I154+SUMIFS(Inventario_Materiales!H$2:H$33,Inventario_Materiales!B$2:B$33,Calculadora_Produccion!L154)*K154</f>
        <v>0</v>
      </c>
      <c r="P154" s="17" t="e">
        <f>N154*Configuracion_Costos!$B$4*Configuracion_Costos!$B$5</f>
        <v>#DIV/0!</v>
      </c>
      <c r="Q154" s="18" t="e">
        <f>N154*Configuracion_Costos!$B$8</f>
        <v>#DIV/0!</v>
      </c>
      <c r="T154" s="17" t="e">
        <f t="shared" si="32"/>
        <v>#DIV/0!</v>
      </c>
      <c r="U154" s="17" t="e">
        <f>T154*(1+Configuracion_Costos!$B$7)</f>
        <v>#DIV/0!</v>
      </c>
      <c r="V154" s="18" t="e">
        <f t="shared" si="33"/>
        <v>#DIV/0!</v>
      </c>
      <c r="W154" s="18" t="e">
        <f t="shared" si="34"/>
        <v>#DIV/0!</v>
      </c>
      <c r="AC154" s="17" t="e">
        <f t="shared" si="29"/>
        <v>#DIV/0!</v>
      </c>
    </row>
    <row r="155" spans="1:29" x14ac:dyDescent="0.3">
      <c r="A155" s="15" t="s">
        <v>382</v>
      </c>
      <c r="M155" s="15">
        <f t="shared" si="30"/>
        <v>0</v>
      </c>
      <c r="N155" s="15" t="e">
        <f t="shared" si="31"/>
        <v>#DIV/0!</v>
      </c>
      <c r="O155" s="17">
        <f>SUMIFS(Inventario_Materiales!H$2:H$33,Inventario_Materiales!B$2:B$33,Calculadora_Produccion!F155)*E155+SUMIFS(Inventario_Materiales!H$2:H$33,Inventario_Materiales!B$2:B$33,H155)*G155+SUMIFS(Inventario_Materiales!H$2:H$33,Inventario_Materiales!B$2:B$33,Calculadora_Produccion!J155)*I155+SUMIFS(Inventario_Materiales!H$2:H$33,Inventario_Materiales!B$2:B$33,Calculadora_Produccion!L155)*K155</f>
        <v>0</v>
      </c>
      <c r="P155" s="17" t="e">
        <f>N155*Configuracion_Costos!$B$4*Configuracion_Costos!$B$5</f>
        <v>#DIV/0!</v>
      </c>
      <c r="Q155" s="18" t="e">
        <f>N155*Configuracion_Costos!$B$8</f>
        <v>#DIV/0!</v>
      </c>
      <c r="T155" s="17" t="e">
        <f t="shared" si="32"/>
        <v>#DIV/0!</v>
      </c>
      <c r="U155" s="17" t="e">
        <f>T155*(1+Configuracion_Costos!$B$7)</f>
        <v>#DIV/0!</v>
      </c>
      <c r="V155" s="18" t="e">
        <f t="shared" si="33"/>
        <v>#DIV/0!</v>
      </c>
      <c r="W155" s="18" t="e">
        <f t="shared" si="34"/>
        <v>#DIV/0!</v>
      </c>
      <c r="AC155" s="17" t="e">
        <f t="shared" si="29"/>
        <v>#DIV/0!</v>
      </c>
    </row>
    <row r="156" spans="1:29" x14ac:dyDescent="0.3">
      <c r="A156" s="15" t="s">
        <v>383</v>
      </c>
      <c r="M156" s="15">
        <f t="shared" si="30"/>
        <v>0</v>
      </c>
      <c r="N156" s="15" t="e">
        <f t="shared" si="31"/>
        <v>#DIV/0!</v>
      </c>
      <c r="O156" s="17">
        <f>SUMIFS(Inventario_Materiales!H$2:H$33,Inventario_Materiales!B$2:B$33,Calculadora_Produccion!F156)*E156+SUMIFS(Inventario_Materiales!H$2:H$33,Inventario_Materiales!B$2:B$33,H156)*G156+SUMIFS(Inventario_Materiales!H$2:H$33,Inventario_Materiales!B$2:B$33,Calculadora_Produccion!J156)*I156+SUMIFS(Inventario_Materiales!H$2:H$33,Inventario_Materiales!B$2:B$33,Calculadora_Produccion!L156)*K156</f>
        <v>0</v>
      </c>
      <c r="P156" s="17" t="e">
        <f>N156*Configuracion_Costos!$B$4*Configuracion_Costos!$B$5</f>
        <v>#DIV/0!</v>
      </c>
      <c r="Q156" s="18" t="e">
        <f>N156*Configuracion_Costos!$B$8</f>
        <v>#DIV/0!</v>
      </c>
      <c r="T156" s="17" t="e">
        <f t="shared" si="32"/>
        <v>#DIV/0!</v>
      </c>
      <c r="U156" s="17" t="e">
        <f>T156*(1+Configuracion_Costos!$B$7)</f>
        <v>#DIV/0!</v>
      </c>
      <c r="V156" s="18" t="e">
        <f t="shared" si="33"/>
        <v>#DIV/0!</v>
      </c>
      <c r="W156" s="18" t="e">
        <f t="shared" si="34"/>
        <v>#DIV/0!</v>
      </c>
      <c r="AC156" s="17" t="e">
        <f t="shared" si="29"/>
        <v>#DIV/0!</v>
      </c>
    </row>
    <row r="157" spans="1:29" x14ac:dyDescent="0.3">
      <c r="A157" s="15" t="s">
        <v>384</v>
      </c>
      <c r="M157" s="15">
        <f t="shared" si="30"/>
        <v>0</v>
      </c>
      <c r="N157" s="15" t="e">
        <f t="shared" si="31"/>
        <v>#DIV/0!</v>
      </c>
      <c r="O157" s="17">
        <f>SUMIFS(Inventario_Materiales!H$2:H$33,Inventario_Materiales!B$2:B$33,Calculadora_Produccion!F157)*E157+SUMIFS(Inventario_Materiales!H$2:H$33,Inventario_Materiales!B$2:B$33,H157)*G157+SUMIFS(Inventario_Materiales!H$2:H$33,Inventario_Materiales!B$2:B$33,Calculadora_Produccion!J157)*I157+SUMIFS(Inventario_Materiales!H$2:H$33,Inventario_Materiales!B$2:B$33,Calculadora_Produccion!L157)*K157</f>
        <v>0</v>
      </c>
      <c r="P157" s="17" t="e">
        <f>N157*Configuracion_Costos!$B$4*Configuracion_Costos!$B$5</f>
        <v>#DIV/0!</v>
      </c>
      <c r="Q157" s="18" t="e">
        <f>N157*Configuracion_Costos!$B$8</f>
        <v>#DIV/0!</v>
      </c>
      <c r="T157" s="17" t="e">
        <f t="shared" si="32"/>
        <v>#DIV/0!</v>
      </c>
      <c r="U157" s="17" t="e">
        <f>T157*(1+Configuracion_Costos!$B$7)</f>
        <v>#DIV/0!</v>
      </c>
      <c r="V157" s="18" t="e">
        <f t="shared" si="33"/>
        <v>#DIV/0!</v>
      </c>
      <c r="W157" s="18" t="e">
        <f t="shared" si="34"/>
        <v>#DIV/0!</v>
      </c>
      <c r="AC157" s="17" t="e">
        <f t="shared" si="29"/>
        <v>#DIV/0!</v>
      </c>
    </row>
    <row r="158" spans="1:29" x14ac:dyDescent="0.3">
      <c r="A158" s="15" t="s">
        <v>385</v>
      </c>
      <c r="M158" s="15">
        <f t="shared" si="30"/>
        <v>0</v>
      </c>
      <c r="N158" s="15" t="e">
        <f t="shared" si="31"/>
        <v>#DIV/0!</v>
      </c>
      <c r="O158" s="17">
        <f>SUMIFS(Inventario_Materiales!H$2:H$33,Inventario_Materiales!B$2:B$33,Calculadora_Produccion!F158)*E158+SUMIFS(Inventario_Materiales!H$2:H$33,Inventario_Materiales!B$2:B$33,H158)*G158+SUMIFS(Inventario_Materiales!H$2:H$33,Inventario_Materiales!B$2:B$33,Calculadora_Produccion!J158)*I158+SUMIFS(Inventario_Materiales!H$2:H$33,Inventario_Materiales!B$2:B$33,Calculadora_Produccion!L158)*K158</f>
        <v>0</v>
      </c>
      <c r="P158" s="17" t="e">
        <f>N158*Configuracion_Costos!$B$4*Configuracion_Costos!$B$5</f>
        <v>#DIV/0!</v>
      </c>
      <c r="Q158" s="18" t="e">
        <f>N158*Configuracion_Costos!$B$8</f>
        <v>#DIV/0!</v>
      </c>
      <c r="T158" s="17" t="e">
        <f t="shared" si="32"/>
        <v>#DIV/0!</v>
      </c>
      <c r="U158" s="17" t="e">
        <f>T158*(1+Configuracion_Costos!$B$7)</f>
        <v>#DIV/0!</v>
      </c>
      <c r="V158" s="18" t="e">
        <f t="shared" si="33"/>
        <v>#DIV/0!</v>
      </c>
      <c r="W158" s="18" t="e">
        <f t="shared" si="34"/>
        <v>#DIV/0!</v>
      </c>
      <c r="AC158" s="17" t="e">
        <f t="shared" si="29"/>
        <v>#DIV/0!</v>
      </c>
    </row>
    <row r="159" spans="1:29" x14ac:dyDescent="0.3">
      <c r="A159" s="15" t="s">
        <v>386</v>
      </c>
      <c r="M159" s="15">
        <f t="shared" si="30"/>
        <v>0</v>
      </c>
      <c r="N159" s="15" t="e">
        <f t="shared" si="31"/>
        <v>#DIV/0!</v>
      </c>
      <c r="O159" s="17">
        <f>SUMIFS(Inventario_Materiales!H$2:H$33,Inventario_Materiales!B$2:B$33,Calculadora_Produccion!F159)*E159+SUMIFS(Inventario_Materiales!H$2:H$33,Inventario_Materiales!B$2:B$33,H159)*G159+SUMIFS(Inventario_Materiales!H$2:H$33,Inventario_Materiales!B$2:B$33,Calculadora_Produccion!J159)*I159+SUMIFS(Inventario_Materiales!H$2:H$33,Inventario_Materiales!B$2:B$33,Calculadora_Produccion!L159)*K159</f>
        <v>0</v>
      </c>
      <c r="P159" s="17" t="e">
        <f>N159*Configuracion_Costos!$B$4*Configuracion_Costos!$B$5</f>
        <v>#DIV/0!</v>
      </c>
      <c r="Q159" s="18" t="e">
        <f>N159*Configuracion_Costos!$B$8</f>
        <v>#DIV/0!</v>
      </c>
      <c r="T159" s="17" t="e">
        <f t="shared" si="32"/>
        <v>#DIV/0!</v>
      </c>
      <c r="U159" s="17" t="e">
        <f>T159*(1+Configuracion_Costos!$B$7)</f>
        <v>#DIV/0!</v>
      </c>
      <c r="V159" s="18" t="e">
        <f t="shared" si="33"/>
        <v>#DIV/0!</v>
      </c>
      <c r="W159" s="18" t="e">
        <f t="shared" si="34"/>
        <v>#DIV/0!</v>
      </c>
      <c r="AC159" s="17" t="e">
        <f t="shared" si="29"/>
        <v>#DIV/0!</v>
      </c>
    </row>
    <row r="160" spans="1:29" x14ac:dyDescent="0.3">
      <c r="A160" s="15" t="s">
        <v>387</v>
      </c>
      <c r="M160" s="15">
        <f t="shared" si="30"/>
        <v>0</v>
      </c>
      <c r="N160" s="15" t="e">
        <f t="shared" si="31"/>
        <v>#DIV/0!</v>
      </c>
      <c r="O160" s="17">
        <f>SUMIFS(Inventario_Materiales!H$2:H$33,Inventario_Materiales!B$2:B$33,Calculadora_Produccion!F160)*E160+SUMIFS(Inventario_Materiales!H$2:H$33,Inventario_Materiales!B$2:B$33,H160)*G160+SUMIFS(Inventario_Materiales!H$2:H$33,Inventario_Materiales!B$2:B$33,Calculadora_Produccion!J160)*I160+SUMIFS(Inventario_Materiales!H$2:H$33,Inventario_Materiales!B$2:B$33,Calculadora_Produccion!L160)*K160</f>
        <v>0</v>
      </c>
      <c r="P160" s="17" t="e">
        <f>N160*Configuracion_Costos!$B$4*Configuracion_Costos!$B$5</f>
        <v>#DIV/0!</v>
      </c>
      <c r="Q160" s="18" t="e">
        <f>N160*Configuracion_Costos!$B$8</f>
        <v>#DIV/0!</v>
      </c>
      <c r="T160" s="17" t="e">
        <f t="shared" si="32"/>
        <v>#DIV/0!</v>
      </c>
      <c r="U160" s="17" t="e">
        <f>T160*(1+Configuracion_Costos!$B$7)</f>
        <v>#DIV/0!</v>
      </c>
      <c r="V160" s="18" t="e">
        <f t="shared" si="33"/>
        <v>#DIV/0!</v>
      </c>
      <c r="W160" s="18" t="e">
        <f t="shared" si="34"/>
        <v>#DIV/0!</v>
      </c>
      <c r="AC160" s="17" t="e">
        <f t="shared" si="29"/>
        <v>#DIV/0!</v>
      </c>
    </row>
    <row r="161" spans="1:29" x14ac:dyDescent="0.3">
      <c r="A161" s="15" t="s">
        <v>388</v>
      </c>
      <c r="M161" s="15">
        <f t="shared" si="30"/>
        <v>0</v>
      </c>
      <c r="N161" s="15" t="e">
        <f t="shared" si="31"/>
        <v>#DIV/0!</v>
      </c>
      <c r="O161" s="17">
        <f>SUMIFS(Inventario_Materiales!H$2:H$33,Inventario_Materiales!B$2:B$33,Calculadora_Produccion!F161)*E161+SUMIFS(Inventario_Materiales!H$2:H$33,Inventario_Materiales!B$2:B$33,H161)*G161+SUMIFS(Inventario_Materiales!H$2:H$33,Inventario_Materiales!B$2:B$33,Calculadora_Produccion!J161)*I161+SUMIFS(Inventario_Materiales!H$2:H$33,Inventario_Materiales!B$2:B$33,Calculadora_Produccion!L161)*K161</f>
        <v>0</v>
      </c>
      <c r="P161" s="17" t="e">
        <f>N161*Configuracion_Costos!$B$4*Configuracion_Costos!$B$5</f>
        <v>#DIV/0!</v>
      </c>
      <c r="Q161" s="18" t="e">
        <f>N161*Configuracion_Costos!$B$8</f>
        <v>#DIV/0!</v>
      </c>
      <c r="T161" s="17" t="e">
        <f t="shared" si="32"/>
        <v>#DIV/0!</v>
      </c>
      <c r="U161" s="17" t="e">
        <f>T161*(1+Configuracion_Costos!$B$7)</f>
        <v>#DIV/0!</v>
      </c>
      <c r="V161" s="18" t="e">
        <f t="shared" si="33"/>
        <v>#DIV/0!</v>
      </c>
      <c r="W161" s="18" t="e">
        <f t="shared" si="34"/>
        <v>#DIV/0!</v>
      </c>
      <c r="AC161" s="17" t="e">
        <f t="shared" si="29"/>
        <v>#DIV/0!</v>
      </c>
    </row>
    <row r="162" spans="1:29" x14ac:dyDescent="0.3">
      <c r="A162" s="15" t="s">
        <v>389</v>
      </c>
      <c r="M162" s="15">
        <f t="shared" si="30"/>
        <v>0</v>
      </c>
      <c r="N162" s="15" t="e">
        <f t="shared" si="31"/>
        <v>#DIV/0!</v>
      </c>
      <c r="O162" s="17">
        <f>SUMIFS(Inventario_Materiales!H$2:H$33,Inventario_Materiales!B$2:B$33,Calculadora_Produccion!F162)*E162+SUMIFS(Inventario_Materiales!H$2:H$33,Inventario_Materiales!B$2:B$33,H162)*G162+SUMIFS(Inventario_Materiales!H$2:H$33,Inventario_Materiales!B$2:B$33,Calculadora_Produccion!J162)*I162+SUMIFS(Inventario_Materiales!H$2:H$33,Inventario_Materiales!B$2:B$33,Calculadora_Produccion!L162)*K162</f>
        <v>0</v>
      </c>
      <c r="P162" s="17" t="e">
        <f>N162*Configuracion_Costos!$B$4*Configuracion_Costos!$B$5</f>
        <v>#DIV/0!</v>
      </c>
      <c r="Q162" s="18" t="e">
        <f>N162*Configuracion_Costos!$B$8</f>
        <v>#DIV/0!</v>
      </c>
      <c r="T162" s="17" t="e">
        <f t="shared" si="32"/>
        <v>#DIV/0!</v>
      </c>
      <c r="U162" s="17" t="e">
        <f>T162*(1+Configuracion_Costos!$B$7)</f>
        <v>#DIV/0!</v>
      </c>
      <c r="V162" s="18" t="e">
        <f t="shared" si="33"/>
        <v>#DIV/0!</v>
      </c>
      <c r="W162" s="18" t="e">
        <f t="shared" si="34"/>
        <v>#DIV/0!</v>
      </c>
      <c r="AC162" s="17" t="e">
        <f t="shared" si="29"/>
        <v>#DIV/0!</v>
      </c>
    </row>
    <row r="163" spans="1:29" x14ac:dyDescent="0.3">
      <c r="A163" s="15" t="s">
        <v>390</v>
      </c>
      <c r="M163" s="15">
        <f t="shared" si="30"/>
        <v>0</v>
      </c>
      <c r="N163" s="15" t="e">
        <f t="shared" si="31"/>
        <v>#DIV/0!</v>
      </c>
      <c r="O163" s="17">
        <f>SUMIFS(Inventario_Materiales!H$2:H$33,Inventario_Materiales!B$2:B$33,Calculadora_Produccion!F163)*E163+SUMIFS(Inventario_Materiales!H$2:H$33,Inventario_Materiales!B$2:B$33,H163)*G163+SUMIFS(Inventario_Materiales!H$2:H$33,Inventario_Materiales!B$2:B$33,Calculadora_Produccion!J163)*I163+SUMIFS(Inventario_Materiales!H$2:H$33,Inventario_Materiales!B$2:B$33,Calculadora_Produccion!L163)*K163</f>
        <v>0</v>
      </c>
      <c r="P163" s="17" t="e">
        <f>N163*Configuracion_Costos!$B$4*Configuracion_Costos!$B$5</f>
        <v>#DIV/0!</v>
      </c>
      <c r="Q163" s="18" t="e">
        <f>N163*Configuracion_Costos!$B$8</f>
        <v>#DIV/0!</v>
      </c>
      <c r="T163" s="17" t="e">
        <f t="shared" si="32"/>
        <v>#DIV/0!</v>
      </c>
      <c r="U163" s="17" t="e">
        <f>T163*(1+Configuracion_Costos!$B$7)</f>
        <v>#DIV/0!</v>
      </c>
      <c r="V163" s="18" t="e">
        <f t="shared" si="33"/>
        <v>#DIV/0!</v>
      </c>
      <c r="W163" s="18" t="e">
        <f t="shared" si="34"/>
        <v>#DIV/0!</v>
      </c>
      <c r="AC163" s="17" t="e">
        <f t="shared" si="29"/>
        <v>#DIV/0!</v>
      </c>
    </row>
    <row r="164" spans="1:29" x14ac:dyDescent="0.3">
      <c r="A164" s="15" t="s">
        <v>391</v>
      </c>
      <c r="M164" s="15">
        <f t="shared" si="30"/>
        <v>0</v>
      </c>
      <c r="N164" s="15" t="e">
        <f t="shared" si="31"/>
        <v>#DIV/0!</v>
      </c>
      <c r="O164" s="17">
        <f>SUMIFS(Inventario_Materiales!H$2:H$33,Inventario_Materiales!B$2:B$33,Calculadora_Produccion!F164)*E164+SUMIFS(Inventario_Materiales!H$2:H$33,Inventario_Materiales!B$2:B$33,H164)*G164+SUMIFS(Inventario_Materiales!H$2:H$33,Inventario_Materiales!B$2:B$33,Calculadora_Produccion!J164)*I164+SUMIFS(Inventario_Materiales!H$2:H$33,Inventario_Materiales!B$2:B$33,Calculadora_Produccion!L164)*K164</f>
        <v>0</v>
      </c>
      <c r="P164" s="17" t="e">
        <f>N164*Configuracion_Costos!$B$4*Configuracion_Costos!$B$5</f>
        <v>#DIV/0!</v>
      </c>
      <c r="Q164" s="18" t="e">
        <f>N164*Configuracion_Costos!$B$8</f>
        <v>#DIV/0!</v>
      </c>
      <c r="T164" s="17" t="e">
        <f t="shared" si="32"/>
        <v>#DIV/0!</v>
      </c>
      <c r="U164" s="17" t="e">
        <f>T164*(1+Configuracion_Costos!$B$7)</f>
        <v>#DIV/0!</v>
      </c>
      <c r="V164" s="18" t="e">
        <f t="shared" si="33"/>
        <v>#DIV/0!</v>
      </c>
      <c r="W164" s="18" t="e">
        <f t="shared" si="34"/>
        <v>#DIV/0!</v>
      </c>
      <c r="AC164" s="17" t="e">
        <f t="shared" si="29"/>
        <v>#DIV/0!</v>
      </c>
    </row>
    <row r="165" spans="1:29" x14ac:dyDescent="0.3">
      <c r="A165" s="15" t="s">
        <v>392</v>
      </c>
      <c r="M165" s="15">
        <f t="shared" si="30"/>
        <v>0</v>
      </c>
      <c r="N165" s="15" t="e">
        <f t="shared" si="31"/>
        <v>#DIV/0!</v>
      </c>
      <c r="O165" s="17">
        <f>SUMIFS(Inventario_Materiales!H$2:H$33,Inventario_Materiales!B$2:B$33,Calculadora_Produccion!F165)*E165+SUMIFS(Inventario_Materiales!H$2:H$33,Inventario_Materiales!B$2:B$33,H165)*G165+SUMIFS(Inventario_Materiales!H$2:H$33,Inventario_Materiales!B$2:B$33,Calculadora_Produccion!J165)*I165+SUMIFS(Inventario_Materiales!H$2:H$33,Inventario_Materiales!B$2:B$33,Calculadora_Produccion!L165)*K165</f>
        <v>0</v>
      </c>
      <c r="P165" s="17" t="e">
        <f>N165*Configuracion_Costos!$B$4*Configuracion_Costos!$B$5</f>
        <v>#DIV/0!</v>
      </c>
      <c r="Q165" s="18" t="e">
        <f>N165*Configuracion_Costos!$B$8</f>
        <v>#DIV/0!</v>
      </c>
      <c r="T165" s="17" t="e">
        <f t="shared" si="32"/>
        <v>#DIV/0!</v>
      </c>
      <c r="U165" s="17" t="e">
        <f>T165*(1+Configuracion_Costos!$B$7)</f>
        <v>#DIV/0!</v>
      </c>
      <c r="V165" s="18" t="e">
        <f t="shared" si="33"/>
        <v>#DIV/0!</v>
      </c>
      <c r="W165" s="18" t="e">
        <f t="shared" si="34"/>
        <v>#DIV/0!</v>
      </c>
      <c r="AC165" s="17" t="e">
        <f t="shared" si="29"/>
        <v>#DIV/0!</v>
      </c>
    </row>
    <row r="166" spans="1:29" x14ac:dyDescent="0.3">
      <c r="A166" s="15" t="s">
        <v>393</v>
      </c>
      <c r="M166" s="15">
        <f t="shared" si="30"/>
        <v>0</v>
      </c>
      <c r="N166" s="15" t="e">
        <f t="shared" si="31"/>
        <v>#DIV/0!</v>
      </c>
      <c r="O166" s="17">
        <f>SUMIFS(Inventario_Materiales!H$2:H$33,Inventario_Materiales!B$2:B$33,Calculadora_Produccion!F166)*E166+SUMIFS(Inventario_Materiales!H$2:H$33,Inventario_Materiales!B$2:B$33,H166)*G166+SUMIFS(Inventario_Materiales!H$2:H$33,Inventario_Materiales!B$2:B$33,Calculadora_Produccion!J166)*I166+SUMIFS(Inventario_Materiales!H$2:H$33,Inventario_Materiales!B$2:B$33,Calculadora_Produccion!L166)*K166</f>
        <v>0</v>
      </c>
      <c r="P166" s="17" t="e">
        <f>N166*Configuracion_Costos!$B$4*Configuracion_Costos!$B$5</f>
        <v>#DIV/0!</v>
      </c>
      <c r="Q166" s="18" t="e">
        <f>N166*Configuracion_Costos!$B$8</f>
        <v>#DIV/0!</v>
      </c>
      <c r="T166" s="17" t="e">
        <f t="shared" si="32"/>
        <v>#DIV/0!</v>
      </c>
      <c r="U166" s="17" t="e">
        <f>T166*(1+Configuracion_Costos!$B$7)</f>
        <v>#DIV/0!</v>
      </c>
      <c r="V166" s="18" t="e">
        <f t="shared" si="33"/>
        <v>#DIV/0!</v>
      </c>
      <c r="W166" s="18" t="e">
        <f t="shared" si="34"/>
        <v>#DIV/0!</v>
      </c>
      <c r="AC166" s="17" t="e">
        <f t="shared" si="29"/>
        <v>#DIV/0!</v>
      </c>
    </row>
    <row r="167" spans="1:29" x14ac:dyDescent="0.3">
      <c r="A167" s="15" t="s">
        <v>394</v>
      </c>
      <c r="M167" s="15">
        <f t="shared" si="30"/>
        <v>0</v>
      </c>
      <c r="N167" s="15" t="e">
        <f t="shared" si="31"/>
        <v>#DIV/0!</v>
      </c>
      <c r="O167" s="17">
        <f>SUMIFS(Inventario_Materiales!H$2:H$33,Inventario_Materiales!B$2:B$33,Calculadora_Produccion!F167)*E167+SUMIFS(Inventario_Materiales!H$2:H$33,Inventario_Materiales!B$2:B$33,H167)*G167+SUMIFS(Inventario_Materiales!H$2:H$33,Inventario_Materiales!B$2:B$33,Calculadora_Produccion!J167)*I167+SUMIFS(Inventario_Materiales!H$2:H$33,Inventario_Materiales!B$2:B$33,Calculadora_Produccion!L167)*K167</f>
        <v>0</v>
      </c>
      <c r="P167" s="17" t="e">
        <f>N167*Configuracion_Costos!$B$4*Configuracion_Costos!$B$5</f>
        <v>#DIV/0!</v>
      </c>
      <c r="Q167" s="18" t="e">
        <f>N167*Configuracion_Costos!$B$8</f>
        <v>#DIV/0!</v>
      </c>
      <c r="T167" s="17" t="e">
        <f t="shared" si="32"/>
        <v>#DIV/0!</v>
      </c>
      <c r="U167" s="17" t="e">
        <f>T167*(1+Configuracion_Costos!$B$7)</f>
        <v>#DIV/0!</v>
      </c>
      <c r="V167" s="18" t="e">
        <f t="shared" si="33"/>
        <v>#DIV/0!</v>
      </c>
      <c r="W167" s="18" t="e">
        <f t="shared" si="34"/>
        <v>#DIV/0!</v>
      </c>
      <c r="AC167" s="17" t="e">
        <f t="shared" si="29"/>
        <v>#DIV/0!</v>
      </c>
    </row>
    <row r="168" spans="1:29" x14ac:dyDescent="0.3">
      <c r="A168" s="15" t="s">
        <v>395</v>
      </c>
      <c r="M168" s="15">
        <f t="shared" si="30"/>
        <v>0</v>
      </c>
      <c r="N168" s="15" t="e">
        <f t="shared" si="31"/>
        <v>#DIV/0!</v>
      </c>
      <c r="O168" s="17">
        <f>SUMIFS(Inventario_Materiales!H$2:H$33,Inventario_Materiales!B$2:B$33,Calculadora_Produccion!F168)*E168+SUMIFS(Inventario_Materiales!H$2:H$33,Inventario_Materiales!B$2:B$33,H168)*G168+SUMIFS(Inventario_Materiales!H$2:H$33,Inventario_Materiales!B$2:B$33,Calculadora_Produccion!J168)*I168+SUMIFS(Inventario_Materiales!H$2:H$33,Inventario_Materiales!B$2:B$33,Calculadora_Produccion!L168)*K168</f>
        <v>0</v>
      </c>
      <c r="P168" s="17" t="e">
        <f>N168*Configuracion_Costos!$B$4*Configuracion_Costos!$B$5</f>
        <v>#DIV/0!</v>
      </c>
      <c r="Q168" s="18" t="e">
        <f>N168*Configuracion_Costos!$B$8</f>
        <v>#DIV/0!</v>
      </c>
      <c r="T168" s="17" t="e">
        <f t="shared" si="32"/>
        <v>#DIV/0!</v>
      </c>
      <c r="U168" s="17" t="e">
        <f>T168*(1+Configuracion_Costos!$B$7)</f>
        <v>#DIV/0!</v>
      </c>
      <c r="V168" s="18" t="e">
        <f t="shared" si="33"/>
        <v>#DIV/0!</v>
      </c>
      <c r="W168" s="18" t="e">
        <f t="shared" si="34"/>
        <v>#DIV/0!</v>
      </c>
      <c r="AC168" s="17" t="e">
        <f t="shared" si="29"/>
        <v>#DIV/0!</v>
      </c>
    </row>
    <row r="169" spans="1:29" x14ac:dyDescent="0.3">
      <c r="A169" s="15" t="s">
        <v>396</v>
      </c>
      <c r="M169" s="15">
        <f t="shared" si="30"/>
        <v>0</v>
      </c>
      <c r="N169" s="15" t="e">
        <f t="shared" si="31"/>
        <v>#DIV/0!</v>
      </c>
      <c r="O169" s="17">
        <f>SUMIFS(Inventario_Materiales!H$2:H$33,Inventario_Materiales!B$2:B$33,Calculadora_Produccion!F169)*E169+SUMIFS(Inventario_Materiales!H$2:H$33,Inventario_Materiales!B$2:B$33,H169)*G169+SUMIFS(Inventario_Materiales!H$2:H$33,Inventario_Materiales!B$2:B$33,Calculadora_Produccion!J169)*I169+SUMIFS(Inventario_Materiales!H$2:H$33,Inventario_Materiales!B$2:B$33,Calculadora_Produccion!L169)*K169</f>
        <v>0</v>
      </c>
      <c r="P169" s="17" t="e">
        <f>N169*Configuracion_Costos!$B$4*Configuracion_Costos!$B$5</f>
        <v>#DIV/0!</v>
      </c>
      <c r="Q169" s="18" t="e">
        <f>N169*Configuracion_Costos!$B$8</f>
        <v>#DIV/0!</v>
      </c>
      <c r="T169" s="17" t="e">
        <f t="shared" si="32"/>
        <v>#DIV/0!</v>
      </c>
      <c r="U169" s="17" t="e">
        <f>T169*(1+Configuracion_Costos!$B$7)</f>
        <v>#DIV/0!</v>
      </c>
      <c r="V169" s="18" t="e">
        <f t="shared" si="33"/>
        <v>#DIV/0!</v>
      </c>
      <c r="W169" s="18" t="e">
        <f t="shared" si="34"/>
        <v>#DIV/0!</v>
      </c>
      <c r="AC169" s="17" t="e">
        <f t="shared" si="29"/>
        <v>#DIV/0!</v>
      </c>
    </row>
    <row r="170" spans="1:29" x14ac:dyDescent="0.3">
      <c r="A170" s="15" t="s">
        <v>397</v>
      </c>
      <c r="M170" s="15">
        <f t="shared" si="30"/>
        <v>0</v>
      </c>
      <c r="N170" s="15" t="e">
        <f t="shared" si="31"/>
        <v>#DIV/0!</v>
      </c>
      <c r="O170" s="17">
        <f>SUMIFS(Inventario_Materiales!H$2:H$33,Inventario_Materiales!B$2:B$33,Calculadora_Produccion!F170)*E170+SUMIFS(Inventario_Materiales!H$2:H$33,Inventario_Materiales!B$2:B$33,H170)*G170+SUMIFS(Inventario_Materiales!H$2:H$33,Inventario_Materiales!B$2:B$33,Calculadora_Produccion!J170)*I170+SUMIFS(Inventario_Materiales!H$2:H$33,Inventario_Materiales!B$2:B$33,Calculadora_Produccion!L170)*K170</f>
        <v>0</v>
      </c>
      <c r="P170" s="17" t="e">
        <f>N170*Configuracion_Costos!$B$4*Configuracion_Costos!$B$5</f>
        <v>#DIV/0!</v>
      </c>
      <c r="Q170" s="18" t="e">
        <f>N170*Configuracion_Costos!$B$8</f>
        <v>#DIV/0!</v>
      </c>
      <c r="T170" s="17" t="e">
        <f t="shared" si="32"/>
        <v>#DIV/0!</v>
      </c>
      <c r="U170" s="17" t="e">
        <f>T170*(1+Configuracion_Costos!$B$7)</f>
        <v>#DIV/0!</v>
      </c>
      <c r="V170" s="18" t="e">
        <f t="shared" si="33"/>
        <v>#DIV/0!</v>
      </c>
      <c r="W170" s="18" t="e">
        <f t="shared" si="34"/>
        <v>#DIV/0!</v>
      </c>
      <c r="AC170" s="17" t="e">
        <f t="shared" si="29"/>
        <v>#DIV/0!</v>
      </c>
    </row>
    <row r="171" spans="1:29" x14ac:dyDescent="0.3">
      <c r="A171" s="15" t="s">
        <v>398</v>
      </c>
      <c r="M171" s="15">
        <f t="shared" si="30"/>
        <v>0</v>
      </c>
      <c r="N171" s="15" t="e">
        <f t="shared" si="31"/>
        <v>#DIV/0!</v>
      </c>
      <c r="O171" s="17">
        <f>SUMIFS(Inventario_Materiales!H$2:H$33,Inventario_Materiales!B$2:B$33,Calculadora_Produccion!F171)*E171+SUMIFS(Inventario_Materiales!H$2:H$33,Inventario_Materiales!B$2:B$33,H171)*G171+SUMIFS(Inventario_Materiales!H$2:H$33,Inventario_Materiales!B$2:B$33,Calculadora_Produccion!J171)*I171+SUMIFS(Inventario_Materiales!H$2:H$33,Inventario_Materiales!B$2:B$33,Calculadora_Produccion!L171)*K171</f>
        <v>0</v>
      </c>
      <c r="P171" s="17" t="e">
        <f>N171*Configuracion_Costos!$B$4*Configuracion_Costos!$B$5</f>
        <v>#DIV/0!</v>
      </c>
      <c r="Q171" s="18" t="e">
        <f>N171*Configuracion_Costos!$B$8</f>
        <v>#DIV/0!</v>
      </c>
      <c r="T171" s="17" t="e">
        <f t="shared" si="32"/>
        <v>#DIV/0!</v>
      </c>
      <c r="U171" s="17" t="e">
        <f>T171*(1+Configuracion_Costos!$B$7)</f>
        <v>#DIV/0!</v>
      </c>
      <c r="V171" s="18" t="e">
        <f t="shared" si="33"/>
        <v>#DIV/0!</v>
      </c>
      <c r="W171" s="18" t="e">
        <f t="shared" si="34"/>
        <v>#DIV/0!</v>
      </c>
      <c r="AC171" s="17" t="e">
        <f t="shared" si="29"/>
        <v>#DIV/0!</v>
      </c>
    </row>
    <row r="172" spans="1:29" x14ac:dyDescent="0.3">
      <c r="A172" s="15" t="s">
        <v>399</v>
      </c>
      <c r="M172" s="15">
        <f t="shared" si="30"/>
        <v>0</v>
      </c>
      <c r="N172" s="15" t="e">
        <f t="shared" si="31"/>
        <v>#DIV/0!</v>
      </c>
      <c r="O172" s="17">
        <f>SUMIFS(Inventario_Materiales!H$2:H$33,Inventario_Materiales!B$2:B$33,Calculadora_Produccion!F172)*E172+SUMIFS(Inventario_Materiales!H$2:H$33,Inventario_Materiales!B$2:B$33,H172)*G172+SUMIFS(Inventario_Materiales!H$2:H$33,Inventario_Materiales!B$2:B$33,Calculadora_Produccion!J172)*I172+SUMIFS(Inventario_Materiales!H$2:H$33,Inventario_Materiales!B$2:B$33,Calculadora_Produccion!L172)*K172</f>
        <v>0</v>
      </c>
      <c r="P172" s="17" t="e">
        <f>N172*Configuracion_Costos!$B$4*Configuracion_Costos!$B$5</f>
        <v>#DIV/0!</v>
      </c>
      <c r="Q172" s="18" t="e">
        <f>N172*Configuracion_Costos!$B$8</f>
        <v>#DIV/0!</v>
      </c>
      <c r="T172" s="17" t="e">
        <f t="shared" si="32"/>
        <v>#DIV/0!</v>
      </c>
      <c r="U172" s="17" t="e">
        <f>T172*(1+Configuracion_Costos!$B$7)</f>
        <v>#DIV/0!</v>
      </c>
      <c r="V172" s="18" t="e">
        <f t="shared" si="33"/>
        <v>#DIV/0!</v>
      </c>
      <c r="W172" s="18" t="e">
        <f t="shared" si="34"/>
        <v>#DIV/0!</v>
      </c>
      <c r="AC172" s="17" t="e">
        <f t="shared" si="29"/>
        <v>#DIV/0!</v>
      </c>
    </row>
    <row r="173" spans="1:29" x14ac:dyDescent="0.3">
      <c r="A173" s="15" t="s">
        <v>400</v>
      </c>
      <c r="M173" s="15">
        <f t="shared" si="30"/>
        <v>0</v>
      </c>
      <c r="N173" s="15" t="e">
        <f t="shared" si="31"/>
        <v>#DIV/0!</v>
      </c>
      <c r="O173" s="17">
        <f>SUMIFS(Inventario_Materiales!H$2:H$33,Inventario_Materiales!B$2:B$33,Calculadora_Produccion!F173)*E173+SUMIFS(Inventario_Materiales!H$2:H$33,Inventario_Materiales!B$2:B$33,H173)*G173+SUMIFS(Inventario_Materiales!H$2:H$33,Inventario_Materiales!B$2:B$33,Calculadora_Produccion!J173)*I173+SUMIFS(Inventario_Materiales!H$2:H$33,Inventario_Materiales!B$2:B$33,Calculadora_Produccion!L173)*K173</f>
        <v>0</v>
      </c>
      <c r="P173" s="17" t="e">
        <f>N173*Configuracion_Costos!$B$4*Configuracion_Costos!$B$5</f>
        <v>#DIV/0!</v>
      </c>
      <c r="Q173" s="18" t="e">
        <f>N173*Configuracion_Costos!$B$8</f>
        <v>#DIV/0!</v>
      </c>
      <c r="T173" s="17" t="e">
        <f t="shared" si="32"/>
        <v>#DIV/0!</v>
      </c>
      <c r="U173" s="17" t="e">
        <f>T173*(1+Configuracion_Costos!$B$7)</f>
        <v>#DIV/0!</v>
      </c>
      <c r="V173" s="18" t="e">
        <f t="shared" si="33"/>
        <v>#DIV/0!</v>
      </c>
      <c r="W173" s="18" t="e">
        <f t="shared" si="34"/>
        <v>#DIV/0!</v>
      </c>
      <c r="AC173" s="17" t="e">
        <f t="shared" si="29"/>
        <v>#DIV/0!</v>
      </c>
    </row>
    <row r="174" spans="1:29" x14ac:dyDescent="0.3">
      <c r="A174" s="15" t="s">
        <v>401</v>
      </c>
      <c r="M174" s="15">
        <f t="shared" si="30"/>
        <v>0</v>
      </c>
      <c r="N174" s="15" t="e">
        <f t="shared" si="31"/>
        <v>#DIV/0!</v>
      </c>
      <c r="O174" s="17">
        <f>SUMIFS(Inventario_Materiales!H$2:H$33,Inventario_Materiales!B$2:B$33,Calculadora_Produccion!F174)*E174+SUMIFS(Inventario_Materiales!H$2:H$33,Inventario_Materiales!B$2:B$33,H174)*G174+SUMIFS(Inventario_Materiales!H$2:H$33,Inventario_Materiales!B$2:B$33,Calculadora_Produccion!J174)*I174+SUMIFS(Inventario_Materiales!H$2:H$33,Inventario_Materiales!B$2:B$33,Calculadora_Produccion!L174)*K174</f>
        <v>0</v>
      </c>
      <c r="P174" s="17" t="e">
        <f>N174*Configuracion_Costos!$B$4*Configuracion_Costos!$B$5</f>
        <v>#DIV/0!</v>
      </c>
      <c r="Q174" s="18" t="e">
        <f>N174*Configuracion_Costos!$B$8</f>
        <v>#DIV/0!</v>
      </c>
      <c r="T174" s="17" t="e">
        <f t="shared" si="32"/>
        <v>#DIV/0!</v>
      </c>
      <c r="U174" s="17" t="e">
        <f>T174*(1+Configuracion_Costos!$B$7)</f>
        <v>#DIV/0!</v>
      </c>
      <c r="V174" s="18" t="e">
        <f t="shared" si="33"/>
        <v>#DIV/0!</v>
      </c>
      <c r="W174" s="18" t="e">
        <f t="shared" si="34"/>
        <v>#DIV/0!</v>
      </c>
      <c r="AC174" s="17" t="e">
        <f t="shared" si="29"/>
        <v>#DIV/0!</v>
      </c>
    </row>
    <row r="175" spans="1:29" x14ac:dyDescent="0.3">
      <c r="A175" s="15" t="s">
        <v>402</v>
      </c>
      <c r="M175" s="15">
        <f t="shared" si="30"/>
        <v>0</v>
      </c>
      <c r="N175" s="15" t="e">
        <f t="shared" si="31"/>
        <v>#DIV/0!</v>
      </c>
      <c r="O175" s="17">
        <f>SUMIFS(Inventario_Materiales!H$2:H$33,Inventario_Materiales!B$2:B$33,Calculadora_Produccion!F175)*E175+SUMIFS(Inventario_Materiales!H$2:H$33,Inventario_Materiales!B$2:B$33,H175)*G175+SUMIFS(Inventario_Materiales!H$2:H$33,Inventario_Materiales!B$2:B$33,Calculadora_Produccion!J175)*I175+SUMIFS(Inventario_Materiales!H$2:H$33,Inventario_Materiales!B$2:B$33,Calculadora_Produccion!L175)*K175</f>
        <v>0</v>
      </c>
      <c r="P175" s="17" t="e">
        <f>N175*Configuracion_Costos!$B$4*Configuracion_Costos!$B$5</f>
        <v>#DIV/0!</v>
      </c>
      <c r="Q175" s="18" t="e">
        <f>N175*Configuracion_Costos!$B$8</f>
        <v>#DIV/0!</v>
      </c>
      <c r="T175" s="17" t="e">
        <f t="shared" si="32"/>
        <v>#DIV/0!</v>
      </c>
      <c r="U175" s="17" t="e">
        <f>T175*(1+Configuracion_Costos!$B$7)</f>
        <v>#DIV/0!</v>
      </c>
      <c r="V175" s="18" t="e">
        <f t="shared" si="33"/>
        <v>#DIV/0!</v>
      </c>
      <c r="W175" s="18" t="e">
        <f t="shared" si="34"/>
        <v>#DIV/0!</v>
      </c>
      <c r="AC175" s="17" t="e">
        <f t="shared" ref="AC175:AC186" si="35">+U175*C175</f>
        <v>#DIV/0!</v>
      </c>
    </row>
    <row r="176" spans="1:29" x14ac:dyDescent="0.3">
      <c r="A176" s="15" t="s">
        <v>403</v>
      </c>
      <c r="M176" s="15">
        <f t="shared" si="30"/>
        <v>0</v>
      </c>
      <c r="N176" s="15" t="e">
        <f t="shared" si="31"/>
        <v>#DIV/0!</v>
      </c>
      <c r="O176" s="17">
        <f>SUMIFS(Inventario_Materiales!H$2:H$33,Inventario_Materiales!B$2:B$33,Calculadora_Produccion!F176)*E176+SUMIFS(Inventario_Materiales!H$2:H$33,Inventario_Materiales!B$2:B$33,H176)*G176+SUMIFS(Inventario_Materiales!H$2:H$33,Inventario_Materiales!B$2:B$33,Calculadora_Produccion!J176)*I176+SUMIFS(Inventario_Materiales!H$2:H$33,Inventario_Materiales!B$2:B$33,Calculadora_Produccion!L176)*K176</f>
        <v>0</v>
      </c>
      <c r="P176" s="17" t="e">
        <f>N176*Configuracion_Costos!$B$4*Configuracion_Costos!$B$5</f>
        <v>#DIV/0!</v>
      </c>
      <c r="Q176" s="18" t="e">
        <f>N176*Configuracion_Costos!$B$8</f>
        <v>#DIV/0!</v>
      </c>
      <c r="T176" s="17" t="e">
        <f t="shared" si="32"/>
        <v>#DIV/0!</v>
      </c>
      <c r="U176" s="17" t="e">
        <f>T176*(1+Configuracion_Costos!$B$7)</f>
        <v>#DIV/0!</v>
      </c>
      <c r="V176" s="18" t="e">
        <f t="shared" si="33"/>
        <v>#DIV/0!</v>
      </c>
      <c r="W176" s="18" t="e">
        <f t="shared" si="34"/>
        <v>#DIV/0!</v>
      </c>
      <c r="AC176" s="17" t="e">
        <f t="shared" si="35"/>
        <v>#DIV/0!</v>
      </c>
    </row>
    <row r="177" spans="1:29" x14ac:dyDescent="0.3">
      <c r="A177" s="15" t="s">
        <v>404</v>
      </c>
      <c r="M177" s="15">
        <f t="shared" si="30"/>
        <v>0</v>
      </c>
      <c r="N177" s="15" t="e">
        <f t="shared" si="31"/>
        <v>#DIV/0!</v>
      </c>
      <c r="O177" s="17">
        <f>SUMIFS(Inventario_Materiales!H$2:H$33,Inventario_Materiales!B$2:B$33,Calculadora_Produccion!F177)*E177+SUMIFS(Inventario_Materiales!H$2:H$33,Inventario_Materiales!B$2:B$33,H177)*G177+SUMIFS(Inventario_Materiales!H$2:H$33,Inventario_Materiales!B$2:B$33,Calculadora_Produccion!J177)*I177+SUMIFS(Inventario_Materiales!H$2:H$33,Inventario_Materiales!B$2:B$33,Calculadora_Produccion!L177)*K177</f>
        <v>0</v>
      </c>
      <c r="P177" s="17" t="e">
        <f>N177*Configuracion_Costos!$B$4*Configuracion_Costos!$B$5</f>
        <v>#DIV/0!</v>
      </c>
      <c r="Q177" s="18" t="e">
        <f>N177*Configuracion_Costos!$B$8</f>
        <v>#DIV/0!</v>
      </c>
      <c r="T177" s="17" t="e">
        <f t="shared" si="32"/>
        <v>#DIV/0!</v>
      </c>
      <c r="U177" s="17" t="e">
        <f>T177*(1+Configuracion_Costos!$B$7)</f>
        <v>#DIV/0!</v>
      </c>
      <c r="V177" s="18" t="e">
        <f t="shared" si="33"/>
        <v>#DIV/0!</v>
      </c>
      <c r="W177" s="18" t="e">
        <f t="shared" si="34"/>
        <v>#DIV/0!</v>
      </c>
      <c r="AC177" s="17" t="e">
        <f t="shared" si="35"/>
        <v>#DIV/0!</v>
      </c>
    </row>
    <row r="178" spans="1:29" x14ac:dyDescent="0.3">
      <c r="A178" s="15" t="s">
        <v>405</v>
      </c>
      <c r="M178" s="15">
        <f t="shared" si="30"/>
        <v>0</v>
      </c>
      <c r="N178" s="15" t="e">
        <f t="shared" si="31"/>
        <v>#DIV/0!</v>
      </c>
      <c r="O178" s="17">
        <f>SUMIFS(Inventario_Materiales!H$2:H$33,Inventario_Materiales!B$2:B$33,Calculadora_Produccion!F178)*E178+SUMIFS(Inventario_Materiales!H$2:H$33,Inventario_Materiales!B$2:B$33,H178)*G178+SUMIFS(Inventario_Materiales!H$2:H$33,Inventario_Materiales!B$2:B$33,Calculadora_Produccion!J178)*I178+SUMIFS(Inventario_Materiales!H$2:H$33,Inventario_Materiales!B$2:B$33,Calculadora_Produccion!L178)*K178</f>
        <v>0</v>
      </c>
      <c r="P178" s="17" t="e">
        <f>N178*Configuracion_Costos!$B$4*Configuracion_Costos!$B$5</f>
        <v>#DIV/0!</v>
      </c>
      <c r="Q178" s="18" t="e">
        <f>N178*Configuracion_Costos!$B$8</f>
        <v>#DIV/0!</v>
      </c>
      <c r="T178" s="17" t="e">
        <f t="shared" si="32"/>
        <v>#DIV/0!</v>
      </c>
      <c r="U178" s="17" t="e">
        <f>T178*(1+Configuracion_Costos!$B$7)</f>
        <v>#DIV/0!</v>
      </c>
      <c r="V178" s="18" t="e">
        <f t="shared" si="33"/>
        <v>#DIV/0!</v>
      </c>
      <c r="W178" s="18" t="e">
        <f t="shared" si="34"/>
        <v>#DIV/0!</v>
      </c>
      <c r="AC178" s="17" t="e">
        <f t="shared" si="35"/>
        <v>#DIV/0!</v>
      </c>
    </row>
    <row r="179" spans="1:29" x14ac:dyDescent="0.3">
      <c r="A179" s="15" t="s">
        <v>406</v>
      </c>
      <c r="M179" s="15">
        <f t="shared" si="30"/>
        <v>0</v>
      </c>
      <c r="N179" s="15" t="e">
        <f t="shared" si="31"/>
        <v>#DIV/0!</v>
      </c>
      <c r="O179" s="17">
        <f>SUMIFS(Inventario_Materiales!H$2:H$33,Inventario_Materiales!B$2:B$33,Calculadora_Produccion!F179)*E179+SUMIFS(Inventario_Materiales!H$2:H$33,Inventario_Materiales!B$2:B$33,H179)*G179+SUMIFS(Inventario_Materiales!H$2:H$33,Inventario_Materiales!B$2:B$33,Calculadora_Produccion!J179)*I179+SUMIFS(Inventario_Materiales!H$2:H$33,Inventario_Materiales!B$2:B$33,Calculadora_Produccion!L179)*K179</f>
        <v>0</v>
      </c>
      <c r="P179" s="17" t="e">
        <f>N179*Configuracion_Costos!$B$4*Configuracion_Costos!$B$5</f>
        <v>#DIV/0!</v>
      </c>
      <c r="Q179" s="18" t="e">
        <f>N179*Configuracion_Costos!$B$8</f>
        <v>#DIV/0!</v>
      </c>
      <c r="T179" s="17" t="e">
        <f t="shared" si="32"/>
        <v>#DIV/0!</v>
      </c>
      <c r="U179" s="17" t="e">
        <f>T179*(1+Configuracion_Costos!$B$7)</f>
        <v>#DIV/0!</v>
      </c>
      <c r="V179" s="18" t="e">
        <f t="shared" si="33"/>
        <v>#DIV/0!</v>
      </c>
      <c r="W179" s="18" t="e">
        <f t="shared" si="34"/>
        <v>#DIV/0!</v>
      </c>
      <c r="AC179" s="17" t="e">
        <f t="shared" si="35"/>
        <v>#DIV/0!</v>
      </c>
    </row>
    <row r="180" spans="1:29" x14ac:dyDescent="0.3">
      <c r="A180" s="15" t="s">
        <v>407</v>
      </c>
      <c r="M180" s="15">
        <f t="shared" si="30"/>
        <v>0</v>
      </c>
      <c r="N180" s="15" t="e">
        <f t="shared" si="31"/>
        <v>#DIV/0!</v>
      </c>
      <c r="O180" s="17">
        <f>SUMIFS(Inventario_Materiales!H$2:H$33,Inventario_Materiales!B$2:B$33,Calculadora_Produccion!F180)*E180+SUMIFS(Inventario_Materiales!H$2:H$33,Inventario_Materiales!B$2:B$33,H180)*G180+SUMIFS(Inventario_Materiales!H$2:H$33,Inventario_Materiales!B$2:B$33,Calculadora_Produccion!J180)*I180+SUMIFS(Inventario_Materiales!H$2:H$33,Inventario_Materiales!B$2:B$33,Calculadora_Produccion!L180)*K180</f>
        <v>0</v>
      </c>
      <c r="P180" s="17" t="e">
        <f>N180*Configuracion_Costos!$B$4*Configuracion_Costos!$B$5</f>
        <v>#DIV/0!</v>
      </c>
      <c r="Q180" s="18" t="e">
        <f>N180*Configuracion_Costos!$B$8</f>
        <v>#DIV/0!</v>
      </c>
      <c r="T180" s="17" t="e">
        <f t="shared" si="32"/>
        <v>#DIV/0!</v>
      </c>
      <c r="U180" s="17" t="e">
        <f>T180*(1+Configuracion_Costos!$B$7)</f>
        <v>#DIV/0!</v>
      </c>
      <c r="V180" s="18" t="e">
        <f t="shared" si="33"/>
        <v>#DIV/0!</v>
      </c>
      <c r="W180" s="18" t="e">
        <f t="shared" si="34"/>
        <v>#DIV/0!</v>
      </c>
      <c r="AC180" s="17" t="e">
        <f t="shared" si="35"/>
        <v>#DIV/0!</v>
      </c>
    </row>
    <row r="181" spans="1:29" x14ac:dyDescent="0.3">
      <c r="A181" s="15" t="s">
        <v>408</v>
      </c>
      <c r="M181" s="15">
        <f t="shared" si="30"/>
        <v>0</v>
      </c>
      <c r="N181" s="15" t="e">
        <f t="shared" si="31"/>
        <v>#DIV/0!</v>
      </c>
      <c r="O181" s="17">
        <f>SUMIFS(Inventario_Materiales!H$2:H$33,Inventario_Materiales!B$2:B$33,Calculadora_Produccion!F181)*E181+SUMIFS(Inventario_Materiales!H$2:H$33,Inventario_Materiales!B$2:B$33,H181)*G181+SUMIFS(Inventario_Materiales!H$2:H$33,Inventario_Materiales!B$2:B$33,Calculadora_Produccion!J181)*I181+SUMIFS(Inventario_Materiales!H$2:H$33,Inventario_Materiales!B$2:B$33,Calculadora_Produccion!L181)*K181</f>
        <v>0</v>
      </c>
      <c r="P181" s="17" t="e">
        <f>N181*Configuracion_Costos!$B$4*Configuracion_Costos!$B$5</f>
        <v>#DIV/0!</v>
      </c>
      <c r="Q181" s="18" t="e">
        <f>N181*Configuracion_Costos!$B$8</f>
        <v>#DIV/0!</v>
      </c>
      <c r="T181" s="17" t="e">
        <f t="shared" si="32"/>
        <v>#DIV/0!</v>
      </c>
      <c r="U181" s="17" t="e">
        <f>T181*(1+Configuracion_Costos!$B$7)</f>
        <v>#DIV/0!</v>
      </c>
      <c r="V181" s="18" t="e">
        <f t="shared" si="33"/>
        <v>#DIV/0!</v>
      </c>
      <c r="W181" s="18" t="e">
        <f t="shared" si="34"/>
        <v>#DIV/0!</v>
      </c>
      <c r="AC181" s="17" t="e">
        <f t="shared" si="35"/>
        <v>#DIV/0!</v>
      </c>
    </row>
    <row r="182" spans="1:29" x14ac:dyDescent="0.3">
      <c r="A182" s="15" t="s">
        <v>409</v>
      </c>
      <c r="M182" s="15">
        <f t="shared" si="30"/>
        <v>0</v>
      </c>
      <c r="N182" s="15" t="e">
        <f t="shared" si="31"/>
        <v>#DIV/0!</v>
      </c>
      <c r="O182" s="17">
        <f>SUMIFS(Inventario_Materiales!H$2:H$33,Inventario_Materiales!B$2:B$33,Calculadora_Produccion!F182)*E182+SUMIFS(Inventario_Materiales!H$2:H$33,Inventario_Materiales!B$2:B$33,H182)*G182+SUMIFS(Inventario_Materiales!H$2:H$33,Inventario_Materiales!B$2:B$33,Calculadora_Produccion!J182)*I182+SUMIFS(Inventario_Materiales!H$2:H$33,Inventario_Materiales!B$2:B$33,Calculadora_Produccion!L182)*K182</f>
        <v>0</v>
      </c>
      <c r="P182" s="17" t="e">
        <f>N182*Configuracion_Costos!$B$4*Configuracion_Costos!$B$5</f>
        <v>#DIV/0!</v>
      </c>
      <c r="Q182" s="18" t="e">
        <f>N182*Configuracion_Costos!$B$8</f>
        <v>#DIV/0!</v>
      </c>
      <c r="T182" s="17" t="e">
        <f t="shared" si="32"/>
        <v>#DIV/0!</v>
      </c>
      <c r="U182" s="17" t="e">
        <f>T182*(1+Configuracion_Costos!$B$7)</f>
        <v>#DIV/0!</v>
      </c>
      <c r="V182" s="18" t="e">
        <f t="shared" si="33"/>
        <v>#DIV/0!</v>
      </c>
      <c r="W182" s="18" t="e">
        <f t="shared" si="34"/>
        <v>#DIV/0!</v>
      </c>
      <c r="AC182" s="17" t="e">
        <f t="shared" si="35"/>
        <v>#DIV/0!</v>
      </c>
    </row>
    <row r="183" spans="1:29" x14ac:dyDescent="0.3">
      <c r="A183" s="15" t="s">
        <v>410</v>
      </c>
      <c r="M183" s="15">
        <f t="shared" si="30"/>
        <v>0</v>
      </c>
      <c r="N183" s="15" t="e">
        <f t="shared" si="31"/>
        <v>#DIV/0!</v>
      </c>
      <c r="O183" s="17">
        <f>SUMIFS(Inventario_Materiales!H$2:H$33,Inventario_Materiales!B$2:B$33,Calculadora_Produccion!F183)*E183+SUMIFS(Inventario_Materiales!H$2:H$33,Inventario_Materiales!B$2:B$33,H183)*G183+SUMIFS(Inventario_Materiales!H$2:H$33,Inventario_Materiales!B$2:B$33,Calculadora_Produccion!J183)*I183+SUMIFS(Inventario_Materiales!H$2:H$33,Inventario_Materiales!B$2:B$33,Calculadora_Produccion!L183)*K183</f>
        <v>0</v>
      </c>
      <c r="P183" s="17" t="e">
        <f>N183*Configuracion_Costos!$B$4*Configuracion_Costos!$B$5</f>
        <v>#DIV/0!</v>
      </c>
      <c r="Q183" s="18" t="e">
        <f>N183*Configuracion_Costos!$B$8</f>
        <v>#DIV/0!</v>
      </c>
      <c r="T183" s="17" t="e">
        <f t="shared" si="32"/>
        <v>#DIV/0!</v>
      </c>
      <c r="U183" s="17" t="e">
        <f>T183*(1+Configuracion_Costos!$B$7)</f>
        <v>#DIV/0!</v>
      </c>
      <c r="V183" s="18" t="e">
        <f t="shared" si="33"/>
        <v>#DIV/0!</v>
      </c>
      <c r="W183" s="18" t="e">
        <f t="shared" si="34"/>
        <v>#DIV/0!</v>
      </c>
      <c r="AC183" s="17" t="e">
        <f t="shared" si="35"/>
        <v>#DIV/0!</v>
      </c>
    </row>
    <row r="184" spans="1:29" x14ac:dyDescent="0.3">
      <c r="A184" s="15" t="s">
        <v>411</v>
      </c>
      <c r="M184" s="15">
        <f t="shared" si="30"/>
        <v>0</v>
      </c>
      <c r="N184" s="15" t="e">
        <f t="shared" si="31"/>
        <v>#DIV/0!</v>
      </c>
      <c r="O184" s="17">
        <f>SUMIFS(Inventario_Materiales!H$2:H$33,Inventario_Materiales!B$2:B$33,Calculadora_Produccion!F184)*E184+SUMIFS(Inventario_Materiales!H$2:H$33,Inventario_Materiales!B$2:B$33,H184)*G184+SUMIFS(Inventario_Materiales!H$2:H$33,Inventario_Materiales!B$2:B$33,Calculadora_Produccion!J184)*I184+SUMIFS(Inventario_Materiales!H$2:H$33,Inventario_Materiales!B$2:B$33,Calculadora_Produccion!L184)*K184</f>
        <v>0</v>
      </c>
      <c r="P184" s="17" t="e">
        <f>N184*Configuracion_Costos!$B$4*Configuracion_Costos!$B$5</f>
        <v>#DIV/0!</v>
      </c>
      <c r="Q184" s="18" t="e">
        <f>N184*Configuracion_Costos!$B$8</f>
        <v>#DIV/0!</v>
      </c>
      <c r="T184" s="17" t="e">
        <f t="shared" si="32"/>
        <v>#DIV/0!</v>
      </c>
      <c r="U184" s="17" t="e">
        <f>T184*(1+Configuracion_Costos!$B$7)</f>
        <v>#DIV/0!</v>
      </c>
      <c r="V184" s="18" t="e">
        <f t="shared" si="33"/>
        <v>#DIV/0!</v>
      </c>
      <c r="W184" s="18" t="e">
        <f t="shared" si="34"/>
        <v>#DIV/0!</v>
      </c>
      <c r="AC184" s="17" t="e">
        <f t="shared" si="35"/>
        <v>#DIV/0!</v>
      </c>
    </row>
    <row r="185" spans="1:29" x14ac:dyDescent="0.3">
      <c r="A185" s="15" t="s">
        <v>412</v>
      </c>
      <c r="M185" s="15">
        <f t="shared" si="30"/>
        <v>0</v>
      </c>
      <c r="N185" s="15" t="e">
        <f t="shared" si="31"/>
        <v>#DIV/0!</v>
      </c>
      <c r="O185" s="17">
        <f>SUMIFS(Inventario_Materiales!H$2:H$33,Inventario_Materiales!B$2:B$33,Calculadora_Produccion!F185)*E185+SUMIFS(Inventario_Materiales!H$2:H$33,Inventario_Materiales!B$2:B$33,H185)*G185+SUMIFS(Inventario_Materiales!H$2:H$33,Inventario_Materiales!B$2:B$33,Calculadora_Produccion!J185)*I185+SUMIFS(Inventario_Materiales!H$2:H$33,Inventario_Materiales!B$2:B$33,Calculadora_Produccion!L185)*K185</f>
        <v>0</v>
      </c>
      <c r="P185" s="17" t="e">
        <f>N185*Configuracion_Costos!$B$4*Configuracion_Costos!$B$5</f>
        <v>#DIV/0!</v>
      </c>
      <c r="Q185" s="18" t="e">
        <f>N185*Configuracion_Costos!$B$8</f>
        <v>#DIV/0!</v>
      </c>
      <c r="T185" s="17" t="e">
        <f t="shared" si="32"/>
        <v>#DIV/0!</v>
      </c>
      <c r="U185" s="17" t="e">
        <f>T185*(1+Configuracion_Costos!$B$7)</f>
        <v>#DIV/0!</v>
      </c>
      <c r="V185" s="18" t="e">
        <f t="shared" si="33"/>
        <v>#DIV/0!</v>
      </c>
      <c r="W185" s="18" t="e">
        <f t="shared" si="34"/>
        <v>#DIV/0!</v>
      </c>
      <c r="AC185" s="17" t="e">
        <f t="shared" si="35"/>
        <v>#DIV/0!</v>
      </c>
    </row>
    <row r="186" spans="1:29" x14ac:dyDescent="0.3">
      <c r="A186" s="15" t="s">
        <v>413</v>
      </c>
      <c r="M186" s="15">
        <f t="shared" si="30"/>
        <v>0</v>
      </c>
      <c r="N186" s="15" t="e">
        <f t="shared" si="31"/>
        <v>#DIV/0!</v>
      </c>
      <c r="O186" s="17">
        <f>SUMIFS(Inventario_Materiales!H$2:H$33,Inventario_Materiales!B$2:B$33,Calculadora_Produccion!F186)*E186+SUMIFS(Inventario_Materiales!H$2:H$33,Inventario_Materiales!B$2:B$33,H186)*G186+SUMIFS(Inventario_Materiales!H$2:H$33,Inventario_Materiales!B$2:B$33,Calculadora_Produccion!J186)*I186+SUMIFS(Inventario_Materiales!H$2:H$33,Inventario_Materiales!B$2:B$33,Calculadora_Produccion!L186)*K186</f>
        <v>0</v>
      </c>
      <c r="P186" s="17" t="e">
        <f>N186*Configuracion_Costos!$B$4*Configuracion_Costos!$B$5</f>
        <v>#DIV/0!</v>
      </c>
      <c r="Q186" s="18" t="e">
        <f>N186*Configuracion_Costos!$B$8</f>
        <v>#DIV/0!</v>
      </c>
      <c r="T186" s="17" t="e">
        <f t="shared" si="32"/>
        <v>#DIV/0!</v>
      </c>
      <c r="U186" s="17" t="e">
        <f>T186*(1+Configuracion_Costos!$B$7)</f>
        <v>#DIV/0!</v>
      </c>
      <c r="V186" s="18" t="e">
        <f t="shared" si="33"/>
        <v>#DIV/0!</v>
      </c>
      <c r="W186" s="18" t="e">
        <f t="shared" si="34"/>
        <v>#DIV/0!</v>
      </c>
      <c r="AC186" s="17" t="e">
        <f t="shared" si="35"/>
        <v>#DIV/0!</v>
      </c>
    </row>
  </sheetData>
  <autoFilter ref="E1:L1" xr:uid="{00000000-0001-0000-0200-000000000000}"/>
  <phoneticPr fontId="5" type="noConversion"/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350BB8-1C55-48D0-8C76-D669DA4F0EBD}">
          <x14:formula1>
            <xm:f>Inventario_Materiales!$B$2:$B$33</xm:f>
          </x14:formula1>
          <xm:sqref>F2 J3:J12 J32 F29 H29:H30 J29 F31:F34 H32:H34 L4:L12 H4:H26 J80:J272 L22:L26 J22:J26 J38 L38 J59:J75 J40:J41 L40:L41 F44:F45 F39:F40 J77:J78 F47:F48 J55 H40 L56:L292 H55:H179 D96:E102 F51:F1048576 G96:G102 I96:I102 F4:F15 F17:F26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F84A6-FF99-464E-948B-A2FA38DF8BA5}">
  <sheetPr codeName="Hoja1"/>
  <dimension ref="A1:M27"/>
  <sheetViews>
    <sheetView showGridLines="0" tabSelected="1" zoomScaleNormal="100" zoomScaleSheetLayoutView="100" workbookViewId="0">
      <selection activeCell="E5" sqref="E5"/>
    </sheetView>
  </sheetViews>
  <sheetFormatPr baseColWidth="10" defaultRowHeight="14.4" x14ac:dyDescent="0.3"/>
  <cols>
    <col min="1" max="1" width="5.21875" style="345" customWidth="1"/>
    <col min="2" max="2" width="12.88671875" style="345" customWidth="1"/>
    <col min="3" max="3" width="2.88671875" style="345" customWidth="1"/>
    <col min="4" max="4" width="11.33203125" style="345" customWidth="1"/>
    <col min="5" max="5" width="3.88671875" style="345" customWidth="1"/>
    <col min="6" max="6" width="11.5546875" style="345"/>
    <col min="7" max="7" width="1.6640625" style="345" customWidth="1"/>
    <col min="8" max="8" width="11.5546875" style="345" customWidth="1"/>
    <col min="9" max="9" width="4.33203125" style="345" customWidth="1"/>
    <col min="10" max="12" width="11.5546875" style="345"/>
    <col min="13" max="13" width="3.33203125" style="345" customWidth="1"/>
    <col min="14" max="16384" width="11.5546875" style="345"/>
  </cols>
  <sheetData>
    <row r="1" spans="1:13" x14ac:dyDescent="0.3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</row>
    <row r="2" spans="1:13" x14ac:dyDescent="0.3">
      <c r="A2" s="346"/>
      <c r="B2" s="391" t="s">
        <v>460</v>
      </c>
      <c r="C2" s="392"/>
      <c r="D2" s="393"/>
      <c r="E2" s="394" t="s">
        <v>1923</v>
      </c>
      <c r="F2" s="394"/>
      <c r="G2" s="394"/>
      <c r="H2" s="394"/>
      <c r="I2" s="394"/>
      <c r="J2" s="394"/>
      <c r="K2" s="394"/>
      <c r="L2" s="394"/>
      <c r="M2" s="346"/>
    </row>
    <row r="3" spans="1:13" x14ac:dyDescent="0.3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</row>
    <row r="4" spans="1:13" ht="14.4" customHeight="1" x14ac:dyDescent="0.3">
      <c r="A4" s="346"/>
      <c r="B4" s="346"/>
      <c r="C4" s="395" t="s">
        <v>181</v>
      </c>
      <c r="D4" s="396"/>
      <c r="E4" s="372" t="s">
        <v>421</v>
      </c>
      <c r="F4" s="372" t="s">
        <v>422</v>
      </c>
      <c r="G4" s="346"/>
      <c r="H4" s="391" t="s">
        <v>125</v>
      </c>
      <c r="I4" s="400">
        <v>1</v>
      </c>
      <c r="J4" s="400"/>
      <c r="K4" s="346"/>
      <c r="L4" s="346"/>
      <c r="M4" s="346"/>
    </row>
    <row r="5" spans="1:13" x14ac:dyDescent="0.3">
      <c r="A5" s="346"/>
      <c r="B5" s="346"/>
      <c r="C5" s="397"/>
      <c r="D5" s="398"/>
      <c r="E5" s="367">
        <v>0</v>
      </c>
      <c r="F5" s="367">
        <v>54</v>
      </c>
      <c r="G5" s="346"/>
      <c r="H5" s="399"/>
      <c r="I5" s="400"/>
      <c r="J5" s="400"/>
      <c r="K5" s="346"/>
      <c r="L5" s="346"/>
      <c r="M5" s="346"/>
    </row>
    <row r="6" spans="1:13" x14ac:dyDescent="0.3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</row>
    <row r="7" spans="1:13" x14ac:dyDescent="0.3">
      <c r="A7" s="346"/>
      <c r="B7" s="374" t="s">
        <v>172</v>
      </c>
      <c r="C7" s="374"/>
      <c r="D7" s="374"/>
      <c r="E7" s="346"/>
      <c r="F7" s="374" t="s">
        <v>173</v>
      </c>
      <c r="G7" s="374"/>
      <c r="H7" s="374"/>
      <c r="I7" s="346"/>
      <c r="J7" s="346"/>
      <c r="K7" s="346"/>
      <c r="L7" s="346"/>
      <c r="M7" s="346"/>
    </row>
    <row r="8" spans="1:13" x14ac:dyDescent="0.3">
      <c r="A8" s="346"/>
      <c r="B8" s="401" t="s">
        <v>162</v>
      </c>
      <c r="C8" s="401"/>
      <c r="D8" s="343" t="s">
        <v>177</v>
      </c>
      <c r="E8" s="346"/>
      <c r="F8" s="401" t="s">
        <v>162</v>
      </c>
      <c r="G8" s="401"/>
      <c r="H8" s="343"/>
      <c r="I8" s="346"/>
      <c r="J8" s="346"/>
      <c r="K8" s="346"/>
      <c r="L8" s="346"/>
      <c r="M8" s="346"/>
    </row>
    <row r="9" spans="1:13" x14ac:dyDescent="0.3">
      <c r="A9" s="346"/>
      <c r="B9" s="401" t="s">
        <v>176</v>
      </c>
      <c r="C9" s="401"/>
      <c r="D9" s="343" t="s">
        <v>27</v>
      </c>
      <c r="E9" s="346"/>
      <c r="F9" s="401" t="s">
        <v>176</v>
      </c>
      <c r="G9" s="401"/>
      <c r="H9" s="343"/>
      <c r="I9" s="346"/>
      <c r="J9" s="346"/>
      <c r="K9" s="346"/>
      <c r="L9" s="346"/>
      <c r="M9" s="346"/>
    </row>
    <row r="10" spans="1:13" x14ac:dyDescent="0.3">
      <c r="A10" s="346"/>
      <c r="B10" s="401" t="s">
        <v>180</v>
      </c>
      <c r="C10" s="401"/>
      <c r="D10" s="343">
        <v>208.65</v>
      </c>
      <c r="E10" s="346"/>
      <c r="F10" s="401" t="s">
        <v>180</v>
      </c>
      <c r="G10" s="401"/>
      <c r="H10" s="343"/>
      <c r="I10" s="346"/>
      <c r="J10" s="346"/>
      <c r="K10" s="346"/>
      <c r="L10" s="346"/>
      <c r="M10" s="346"/>
    </row>
    <row r="11" spans="1:13" x14ac:dyDescent="0.3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</row>
    <row r="12" spans="1:13" x14ac:dyDescent="0.3">
      <c r="A12" s="346"/>
      <c r="B12" s="374" t="s">
        <v>174</v>
      </c>
      <c r="C12" s="374"/>
      <c r="D12" s="374"/>
      <c r="E12" s="346"/>
      <c r="F12" s="374" t="s">
        <v>175</v>
      </c>
      <c r="G12" s="374"/>
      <c r="H12" s="374"/>
      <c r="I12" s="346"/>
      <c r="J12" s="346"/>
      <c r="K12" s="346"/>
      <c r="L12" s="346"/>
      <c r="M12" s="346"/>
    </row>
    <row r="13" spans="1:13" x14ac:dyDescent="0.3">
      <c r="A13" s="346"/>
      <c r="B13" s="401" t="s">
        <v>162</v>
      </c>
      <c r="C13" s="401"/>
      <c r="D13" s="343"/>
      <c r="E13" s="346"/>
      <c r="F13" s="401" t="s">
        <v>162</v>
      </c>
      <c r="G13" s="401"/>
      <c r="H13" s="343"/>
      <c r="I13" s="346"/>
      <c r="J13" s="346"/>
      <c r="K13" s="346"/>
      <c r="L13" s="346"/>
      <c r="M13" s="346"/>
    </row>
    <row r="14" spans="1:13" x14ac:dyDescent="0.3">
      <c r="A14" s="346"/>
      <c r="B14" s="401" t="s">
        <v>176</v>
      </c>
      <c r="C14" s="401"/>
      <c r="D14" s="343"/>
      <c r="E14" s="346"/>
      <c r="F14" s="401" t="s">
        <v>176</v>
      </c>
      <c r="G14" s="401"/>
      <c r="H14" s="343"/>
      <c r="I14" s="346"/>
      <c r="J14" s="346"/>
      <c r="K14" s="346"/>
      <c r="L14" s="346"/>
      <c r="M14" s="346"/>
    </row>
    <row r="15" spans="1:13" x14ac:dyDescent="0.3">
      <c r="A15" s="346"/>
      <c r="B15" s="401" t="s">
        <v>180</v>
      </c>
      <c r="C15" s="401"/>
      <c r="D15" s="343"/>
      <c r="E15" s="346"/>
      <c r="F15" s="401" t="s">
        <v>180</v>
      </c>
      <c r="G15" s="401"/>
      <c r="H15" s="343"/>
      <c r="I15" s="346"/>
      <c r="J15" s="346"/>
      <c r="K15" s="346"/>
      <c r="L15" s="346"/>
      <c r="M15" s="346"/>
    </row>
    <row r="16" spans="1:13" x14ac:dyDescent="0.3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</row>
    <row r="17" spans="1:13" ht="14.4" customHeight="1" x14ac:dyDescent="0.3">
      <c r="A17" s="346"/>
      <c r="B17" s="374" t="s">
        <v>461</v>
      </c>
      <c r="C17" s="374"/>
      <c r="D17" s="367"/>
      <c r="E17" s="346"/>
      <c r="F17" s="346"/>
      <c r="G17" s="346"/>
      <c r="H17" s="346"/>
      <c r="I17" s="346"/>
      <c r="J17" s="346"/>
      <c r="K17" s="346"/>
      <c r="L17" s="346"/>
      <c r="M17" s="346"/>
    </row>
    <row r="18" spans="1:13" x14ac:dyDescent="0.3">
      <c r="A18" s="346"/>
      <c r="B18" s="374" t="s">
        <v>491</v>
      </c>
      <c r="C18" s="374"/>
      <c r="D18" s="367"/>
      <c r="E18" s="346"/>
      <c r="F18" s="346"/>
      <c r="G18" s="346"/>
      <c r="H18" s="346"/>
      <c r="I18" s="346"/>
      <c r="J18" s="346"/>
      <c r="K18" s="346"/>
      <c r="L18" s="346"/>
      <c r="M18" s="346"/>
    </row>
    <row r="19" spans="1:13" x14ac:dyDescent="0.3">
      <c r="A19" s="346"/>
      <c r="B19" s="346"/>
      <c r="C19" s="346"/>
      <c r="D19" s="346"/>
      <c r="E19" s="346"/>
      <c r="F19" s="386" t="s">
        <v>466</v>
      </c>
      <c r="G19" s="375"/>
      <c r="H19" s="387"/>
      <c r="I19" s="388" t="s">
        <v>1416</v>
      </c>
      <c r="J19" s="389"/>
      <c r="K19" s="389"/>
      <c r="L19" s="390"/>
      <c r="M19" s="346"/>
    </row>
    <row r="20" spans="1:13" x14ac:dyDescent="0.3">
      <c r="A20" s="346"/>
      <c r="B20" s="346"/>
      <c r="C20" s="346"/>
      <c r="D20" s="346"/>
      <c r="E20" s="346"/>
      <c r="F20" s="386" t="s">
        <v>467</v>
      </c>
      <c r="G20" s="375"/>
      <c r="H20" s="387"/>
      <c r="I20" s="388"/>
      <c r="J20" s="389"/>
      <c r="K20" s="389"/>
      <c r="L20" s="390"/>
      <c r="M20" s="346"/>
    </row>
    <row r="21" spans="1:13" x14ac:dyDescent="0.3">
      <c r="A21" s="346"/>
      <c r="B21" s="346"/>
      <c r="C21" s="346"/>
      <c r="D21" s="346"/>
      <c r="E21" s="346"/>
      <c r="F21" s="386" t="s">
        <v>468</v>
      </c>
      <c r="G21" s="375"/>
      <c r="H21" s="387"/>
      <c r="I21" s="388"/>
      <c r="J21" s="389"/>
      <c r="K21" s="389"/>
      <c r="L21" s="390"/>
      <c r="M21" s="346"/>
    </row>
    <row r="22" spans="1:13" ht="14.4" customHeight="1" x14ac:dyDescent="0.3">
      <c r="A22" s="346"/>
      <c r="B22" s="346"/>
      <c r="C22" s="346"/>
      <c r="D22" s="346"/>
      <c r="E22" s="346"/>
      <c r="F22" s="375" t="s">
        <v>501</v>
      </c>
      <c r="G22" s="375"/>
      <c r="H22" s="375"/>
      <c r="I22" s="377"/>
      <c r="J22" s="378"/>
      <c r="K22" s="378"/>
      <c r="L22" s="379"/>
      <c r="M22" s="346"/>
    </row>
    <row r="23" spans="1:13" x14ac:dyDescent="0.3">
      <c r="A23" s="346"/>
      <c r="B23" s="374" t="s">
        <v>192</v>
      </c>
      <c r="C23" s="374"/>
      <c r="D23" s="446">
        <f>Facturación!W3</f>
        <v>2830.3296</v>
      </c>
      <c r="E23" s="346"/>
      <c r="F23" s="376"/>
      <c r="G23" s="376"/>
      <c r="H23" s="376"/>
      <c r="I23" s="380"/>
      <c r="J23" s="381"/>
      <c r="K23" s="381"/>
      <c r="L23" s="382"/>
      <c r="M23" s="346"/>
    </row>
    <row r="24" spans="1:13" x14ac:dyDescent="0.3">
      <c r="A24" s="346"/>
      <c r="B24" s="374" t="s">
        <v>193</v>
      </c>
      <c r="C24" s="374"/>
      <c r="D24" s="446">
        <f>Facturación!Z3</f>
        <v>2830.3296</v>
      </c>
      <c r="E24" s="346"/>
      <c r="F24" s="376"/>
      <c r="G24" s="376"/>
      <c r="H24" s="376"/>
      <c r="I24" s="380"/>
      <c r="J24" s="381"/>
      <c r="K24" s="381"/>
      <c r="L24" s="382"/>
      <c r="M24" s="346"/>
    </row>
    <row r="25" spans="1:13" x14ac:dyDescent="0.3">
      <c r="A25" s="346"/>
      <c r="B25" s="374" t="s">
        <v>498</v>
      </c>
      <c r="C25" s="374"/>
      <c r="D25" s="344">
        <f>IF(Cotización!I4&gt;=20,Facturación!AA3,0)</f>
        <v>0</v>
      </c>
      <c r="E25" s="346"/>
      <c r="F25" s="376"/>
      <c r="G25" s="376"/>
      <c r="H25" s="376"/>
      <c r="I25" s="383"/>
      <c r="J25" s="384"/>
      <c r="K25" s="384"/>
      <c r="L25" s="385"/>
      <c r="M25" s="346"/>
    </row>
    <row r="26" spans="1:13" x14ac:dyDescent="0.3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</row>
    <row r="27" spans="1:13" x14ac:dyDescent="0.3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</row>
  </sheetData>
  <sheetProtection algorithmName="SHA-512" hashValue="YQ1IUp1Y7YJFcxXYPhK9f3ViZtNYJ0CSadsjGhjEKCqr3nGiOU2p3PYqonqOJISilz/yzEsZVQv81es07UEHiQ==" saltValue="hz5L79WK+N8EqOXHC4PQnw==" spinCount="100000" sheet="1" objects="1" scenarios="1"/>
  <mergeCells count="34">
    <mergeCell ref="B17:C17"/>
    <mergeCell ref="B23:C23"/>
    <mergeCell ref="B24:C24"/>
    <mergeCell ref="B13:C13"/>
    <mergeCell ref="B14:C14"/>
    <mergeCell ref="B15:C15"/>
    <mergeCell ref="B18:C18"/>
    <mergeCell ref="F13:G13"/>
    <mergeCell ref="F14:G14"/>
    <mergeCell ref="F15:G15"/>
    <mergeCell ref="F12:H12"/>
    <mergeCell ref="F7:H7"/>
    <mergeCell ref="F8:G8"/>
    <mergeCell ref="F9:G9"/>
    <mergeCell ref="F10:G10"/>
    <mergeCell ref="B7:D7"/>
    <mergeCell ref="B12:D12"/>
    <mergeCell ref="B10:C10"/>
    <mergeCell ref="B9:C9"/>
    <mergeCell ref="B8:C8"/>
    <mergeCell ref="B2:D2"/>
    <mergeCell ref="E2:L2"/>
    <mergeCell ref="C4:D5"/>
    <mergeCell ref="H4:H5"/>
    <mergeCell ref="I4:J5"/>
    <mergeCell ref="B25:C25"/>
    <mergeCell ref="F22:H25"/>
    <mergeCell ref="I22:L25"/>
    <mergeCell ref="F19:H19"/>
    <mergeCell ref="F20:H20"/>
    <mergeCell ref="F21:H21"/>
    <mergeCell ref="I19:L19"/>
    <mergeCell ref="I20:L20"/>
    <mergeCell ref="I21:L21"/>
  </mergeCells>
  <phoneticPr fontId="5" type="noConversion"/>
  <pageMargins left="0.7" right="0.7" top="0.75" bottom="0.75" header="0.3" footer="0.3"/>
  <pageSetup paperSize="9" scale="8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0D62D08-2673-460D-9C61-70D12E5AD6AC}">
          <x14:formula1>
            <xm:f>Parametros!$B$3:$B$7</xm:f>
          </x14:formula1>
          <xm:sqref>H13 D8 H8 D13</xm:sqref>
        </x14:dataValidation>
        <x14:dataValidation type="list" allowBlank="1" showInputMessage="1" showErrorMessage="1" xr:uid="{7FD2DFAA-EDED-43B6-989F-CB9EF307B9D8}">
          <x14:formula1>
            <xm:f>Parametros!$I$3:$I$4</xm:f>
          </x14:formula1>
          <xm:sqref>D17</xm:sqref>
        </x14:dataValidation>
        <x14:dataValidation type="list" allowBlank="1" showInputMessage="1" showErrorMessage="1" xr:uid="{EC7B15BC-2F10-4B51-9A83-ADD50336F13D}">
          <x14:formula1>
            <xm:f>Parametros!$J$3:$J$6</xm:f>
          </x14:formula1>
          <xm:sqref>D18</xm:sqref>
        </x14:dataValidation>
        <x14:dataValidation type="list" allowBlank="1" showInputMessage="1" showErrorMessage="1" xr:uid="{8EABBAE0-8A88-40AF-A395-188DEFADD708}">
          <x14:formula1>
            <xm:f>IF($D$8=Parametros!$B$3,Parametros!$E$3:$E$8,Parametros!$D$3:$D$75)</xm:f>
          </x14:formula1>
          <xm:sqref>D9</xm:sqref>
        </x14:dataValidation>
        <x14:dataValidation type="list" allowBlank="1" showInputMessage="1" showErrorMessage="1" xr:uid="{5CEF6169-1055-4661-8AB1-AC3B0D6277B4}">
          <x14:formula1>
            <xm:f>IF($D$13=Parametros!$B$3,Parametros!$E$3:$E$9,Parametros!$D$3:$D$75)</xm:f>
          </x14:formula1>
          <xm:sqref>D14</xm:sqref>
        </x14:dataValidation>
        <x14:dataValidation type="list" allowBlank="1" showInputMessage="1" showErrorMessage="1" xr:uid="{04FB59B5-CEC2-49AE-A95A-B1DCCB67B3AD}">
          <x14:formula1>
            <xm:f>IF($H$8=Parametros!$B$3,Parametros!$E$3:$E$9,Parametros!$D$3:$D$75)</xm:f>
          </x14:formula1>
          <xm:sqref>H9</xm:sqref>
        </x14:dataValidation>
        <x14:dataValidation type="list" allowBlank="1" showInputMessage="1" showErrorMessage="1" xr:uid="{520F228A-E09B-47E7-BE3F-B9AA627B432F}">
          <x14:formula1>
            <xm:f>IF($H$13=Parametros!$B$3,Parametros!$E$3:$E$9,Parametros!$D$3:$D$75)</xm:f>
          </x14:formula1>
          <xm:sqref>H14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963C-5C63-4092-B168-8555E510BE78}">
  <sheetPr codeName="Hoja3"/>
  <dimension ref="A1:X70"/>
  <sheetViews>
    <sheetView topLeftCell="C1" workbookViewId="0">
      <selection activeCell="H15" sqref="H15"/>
    </sheetView>
  </sheetViews>
  <sheetFormatPr baseColWidth="10" defaultRowHeight="14.4" x14ac:dyDescent="0.3"/>
  <cols>
    <col min="1" max="1" width="23" customWidth="1"/>
    <col min="12" max="12" width="11.88671875" customWidth="1"/>
    <col min="13" max="13" width="9.33203125" customWidth="1"/>
    <col min="14" max="14" width="11.6640625" customWidth="1"/>
    <col min="15" max="15" width="11.44140625" customWidth="1"/>
    <col min="19" max="22" width="11.6640625" bestFit="1" customWidth="1"/>
    <col min="23" max="23" width="13.44140625" bestFit="1" customWidth="1"/>
    <col min="24" max="24" width="13.77734375" customWidth="1"/>
  </cols>
  <sheetData>
    <row r="1" spans="1:24" ht="14.4" customHeight="1" x14ac:dyDescent="0.3">
      <c r="A1" s="402" t="s">
        <v>460</v>
      </c>
      <c r="B1" s="402" t="s">
        <v>181</v>
      </c>
      <c r="C1" s="402" t="s">
        <v>125</v>
      </c>
      <c r="D1" s="405" t="s">
        <v>180</v>
      </c>
      <c r="E1" s="406"/>
      <c r="F1" s="406"/>
      <c r="G1" s="406"/>
      <c r="H1" s="406"/>
      <c r="I1" s="406"/>
      <c r="J1" s="406"/>
      <c r="K1" s="407"/>
      <c r="L1" s="402" t="s">
        <v>489</v>
      </c>
      <c r="M1" s="402" t="s">
        <v>490</v>
      </c>
      <c r="N1" s="402" t="s">
        <v>33</v>
      </c>
      <c r="O1" s="402" t="s">
        <v>34</v>
      </c>
      <c r="P1" s="402" t="s">
        <v>35</v>
      </c>
      <c r="Q1" s="402" t="s">
        <v>13</v>
      </c>
      <c r="R1" s="402" t="s">
        <v>36</v>
      </c>
      <c r="S1" s="404" t="s">
        <v>464</v>
      </c>
      <c r="T1" s="402" t="s">
        <v>38</v>
      </c>
      <c r="U1" s="402" t="s">
        <v>198</v>
      </c>
      <c r="V1" s="402" t="s">
        <v>197</v>
      </c>
      <c r="W1" s="404" t="s">
        <v>465</v>
      </c>
      <c r="X1" s="402" t="s">
        <v>499</v>
      </c>
    </row>
    <row r="2" spans="1:24" ht="13.8" customHeight="1" x14ac:dyDescent="0.3">
      <c r="A2" s="403"/>
      <c r="B2" s="403"/>
      <c r="C2" s="403"/>
      <c r="D2" s="54" t="s">
        <v>182</v>
      </c>
      <c r="E2" s="54" t="s">
        <v>21</v>
      </c>
      <c r="F2" s="54" t="s">
        <v>183</v>
      </c>
      <c r="G2" s="54" t="s">
        <v>21</v>
      </c>
      <c r="H2" s="54" t="s">
        <v>184</v>
      </c>
      <c r="I2" s="54" t="s">
        <v>21</v>
      </c>
      <c r="J2" s="54" t="s">
        <v>185</v>
      </c>
      <c r="K2" s="54" t="s">
        <v>21</v>
      </c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</row>
    <row r="3" spans="1:24" s="58" customFormat="1" ht="13.8" customHeight="1" x14ac:dyDescent="0.3">
      <c r="A3" s="59"/>
      <c r="B3" s="59"/>
      <c r="C3" s="59"/>
      <c r="D3" s="60"/>
      <c r="E3" s="60"/>
      <c r="F3" s="60"/>
      <c r="G3" s="60"/>
      <c r="H3" s="60"/>
      <c r="I3" s="60"/>
      <c r="J3" s="60"/>
      <c r="K3" s="60"/>
      <c r="L3" s="59"/>
      <c r="M3" s="59"/>
      <c r="N3" s="363"/>
      <c r="O3" s="363"/>
      <c r="P3" s="363"/>
      <c r="Q3" s="363"/>
      <c r="R3" s="363"/>
      <c r="S3" s="363"/>
      <c r="T3" s="363"/>
      <c r="U3" s="363"/>
      <c r="V3" s="363"/>
      <c r="W3" s="363"/>
      <c r="X3" s="59"/>
    </row>
    <row r="4" spans="1:24" s="58" customFormat="1" ht="13.8" customHeight="1" x14ac:dyDescent="0.3">
      <c r="A4" s="59"/>
      <c r="B4" s="59"/>
      <c r="C4" s="59"/>
      <c r="D4" s="60"/>
      <c r="E4" s="60"/>
      <c r="F4" s="60"/>
      <c r="G4" s="60"/>
      <c r="H4" s="60"/>
      <c r="I4" s="60"/>
      <c r="J4" s="60"/>
      <c r="K4" s="60"/>
      <c r="L4" s="59"/>
      <c r="M4" s="59"/>
      <c r="N4" s="363"/>
      <c r="O4" s="363"/>
      <c r="P4" s="363"/>
      <c r="Q4" s="363"/>
      <c r="R4" s="363"/>
      <c r="S4" s="363"/>
      <c r="T4" s="363"/>
      <c r="U4" s="363"/>
      <c r="V4" s="363"/>
      <c r="W4" s="363"/>
      <c r="X4" s="59"/>
    </row>
    <row r="5" spans="1:24" s="58" customFormat="1" ht="13.8" customHeight="1" x14ac:dyDescent="0.3">
      <c r="A5" s="59"/>
      <c r="B5" s="59"/>
      <c r="C5" s="59"/>
      <c r="D5" s="60"/>
      <c r="E5" s="60"/>
      <c r="F5" s="60"/>
      <c r="G5" s="60"/>
      <c r="H5" s="60"/>
      <c r="I5" s="60"/>
      <c r="J5" s="60"/>
      <c r="K5" s="60"/>
      <c r="L5" s="59"/>
      <c r="M5" s="59"/>
      <c r="N5" s="59"/>
      <c r="O5" s="61"/>
      <c r="P5" s="61"/>
      <c r="Q5" s="61"/>
      <c r="R5" s="61"/>
      <c r="S5" s="61"/>
      <c r="T5" s="61"/>
      <c r="U5" s="61"/>
      <c r="V5" s="61"/>
      <c r="W5" s="61"/>
      <c r="X5" s="59"/>
    </row>
    <row r="6" spans="1:24" s="58" customFormat="1" ht="13.8" customHeight="1" x14ac:dyDescent="0.3">
      <c r="A6" s="59"/>
      <c r="B6" s="59"/>
      <c r="C6" s="59"/>
      <c r="D6" s="60"/>
      <c r="E6" s="60"/>
      <c r="F6" s="60"/>
      <c r="G6" s="60"/>
      <c r="H6" s="60"/>
      <c r="I6" s="60"/>
      <c r="J6" s="60"/>
      <c r="K6" s="60"/>
      <c r="L6" s="59"/>
      <c r="M6" s="59"/>
      <c r="N6" s="61"/>
      <c r="O6" s="61"/>
      <c r="P6" s="61"/>
      <c r="Q6" s="61"/>
      <c r="R6" s="61"/>
      <c r="S6" s="61"/>
      <c r="T6" s="61"/>
      <c r="U6" s="61"/>
      <c r="V6" s="61"/>
      <c r="W6" s="61"/>
      <c r="X6" s="59"/>
    </row>
    <row r="7" spans="1:24" s="58" customFormat="1" ht="13.8" customHeight="1" x14ac:dyDescent="0.3">
      <c r="A7" s="59"/>
      <c r="B7" s="59"/>
      <c r="C7" s="59"/>
      <c r="D7" s="60"/>
      <c r="E7" s="60"/>
      <c r="F7" s="60"/>
      <c r="G7" s="60"/>
      <c r="H7" s="60"/>
      <c r="I7" s="60"/>
      <c r="J7" s="60"/>
      <c r="K7" s="60"/>
      <c r="L7" s="59"/>
      <c r="M7" s="59"/>
      <c r="N7" s="61"/>
      <c r="O7" s="61"/>
      <c r="P7" s="61"/>
      <c r="Q7" s="61"/>
      <c r="R7" s="61"/>
      <c r="S7" s="61"/>
      <c r="T7" s="61"/>
      <c r="U7" s="61"/>
      <c r="V7" s="61"/>
      <c r="W7" s="61"/>
      <c r="X7" s="59"/>
    </row>
    <row r="8" spans="1:24" s="58" customFormat="1" ht="13.8" customHeight="1" x14ac:dyDescent="0.3">
      <c r="A8" s="59"/>
      <c r="B8" s="59"/>
      <c r="C8" s="59"/>
      <c r="D8" s="60"/>
      <c r="E8" s="60"/>
      <c r="F8" s="60"/>
      <c r="G8" s="60"/>
      <c r="H8" s="60"/>
      <c r="I8" s="60"/>
      <c r="J8" s="60"/>
      <c r="K8" s="60"/>
      <c r="L8" s="59"/>
      <c r="M8" s="59"/>
      <c r="N8" s="61"/>
      <c r="O8" s="61"/>
      <c r="P8" s="61"/>
      <c r="Q8" s="61"/>
      <c r="R8" s="61"/>
      <c r="S8" s="61"/>
      <c r="T8" s="61"/>
      <c r="U8" s="61"/>
      <c r="V8" s="61"/>
      <c r="W8" s="61"/>
      <c r="X8" s="59"/>
    </row>
    <row r="9" spans="1:24" s="58" customFormat="1" ht="13.8" customHeight="1" x14ac:dyDescent="0.3">
      <c r="A9" s="59"/>
      <c r="B9" s="59"/>
      <c r="C9" s="59"/>
      <c r="D9" s="60"/>
      <c r="E9" s="60"/>
      <c r="F9" s="60"/>
      <c r="G9" s="60"/>
      <c r="H9" s="60"/>
      <c r="I9" s="60"/>
      <c r="J9" s="60"/>
      <c r="K9" s="60"/>
      <c r="L9" s="59"/>
      <c r="M9" s="59"/>
      <c r="N9" s="61"/>
      <c r="O9" s="61"/>
      <c r="P9" s="61"/>
      <c r="Q9" s="61"/>
      <c r="R9" s="61"/>
      <c r="S9" s="61"/>
      <c r="T9" s="61"/>
      <c r="U9" s="61"/>
      <c r="V9" s="61"/>
      <c r="W9" s="61"/>
      <c r="X9" s="59"/>
    </row>
    <row r="10" spans="1:24" s="58" customFormat="1" ht="13.8" customHeight="1" x14ac:dyDescent="0.3">
      <c r="A10" s="59"/>
      <c r="B10" s="59"/>
      <c r="C10" s="59"/>
      <c r="D10" s="60"/>
      <c r="E10" s="60"/>
      <c r="F10" s="60"/>
      <c r="G10" s="60"/>
      <c r="H10" s="60"/>
      <c r="I10" s="60"/>
      <c r="J10" s="60"/>
      <c r="K10" s="60"/>
      <c r="L10" s="59"/>
      <c r="M10" s="59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59"/>
    </row>
    <row r="11" spans="1:24" s="58" customFormat="1" ht="13.8" customHeight="1" x14ac:dyDescent="0.3">
      <c r="A11" s="59"/>
      <c r="B11" s="59"/>
      <c r="C11" s="59"/>
      <c r="D11" s="60"/>
      <c r="E11" s="60"/>
      <c r="F11" s="60"/>
      <c r="G11" s="60"/>
      <c r="H11" s="60"/>
      <c r="I11" s="60"/>
      <c r="J11" s="60"/>
      <c r="K11" s="60"/>
      <c r="L11" s="59"/>
      <c r="M11" s="59"/>
      <c r="N11" s="61"/>
      <c r="O11" s="61"/>
      <c r="P11" s="61"/>
      <c r="Q11" s="61"/>
      <c r="R11" s="61"/>
      <c r="S11" s="59"/>
      <c r="T11" s="59"/>
      <c r="U11" s="59"/>
      <c r="V11" s="59"/>
      <c r="W11" s="59"/>
      <c r="X11" s="59"/>
    </row>
    <row r="12" spans="1:24" s="58" customFormat="1" ht="13.8" customHeight="1" x14ac:dyDescent="0.3">
      <c r="A12" s="59"/>
      <c r="B12" s="59"/>
      <c r="C12" s="59"/>
      <c r="D12" s="60"/>
      <c r="E12" s="60"/>
      <c r="F12" s="60"/>
      <c r="G12" s="60"/>
      <c r="H12" s="60"/>
      <c r="I12" s="60"/>
      <c r="J12" s="60"/>
      <c r="K12" s="60"/>
      <c r="L12" s="59"/>
      <c r="M12" s="59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59"/>
    </row>
    <row r="13" spans="1:24" s="58" customFormat="1" ht="13.8" customHeight="1" x14ac:dyDescent="0.3">
      <c r="A13" s="59"/>
      <c r="B13" s="59"/>
      <c r="C13" s="59"/>
      <c r="D13" s="60"/>
      <c r="E13" s="60"/>
      <c r="F13" s="60"/>
      <c r="G13" s="60"/>
      <c r="H13" s="60"/>
      <c r="I13" s="60"/>
      <c r="J13" s="60"/>
      <c r="K13" s="60"/>
      <c r="L13" s="59"/>
      <c r="M13" s="59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59"/>
    </row>
    <row r="14" spans="1:24" s="58" customFormat="1" ht="13.8" customHeight="1" x14ac:dyDescent="0.3">
      <c r="A14" s="59"/>
      <c r="B14" s="59"/>
      <c r="C14" s="59"/>
      <c r="D14" s="60"/>
      <c r="E14" s="60"/>
      <c r="F14" s="60"/>
      <c r="G14" s="60"/>
      <c r="H14" s="60"/>
      <c r="I14" s="60"/>
      <c r="J14" s="60"/>
      <c r="K14" s="60"/>
      <c r="L14" s="59"/>
      <c r="M14" s="59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59"/>
    </row>
    <row r="15" spans="1:24" s="58" customFormat="1" ht="13.8" customHeight="1" x14ac:dyDescent="0.3">
      <c r="A15" s="59"/>
      <c r="B15" s="59"/>
      <c r="C15" s="59"/>
      <c r="D15" s="60"/>
      <c r="E15" s="60"/>
      <c r="F15" s="60"/>
      <c r="G15" s="60"/>
      <c r="H15" s="60"/>
      <c r="I15" s="60"/>
      <c r="J15" s="60"/>
      <c r="K15" s="60"/>
      <c r="L15" s="59"/>
      <c r="M15" s="59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59"/>
    </row>
    <row r="16" spans="1:24" s="58" customFormat="1" ht="13.8" customHeight="1" x14ac:dyDescent="0.3">
      <c r="A16" s="59"/>
      <c r="B16" s="59"/>
      <c r="C16" s="59"/>
      <c r="D16" s="60"/>
      <c r="E16" s="60"/>
      <c r="F16" s="60"/>
      <c r="G16" s="60"/>
      <c r="H16" s="60"/>
      <c r="I16" s="60"/>
      <c r="J16" s="60"/>
      <c r="K16" s="60"/>
      <c r="L16" s="59"/>
      <c r="M16" s="59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59"/>
    </row>
    <row r="17" spans="1:24" s="58" customFormat="1" ht="13.8" customHeight="1" x14ac:dyDescent="0.3">
      <c r="A17" s="59"/>
      <c r="B17" s="59"/>
      <c r="C17" s="59"/>
      <c r="D17" s="60"/>
      <c r="E17" s="60"/>
      <c r="F17" s="60"/>
      <c r="G17" s="60"/>
      <c r="H17" s="60"/>
      <c r="I17" s="60"/>
      <c r="J17" s="60"/>
      <c r="K17" s="60"/>
      <c r="L17" s="59"/>
      <c r="M17" s="59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59"/>
    </row>
    <row r="18" spans="1:24" s="58" customFormat="1" ht="13.8" customHeight="1" x14ac:dyDescent="0.3">
      <c r="A18" s="59"/>
      <c r="B18" s="59"/>
      <c r="C18" s="59"/>
      <c r="D18" s="60"/>
      <c r="E18" s="60"/>
      <c r="F18" s="60"/>
      <c r="G18" s="60"/>
      <c r="H18" s="60"/>
      <c r="I18" s="60"/>
      <c r="J18" s="60"/>
      <c r="K18" s="60"/>
      <c r="L18" s="59"/>
      <c r="M18" s="59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59"/>
    </row>
    <row r="19" spans="1:24" s="58" customFormat="1" ht="13.8" customHeight="1" x14ac:dyDescent="0.3">
      <c r="A19" s="59"/>
      <c r="B19" s="59"/>
      <c r="C19" s="59"/>
      <c r="D19" s="60"/>
      <c r="E19" s="60"/>
      <c r="F19" s="60"/>
      <c r="G19" s="60"/>
      <c r="H19" s="60"/>
      <c r="I19" s="60"/>
      <c r="J19" s="60"/>
      <c r="K19" s="60"/>
      <c r="L19" s="59"/>
      <c r="M19" s="59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59"/>
    </row>
    <row r="20" spans="1:24" s="58" customFormat="1" ht="13.8" customHeight="1" x14ac:dyDescent="0.3">
      <c r="A20" s="59"/>
      <c r="B20" s="59"/>
      <c r="C20" s="59"/>
      <c r="D20" s="60"/>
      <c r="E20" s="60"/>
      <c r="F20" s="60"/>
      <c r="G20" s="60"/>
      <c r="H20" s="60"/>
      <c r="I20" s="60"/>
      <c r="J20" s="60"/>
      <c r="K20" s="60"/>
      <c r="L20" s="59"/>
      <c r="M20" s="59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59"/>
    </row>
    <row r="21" spans="1:24" s="58" customFormat="1" ht="13.8" customHeight="1" x14ac:dyDescent="0.3">
      <c r="A21" s="59"/>
      <c r="B21" s="59"/>
      <c r="C21" s="59"/>
      <c r="D21" s="60"/>
      <c r="E21" s="60"/>
      <c r="F21" s="60"/>
      <c r="G21" s="60"/>
      <c r="H21" s="60"/>
      <c r="I21" s="60"/>
      <c r="J21" s="60"/>
      <c r="K21" s="60"/>
      <c r="L21" s="59"/>
      <c r="M21" s="59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59"/>
    </row>
    <row r="22" spans="1:24" s="58" customFormat="1" ht="13.8" customHeight="1" x14ac:dyDescent="0.3">
      <c r="A22" s="59"/>
      <c r="B22" s="59"/>
      <c r="C22" s="59"/>
      <c r="D22" s="60"/>
      <c r="E22" s="60"/>
      <c r="F22" s="60"/>
      <c r="G22" s="60"/>
      <c r="H22" s="60"/>
      <c r="I22" s="60"/>
      <c r="J22" s="60"/>
      <c r="K22" s="60"/>
      <c r="L22" s="59"/>
      <c r="M22" s="59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78"/>
    </row>
    <row r="23" spans="1:24" s="58" customFormat="1" ht="13.8" customHeight="1" x14ac:dyDescent="0.3">
      <c r="A23" s="59"/>
      <c r="B23" s="59"/>
      <c r="C23" s="59"/>
      <c r="D23" s="60"/>
      <c r="E23" s="60"/>
      <c r="F23" s="60"/>
      <c r="G23" s="60"/>
      <c r="H23" s="60"/>
      <c r="I23" s="60"/>
      <c r="J23" s="60"/>
      <c r="K23" s="60"/>
      <c r="L23" s="59"/>
      <c r="M23" s="59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59"/>
    </row>
    <row r="24" spans="1:24" s="58" customFormat="1" ht="13.8" customHeight="1" x14ac:dyDescent="0.3">
      <c r="A24" s="59"/>
      <c r="B24" s="59"/>
      <c r="C24" s="59"/>
      <c r="D24" s="60"/>
      <c r="E24" s="60"/>
      <c r="F24" s="60"/>
      <c r="G24" s="60"/>
      <c r="H24" s="60"/>
      <c r="I24" s="60"/>
      <c r="J24" s="60"/>
      <c r="K24" s="60"/>
      <c r="L24" s="59"/>
      <c r="M24" s="59"/>
      <c r="N24" s="61"/>
      <c r="O24" s="61"/>
      <c r="P24" s="61"/>
      <c r="Q24" s="61"/>
      <c r="R24" s="61"/>
      <c r="S24" s="61"/>
      <c r="T24" s="61"/>
      <c r="U24" s="61"/>
      <c r="V24" s="61"/>
      <c r="W24" s="61"/>
    </row>
    <row r="25" spans="1:24" s="58" customFormat="1" ht="13.8" customHeight="1" x14ac:dyDescent="0.3">
      <c r="A25" s="59"/>
      <c r="B25" s="59"/>
      <c r="C25" s="59"/>
      <c r="D25" s="60"/>
      <c r="E25" s="60"/>
      <c r="F25" s="60"/>
      <c r="G25" s="60"/>
      <c r="H25" s="60"/>
      <c r="I25" s="60"/>
      <c r="J25" s="60"/>
      <c r="K25" s="60"/>
      <c r="L25" s="59"/>
      <c r="M25" s="59"/>
      <c r="N25" s="61"/>
      <c r="O25" s="61"/>
      <c r="P25" s="61"/>
      <c r="Q25" s="61"/>
      <c r="R25" s="61"/>
      <c r="S25" s="61"/>
      <c r="T25" s="61"/>
      <c r="U25" s="61"/>
      <c r="V25" s="61"/>
      <c r="W25" s="61"/>
    </row>
    <row r="26" spans="1:24" s="58" customFormat="1" ht="13.8" customHeight="1" x14ac:dyDescent="0.3">
      <c r="A26" s="59"/>
      <c r="B26" s="59"/>
      <c r="C26" s="59"/>
      <c r="D26" s="60"/>
      <c r="E26" s="60"/>
      <c r="F26" s="60"/>
      <c r="G26" s="60"/>
      <c r="H26" s="60"/>
      <c r="I26" s="60"/>
      <c r="J26" s="60"/>
      <c r="K26" s="60"/>
      <c r="L26" s="59"/>
      <c r="M26" s="59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4" s="58" customFormat="1" ht="13.8" customHeight="1" x14ac:dyDescent="0.3">
      <c r="A27" s="59"/>
      <c r="B27" s="59"/>
      <c r="C27" s="59"/>
      <c r="D27" s="60"/>
      <c r="E27" s="60"/>
      <c r="F27" s="60"/>
      <c r="G27" s="60"/>
      <c r="H27" s="60"/>
      <c r="I27" s="60"/>
      <c r="J27" s="60"/>
      <c r="K27" s="60"/>
      <c r="L27" s="59"/>
      <c r="M27" s="59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4" s="58" customFormat="1" ht="13.8" customHeight="1" x14ac:dyDescent="0.3">
      <c r="A28" s="59"/>
      <c r="B28" s="59"/>
      <c r="C28" s="59"/>
      <c r="D28" s="60"/>
      <c r="E28" s="60"/>
      <c r="F28" s="60"/>
      <c r="G28" s="60"/>
      <c r="H28" s="60"/>
      <c r="I28" s="60"/>
      <c r="J28" s="60"/>
      <c r="K28" s="60"/>
      <c r="L28" s="59"/>
      <c r="M28" s="59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4" s="58" customFormat="1" ht="13.8" customHeight="1" x14ac:dyDescent="0.3">
      <c r="A29" s="59"/>
      <c r="B29" s="59"/>
      <c r="C29" s="59"/>
      <c r="D29" s="60"/>
      <c r="E29" s="60"/>
      <c r="F29" s="60"/>
      <c r="G29" s="60"/>
      <c r="H29" s="60"/>
      <c r="I29" s="60"/>
      <c r="J29" s="60"/>
      <c r="K29" s="60"/>
      <c r="L29" s="59"/>
      <c r="M29" s="59"/>
      <c r="N29" s="61"/>
      <c r="O29" s="61"/>
      <c r="P29" s="61"/>
      <c r="Q29" s="61"/>
      <c r="R29" s="61"/>
      <c r="S29" s="61"/>
      <c r="T29" s="61"/>
      <c r="U29" s="61"/>
      <c r="V29" s="61"/>
      <c r="W29" s="61"/>
    </row>
    <row r="30" spans="1:24" s="58" customFormat="1" ht="13.8" customHeight="1" x14ac:dyDescent="0.3">
      <c r="A30" s="59"/>
      <c r="B30" s="59"/>
      <c r="C30" s="59"/>
      <c r="D30" s="60"/>
      <c r="E30" s="60"/>
      <c r="F30" s="60"/>
      <c r="G30" s="60"/>
      <c r="H30" s="60"/>
      <c r="I30" s="60"/>
      <c r="J30" s="60"/>
      <c r="K30" s="60"/>
      <c r="L30" s="59"/>
      <c r="M30" s="59"/>
      <c r="N30" s="61"/>
      <c r="O30" s="61"/>
      <c r="P30" s="61"/>
      <c r="Q30" s="61"/>
      <c r="R30" s="61"/>
      <c r="S30" s="61"/>
      <c r="T30" s="61"/>
      <c r="U30" s="61"/>
      <c r="V30" s="61"/>
      <c r="W30" s="61"/>
    </row>
    <row r="31" spans="1:24" s="58" customFormat="1" ht="13.8" customHeight="1" x14ac:dyDescent="0.3">
      <c r="A31" s="59"/>
      <c r="B31" s="59"/>
      <c r="C31" s="59"/>
      <c r="D31" s="60"/>
      <c r="E31" s="60"/>
      <c r="F31" s="60"/>
      <c r="G31" s="60"/>
      <c r="H31" s="60"/>
      <c r="I31" s="60"/>
      <c r="J31" s="60"/>
      <c r="K31" s="60"/>
      <c r="L31" s="59"/>
      <c r="M31" s="59"/>
      <c r="N31" s="61"/>
      <c r="O31" s="61"/>
      <c r="P31" s="61"/>
      <c r="Q31" s="61"/>
      <c r="R31" s="61"/>
      <c r="S31" s="61"/>
      <c r="T31" s="61"/>
      <c r="U31" s="61"/>
      <c r="V31" s="61"/>
      <c r="W31" s="61"/>
    </row>
    <row r="32" spans="1:24" s="58" customFormat="1" ht="13.8" customHeight="1" x14ac:dyDescent="0.3">
      <c r="A32" s="59"/>
      <c r="B32" s="59"/>
      <c r="C32" s="59"/>
      <c r="D32" s="60"/>
      <c r="E32" s="60"/>
      <c r="F32" s="60"/>
      <c r="G32" s="60"/>
      <c r="H32" s="60"/>
      <c r="I32" s="60"/>
      <c r="J32" s="60"/>
      <c r="K32" s="60"/>
      <c r="L32" s="59"/>
      <c r="M32" s="59"/>
      <c r="N32" s="61"/>
      <c r="O32" s="61"/>
      <c r="P32" s="61"/>
      <c r="Q32" s="61"/>
      <c r="R32" s="61"/>
      <c r="S32" s="61"/>
      <c r="T32" s="61"/>
      <c r="U32" s="61"/>
      <c r="V32" s="61"/>
      <c r="W32" s="61"/>
    </row>
    <row r="33" spans="1:23" s="58" customFormat="1" ht="13.8" customHeight="1" x14ac:dyDescent="0.3">
      <c r="A33" s="59"/>
      <c r="B33" s="59"/>
      <c r="C33" s="59"/>
      <c r="D33" s="60"/>
      <c r="E33" s="60"/>
      <c r="F33" s="60"/>
      <c r="G33" s="60"/>
      <c r="H33" s="60"/>
      <c r="I33" s="60"/>
      <c r="J33" s="60"/>
      <c r="K33" s="60"/>
      <c r="L33" s="59"/>
      <c r="M33" s="59"/>
      <c r="N33" s="61"/>
      <c r="O33" s="61"/>
      <c r="P33" s="61"/>
      <c r="Q33" s="61"/>
      <c r="R33" s="61"/>
      <c r="S33" s="61"/>
      <c r="T33" s="61"/>
      <c r="U33" s="61"/>
      <c r="V33" s="61"/>
      <c r="W33" s="61"/>
    </row>
    <row r="34" spans="1:23" s="58" customFormat="1" ht="13.8" customHeight="1" x14ac:dyDescent="0.3">
      <c r="A34" s="59"/>
      <c r="B34" s="59"/>
      <c r="C34" s="59"/>
      <c r="D34" s="60"/>
      <c r="E34" s="60"/>
      <c r="F34" s="60"/>
      <c r="G34" s="60"/>
      <c r="H34" s="60"/>
      <c r="I34" s="60"/>
      <c r="J34" s="60"/>
      <c r="K34" s="60"/>
      <c r="L34" s="59"/>
      <c r="M34" s="59"/>
      <c r="N34" s="61"/>
      <c r="O34" s="61"/>
      <c r="P34" s="61"/>
      <c r="Q34" s="61"/>
      <c r="R34" s="61"/>
      <c r="S34" s="61"/>
      <c r="T34" s="61"/>
      <c r="U34" s="61"/>
      <c r="V34" s="61"/>
      <c r="W34" s="61"/>
    </row>
    <row r="35" spans="1:23" s="58" customFormat="1" ht="13.8" customHeight="1" x14ac:dyDescent="0.3">
      <c r="A35" s="59"/>
      <c r="B35" s="59"/>
      <c r="C35" s="59"/>
      <c r="D35" s="60"/>
      <c r="E35" s="60"/>
      <c r="F35" s="60"/>
      <c r="G35" s="60"/>
      <c r="H35" s="60"/>
      <c r="I35" s="60"/>
      <c r="J35" s="60"/>
      <c r="K35" s="60"/>
      <c r="L35" s="59"/>
      <c r="M35" s="59"/>
      <c r="N35" s="61"/>
      <c r="O35" s="61"/>
      <c r="P35" s="61"/>
      <c r="Q35" s="61"/>
      <c r="R35" s="61"/>
      <c r="S35" s="61"/>
      <c r="T35" s="61"/>
      <c r="U35" s="61"/>
      <c r="V35" s="61"/>
      <c r="W35" s="61"/>
    </row>
    <row r="36" spans="1:23" s="58" customFormat="1" ht="13.8" customHeight="1" x14ac:dyDescent="0.3">
      <c r="A36" s="59"/>
      <c r="B36" s="59"/>
      <c r="C36" s="59"/>
      <c r="D36" s="60"/>
      <c r="E36" s="60"/>
      <c r="F36" s="60"/>
      <c r="G36" s="60"/>
      <c r="H36" s="60"/>
      <c r="I36" s="60"/>
      <c r="J36" s="60"/>
      <c r="K36" s="60"/>
      <c r="L36" s="59"/>
      <c r="M36" s="59"/>
      <c r="N36" s="61"/>
      <c r="O36" s="61"/>
      <c r="P36" s="61"/>
      <c r="Q36" s="61"/>
      <c r="R36" s="61"/>
      <c r="S36" s="61"/>
      <c r="T36" s="61"/>
      <c r="U36" s="61"/>
      <c r="V36" s="61"/>
      <c r="W36" s="61"/>
    </row>
    <row r="37" spans="1:23" s="58" customFormat="1" ht="13.8" customHeight="1" x14ac:dyDescent="0.3">
      <c r="A37" s="59"/>
      <c r="B37" s="59"/>
      <c r="C37" s="59"/>
      <c r="D37" s="60"/>
      <c r="E37" s="60"/>
      <c r="F37" s="60"/>
      <c r="G37" s="60"/>
      <c r="H37" s="60"/>
      <c r="I37" s="60"/>
      <c r="J37" s="60"/>
      <c r="K37" s="60"/>
      <c r="L37" s="59"/>
      <c r="M37" s="59"/>
      <c r="N37" s="61"/>
      <c r="O37" s="61"/>
      <c r="P37" s="61"/>
      <c r="Q37" s="61"/>
      <c r="R37" s="61"/>
      <c r="S37" s="61"/>
      <c r="T37" s="61"/>
      <c r="U37" s="61"/>
      <c r="V37" s="61"/>
      <c r="W37" s="61"/>
    </row>
    <row r="38" spans="1:23" s="58" customFormat="1" ht="13.8" customHeight="1" x14ac:dyDescent="0.3">
      <c r="A38" s="59"/>
      <c r="B38" s="59"/>
      <c r="C38" s="59"/>
      <c r="D38" s="60"/>
      <c r="E38" s="60"/>
      <c r="F38" s="60"/>
      <c r="G38" s="60"/>
      <c r="H38" s="60"/>
      <c r="I38" s="60"/>
      <c r="J38" s="60"/>
      <c r="K38" s="60"/>
      <c r="L38" s="59"/>
      <c r="M38" s="59"/>
      <c r="N38" s="61"/>
      <c r="O38" s="61"/>
      <c r="P38" s="61"/>
      <c r="Q38" s="61"/>
      <c r="R38" s="61"/>
      <c r="S38" s="61"/>
      <c r="T38" s="61"/>
      <c r="U38" s="61"/>
      <c r="V38" s="61"/>
      <c r="W38" s="61"/>
    </row>
    <row r="39" spans="1:23" s="58" customFormat="1" ht="13.8" customHeight="1" x14ac:dyDescent="0.3">
      <c r="A39" s="59"/>
      <c r="B39" s="59"/>
      <c r="C39" s="59"/>
      <c r="D39" s="60"/>
      <c r="E39" s="60"/>
      <c r="F39" s="60"/>
      <c r="G39" s="60"/>
      <c r="H39" s="60"/>
      <c r="I39" s="60"/>
      <c r="J39" s="60"/>
      <c r="K39" s="60"/>
      <c r="L39" s="59"/>
      <c r="M39" s="59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s="58" customFormat="1" ht="13.8" customHeight="1" x14ac:dyDescent="0.3">
      <c r="A40" s="59"/>
      <c r="B40" s="59"/>
      <c r="C40" s="59"/>
      <c r="D40" s="60"/>
      <c r="E40" s="60"/>
      <c r="F40" s="60"/>
      <c r="G40" s="60"/>
      <c r="H40" s="60"/>
      <c r="I40" s="60"/>
      <c r="J40" s="60"/>
      <c r="K40" s="60"/>
      <c r="L40" s="59"/>
      <c r="M40" s="59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s="58" customFormat="1" ht="13.8" customHeight="1" x14ac:dyDescent="0.3">
      <c r="A41" s="59"/>
      <c r="B41" s="59"/>
      <c r="C41" s="59"/>
      <c r="D41" s="60"/>
      <c r="E41" s="60"/>
      <c r="F41" s="60"/>
      <c r="G41" s="60"/>
      <c r="H41" s="60"/>
      <c r="I41" s="60"/>
      <c r="J41" s="60"/>
      <c r="K41" s="60"/>
      <c r="L41" s="59"/>
      <c r="M41" s="59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s="58" customFormat="1" ht="13.8" customHeight="1" x14ac:dyDescent="0.3">
      <c r="A42" s="59"/>
      <c r="B42" s="59"/>
      <c r="C42" s="59"/>
      <c r="D42" s="60"/>
      <c r="E42" s="60"/>
      <c r="F42" s="60"/>
      <c r="G42" s="60"/>
      <c r="H42" s="60"/>
      <c r="I42" s="60"/>
      <c r="J42" s="60"/>
      <c r="K42" s="60"/>
      <c r="L42" s="59"/>
      <c r="M42" s="59"/>
      <c r="N42" s="61"/>
      <c r="O42" s="61"/>
      <c r="P42" s="61"/>
      <c r="Q42" s="61"/>
      <c r="R42" s="61"/>
      <c r="S42" s="61"/>
      <c r="T42" s="61"/>
      <c r="U42" s="61"/>
      <c r="V42" s="61"/>
      <c r="W42" s="61"/>
    </row>
    <row r="43" spans="1:23" s="58" customFormat="1" ht="13.8" customHeight="1" x14ac:dyDescent="0.3">
      <c r="A43" s="59"/>
      <c r="B43" s="59"/>
      <c r="C43" s="59"/>
      <c r="D43" s="60"/>
      <c r="E43" s="60"/>
      <c r="F43" s="60"/>
      <c r="G43" s="60"/>
      <c r="H43" s="60"/>
      <c r="I43" s="60"/>
      <c r="J43" s="60"/>
      <c r="K43" s="60"/>
      <c r="L43" s="59"/>
      <c r="M43" s="59"/>
      <c r="N43" s="61"/>
      <c r="O43" s="61"/>
      <c r="P43" s="61"/>
      <c r="Q43" s="61"/>
      <c r="R43" s="61"/>
      <c r="S43" s="61"/>
      <c r="T43" s="61"/>
      <c r="U43" s="61"/>
      <c r="V43" s="61"/>
      <c r="W43" s="61"/>
    </row>
    <row r="44" spans="1:23" s="58" customFormat="1" ht="13.8" customHeight="1" x14ac:dyDescent="0.3">
      <c r="A44" s="59"/>
      <c r="B44" s="59"/>
      <c r="C44" s="59"/>
      <c r="D44" s="60"/>
      <c r="E44" s="60"/>
      <c r="F44" s="60"/>
      <c r="G44" s="60"/>
      <c r="H44" s="60"/>
      <c r="I44" s="60"/>
      <c r="J44" s="60"/>
      <c r="K44" s="60"/>
      <c r="L44" s="59"/>
      <c r="M44" s="59"/>
      <c r="N44" s="61"/>
      <c r="O44" s="61"/>
      <c r="P44" s="61"/>
      <c r="Q44" s="61"/>
      <c r="R44" s="61"/>
      <c r="S44" s="61"/>
      <c r="T44" s="61"/>
      <c r="U44" s="61"/>
      <c r="V44" s="61"/>
      <c r="W44" s="61"/>
    </row>
    <row r="45" spans="1:23" s="58" customFormat="1" ht="13.8" customHeight="1" x14ac:dyDescent="0.3">
      <c r="A45" s="59"/>
      <c r="B45" s="59"/>
      <c r="C45" s="59"/>
      <c r="D45" s="60"/>
      <c r="E45" s="60"/>
      <c r="F45" s="60"/>
      <c r="G45" s="60"/>
      <c r="H45" s="60"/>
      <c r="I45" s="60"/>
      <c r="J45" s="60"/>
      <c r="K45" s="60"/>
      <c r="L45" s="59"/>
      <c r="M45" s="59"/>
      <c r="N45" s="61"/>
      <c r="O45" s="61"/>
      <c r="P45" s="61"/>
      <c r="Q45" s="61"/>
      <c r="R45" s="61"/>
      <c r="S45" s="61"/>
      <c r="T45" s="61"/>
      <c r="U45" s="61"/>
      <c r="V45" s="61"/>
      <c r="W45" s="61"/>
    </row>
    <row r="46" spans="1:23" s="58" customFormat="1" ht="13.8" customHeight="1" x14ac:dyDescent="0.3">
      <c r="A46" s="59"/>
      <c r="B46" s="59"/>
      <c r="C46" s="59"/>
      <c r="D46" s="60"/>
      <c r="E46" s="60"/>
      <c r="F46" s="60"/>
      <c r="G46" s="60"/>
      <c r="H46" s="60"/>
      <c r="I46" s="60"/>
      <c r="J46" s="60"/>
      <c r="K46" s="60"/>
      <c r="L46" s="59"/>
      <c r="M46" s="59"/>
      <c r="N46" s="61"/>
      <c r="O46" s="61"/>
      <c r="P46" s="61"/>
      <c r="Q46" s="61"/>
      <c r="R46" s="61"/>
      <c r="S46" s="61"/>
      <c r="T46" s="61"/>
      <c r="U46" s="61"/>
      <c r="V46" s="61"/>
      <c r="W46" s="61"/>
    </row>
    <row r="47" spans="1:23" s="58" customFormat="1" ht="13.8" customHeight="1" x14ac:dyDescent="0.3">
      <c r="A47" s="59"/>
      <c r="B47" s="59"/>
      <c r="C47" s="59"/>
      <c r="D47" s="60"/>
      <c r="E47" s="60"/>
      <c r="F47" s="60"/>
      <c r="G47" s="60"/>
      <c r="H47" s="60"/>
      <c r="I47" s="60"/>
      <c r="J47" s="60"/>
      <c r="K47" s="60"/>
      <c r="L47" s="59"/>
      <c r="M47" s="59"/>
      <c r="N47" s="61"/>
      <c r="O47" s="61"/>
      <c r="P47" s="61"/>
      <c r="Q47" s="61"/>
      <c r="R47" s="61"/>
      <c r="S47" s="59"/>
      <c r="T47" s="59"/>
      <c r="U47" s="59"/>
      <c r="V47" s="59"/>
      <c r="W47" s="59"/>
    </row>
    <row r="48" spans="1:23" s="58" customFormat="1" ht="13.8" customHeight="1" x14ac:dyDescent="0.3">
      <c r="A48" s="59"/>
      <c r="B48" s="59"/>
      <c r="C48" s="59"/>
      <c r="D48" s="60"/>
      <c r="E48" s="60"/>
      <c r="F48" s="60"/>
      <c r="G48" s="60"/>
      <c r="H48" s="60"/>
      <c r="I48" s="60"/>
      <c r="J48" s="60"/>
      <c r="K48" s="60"/>
      <c r="L48" s="59"/>
      <c r="M48" s="59"/>
      <c r="N48" s="61"/>
      <c r="O48" s="61"/>
      <c r="P48" s="61"/>
      <c r="Q48" s="61"/>
      <c r="R48" s="61"/>
      <c r="S48" s="59"/>
      <c r="T48" s="59"/>
      <c r="U48" s="59"/>
      <c r="V48" s="59"/>
      <c r="W48" s="59"/>
    </row>
    <row r="49" spans="1:23" s="58" customFormat="1" ht="13.8" customHeight="1" x14ac:dyDescent="0.3">
      <c r="A49" s="59"/>
      <c r="B49" s="59"/>
      <c r="C49" s="59"/>
      <c r="D49" s="60"/>
      <c r="E49" s="60"/>
      <c r="F49" s="60"/>
      <c r="G49" s="60"/>
      <c r="H49" s="60"/>
      <c r="I49" s="60"/>
      <c r="J49" s="60"/>
      <c r="K49" s="60"/>
      <c r="L49" s="59"/>
      <c r="M49" s="59"/>
      <c r="N49" s="61"/>
      <c r="O49" s="63"/>
      <c r="P49" s="63"/>
      <c r="Q49" s="63"/>
      <c r="R49" s="63"/>
      <c r="S49" s="63"/>
      <c r="T49" s="63"/>
      <c r="U49" s="63"/>
      <c r="V49" s="63"/>
      <c r="W49" s="63"/>
    </row>
    <row r="50" spans="1:23" s="58" customFormat="1" ht="13.8" customHeight="1" x14ac:dyDescent="0.3">
      <c r="A50" s="59"/>
      <c r="B50" s="59"/>
      <c r="C50" s="59"/>
      <c r="D50" s="60"/>
      <c r="E50" s="60"/>
      <c r="F50" s="60"/>
      <c r="G50" s="60"/>
      <c r="H50" s="60"/>
      <c r="I50" s="60"/>
      <c r="J50" s="60"/>
      <c r="K50" s="60"/>
      <c r="L50" s="59"/>
      <c r="M50" s="59"/>
      <c r="N50" s="61"/>
      <c r="O50" s="61"/>
      <c r="P50" s="61"/>
      <c r="Q50" s="61"/>
      <c r="R50" s="61"/>
      <c r="S50" s="59"/>
      <c r="T50" s="59"/>
      <c r="U50" s="59"/>
      <c r="V50" s="59"/>
      <c r="W50" s="59"/>
    </row>
    <row r="51" spans="1:23" s="58" customFormat="1" ht="13.8" customHeight="1" x14ac:dyDescent="0.3">
      <c r="A51" s="59"/>
      <c r="B51" s="59"/>
      <c r="C51" s="59"/>
      <c r="D51" s="60"/>
      <c r="E51" s="60"/>
      <c r="F51" s="60"/>
      <c r="G51" s="60"/>
      <c r="H51" s="60"/>
      <c r="I51" s="60"/>
      <c r="J51" s="60"/>
      <c r="K51" s="60"/>
      <c r="L51" s="59"/>
      <c r="M51" s="59"/>
      <c r="N51" s="61"/>
      <c r="O51" s="61"/>
      <c r="P51" s="61"/>
      <c r="Q51" s="61"/>
      <c r="R51" s="61"/>
      <c r="S51" s="59"/>
      <c r="T51" s="59"/>
      <c r="U51" s="59"/>
      <c r="V51" s="59"/>
      <c r="W51" s="59"/>
    </row>
    <row r="52" spans="1:23" s="58" customFormat="1" ht="13.8" customHeight="1" x14ac:dyDescent="0.3">
      <c r="A52" s="59"/>
      <c r="B52" s="59"/>
      <c r="C52" s="59"/>
      <c r="D52" s="60"/>
      <c r="E52" s="60"/>
      <c r="F52" s="60"/>
      <c r="G52" s="60"/>
      <c r="H52" s="60"/>
      <c r="I52" s="60"/>
      <c r="J52" s="60"/>
      <c r="K52" s="60"/>
      <c r="L52" s="59"/>
      <c r="M52" s="59"/>
      <c r="N52" s="61"/>
      <c r="O52" s="61"/>
      <c r="P52" s="61"/>
      <c r="Q52" s="61"/>
      <c r="R52" s="61"/>
      <c r="S52" s="59"/>
      <c r="T52" s="59"/>
      <c r="U52" s="59"/>
      <c r="V52" s="59"/>
      <c r="W52" s="59"/>
    </row>
    <row r="53" spans="1:23" s="58" customFormat="1" ht="13.8" customHeight="1" x14ac:dyDescent="0.3">
      <c r="A53" s="59"/>
      <c r="B53" s="59"/>
      <c r="C53" s="59"/>
      <c r="D53" s="60"/>
      <c r="E53" s="60"/>
      <c r="F53" s="60"/>
      <c r="G53" s="60"/>
      <c r="H53" s="60"/>
      <c r="I53" s="60"/>
      <c r="J53" s="60"/>
      <c r="K53" s="60"/>
      <c r="L53" s="59"/>
      <c r="M53" s="59"/>
      <c r="N53" s="61"/>
      <c r="O53" s="61"/>
      <c r="P53" s="61"/>
      <c r="Q53" s="61"/>
      <c r="R53" s="61"/>
      <c r="S53" s="59"/>
      <c r="T53" s="59"/>
      <c r="U53" s="59"/>
      <c r="V53" s="59"/>
      <c r="W53" s="59"/>
    </row>
    <row r="54" spans="1:23" s="58" customFormat="1" ht="13.8" customHeight="1" x14ac:dyDescent="0.3">
      <c r="A54" s="59"/>
      <c r="B54" s="59"/>
      <c r="C54" s="59"/>
      <c r="D54" s="60"/>
      <c r="E54" s="60"/>
      <c r="F54" s="60"/>
      <c r="G54" s="60"/>
      <c r="H54" s="60"/>
      <c r="I54" s="60"/>
      <c r="J54" s="60"/>
      <c r="K54" s="60"/>
      <c r="L54" s="59"/>
      <c r="M54" s="59"/>
      <c r="N54" s="61"/>
      <c r="O54" s="61"/>
      <c r="P54" s="61"/>
      <c r="Q54" s="61"/>
      <c r="R54" s="61"/>
      <c r="S54" s="59"/>
      <c r="T54" s="59"/>
      <c r="U54" s="59"/>
      <c r="V54" s="59"/>
      <c r="W54" s="59"/>
    </row>
    <row r="55" spans="1:23" s="58" customFormat="1" ht="13.8" customHeight="1" x14ac:dyDescent="0.3">
      <c r="A55" s="59"/>
      <c r="B55" s="59"/>
      <c r="C55" s="59"/>
      <c r="D55" s="60"/>
      <c r="E55" s="60"/>
      <c r="F55" s="60"/>
      <c r="G55" s="60"/>
      <c r="H55" s="60"/>
      <c r="I55" s="60"/>
      <c r="J55" s="60"/>
      <c r="K55" s="60"/>
      <c r="L55" s="59"/>
      <c r="M55" s="59"/>
      <c r="N55" s="61"/>
      <c r="O55" s="61"/>
      <c r="P55" s="61"/>
      <c r="Q55" s="61"/>
      <c r="R55" s="61"/>
      <c r="S55" s="59"/>
      <c r="T55" s="59"/>
      <c r="U55" s="59"/>
      <c r="V55" s="59"/>
      <c r="W55" s="59"/>
    </row>
    <row r="56" spans="1:23" s="58" customFormat="1" ht="13.8" customHeight="1" x14ac:dyDescent="0.3">
      <c r="A56" s="59"/>
      <c r="B56" s="59"/>
      <c r="C56" s="59"/>
      <c r="D56" s="60"/>
      <c r="E56" s="60"/>
      <c r="F56" s="60"/>
      <c r="G56" s="60"/>
      <c r="H56" s="60"/>
      <c r="I56" s="60"/>
      <c r="J56" s="60"/>
      <c r="K56" s="60"/>
      <c r="L56" s="59"/>
      <c r="M56" s="59"/>
      <c r="N56" s="61"/>
      <c r="O56" s="61"/>
      <c r="P56" s="61"/>
      <c r="Q56" s="61"/>
      <c r="R56" s="61"/>
      <c r="S56" s="59"/>
      <c r="T56" s="59"/>
      <c r="U56" s="59"/>
      <c r="V56" s="59"/>
      <c r="W56" s="59"/>
    </row>
    <row r="57" spans="1:23" s="58" customFormat="1" x14ac:dyDescent="0.3">
      <c r="A57" s="59"/>
      <c r="B57" s="59"/>
      <c r="C57" s="59"/>
      <c r="D57" s="60"/>
      <c r="E57" s="60"/>
      <c r="F57" s="60"/>
      <c r="G57" s="60"/>
      <c r="H57" s="60"/>
      <c r="I57" s="60"/>
      <c r="J57" s="60"/>
      <c r="K57" s="60"/>
      <c r="L57" s="59"/>
      <c r="M57" s="59"/>
      <c r="N57" s="61"/>
      <c r="O57" s="61"/>
      <c r="P57" s="61"/>
      <c r="Q57" s="61"/>
      <c r="R57" s="61"/>
      <c r="S57" s="59"/>
      <c r="T57" s="59"/>
      <c r="U57" s="59"/>
      <c r="V57" s="59"/>
      <c r="W57" s="59"/>
    </row>
    <row r="58" spans="1:23" s="58" customFormat="1" x14ac:dyDescent="0.3">
      <c r="A58" s="59"/>
      <c r="B58" s="59"/>
      <c r="C58" s="59"/>
      <c r="D58" s="60"/>
      <c r="E58" s="60"/>
      <c r="F58" s="60"/>
      <c r="G58" s="60"/>
      <c r="H58" s="60"/>
      <c r="I58" s="60"/>
      <c r="J58" s="60"/>
      <c r="K58" s="60"/>
      <c r="L58" s="59"/>
      <c r="M58" s="59"/>
      <c r="N58" s="61"/>
      <c r="O58" s="61"/>
      <c r="P58" s="61"/>
      <c r="Q58" s="61"/>
      <c r="R58" s="61"/>
      <c r="S58" s="59"/>
      <c r="T58" s="59"/>
      <c r="U58" s="59"/>
      <c r="V58" s="59"/>
      <c r="W58" s="59"/>
    </row>
    <row r="59" spans="1:23" s="58" customFormat="1" x14ac:dyDescent="0.3">
      <c r="A59" s="59"/>
      <c r="B59" s="59"/>
      <c r="C59" s="59"/>
      <c r="D59" s="60"/>
      <c r="E59" s="60"/>
      <c r="F59" s="60"/>
      <c r="G59" s="60"/>
      <c r="H59" s="60"/>
      <c r="I59" s="60"/>
      <c r="J59" s="60"/>
      <c r="K59" s="60"/>
      <c r="L59" s="59"/>
      <c r="M59" s="59"/>
      <c r="N59" s="61"/>
      <c r="O59" s="61"/>
      <c r="P59" s="61"/>
      <c r="Q59" s="61"/>
      <c r="R59" s="61"/>
      <c r="S59" s="59"/>
      <c r="T59" s="59"/>
      <c r="U59" s="59"/>
      <c r="V59" s="59"/>
      <c r="W59" s="59"/>
    </row>
    <row r="60" spans="1:23" s="58" customFormat="1" x14ac:dyDescent="0.3">
      <c r="A60" s="59"/>
      <c r="B60" s="59"/>
      <c r="C60" s="59"/>
      <c r="D60" s="60"/>
      <c r="E60" s="60"/>
      <c r="F60" s="60"/>
      <c r="G60" s="60"/>
      <c r="H60" s="60"/>
      <c r="I60" s="60"/>
      <c r="J60" s="60"/>
      <c r="K60" s="60"/>
      <c r="L60" s="59"/>
      <c r="M60" s="59"/>
      <c r="N60" s="61"/>
      <c r="O60" s="61"/>
      <c r="P60" s="61"/>
      <c r="Q60" s="61"/>
      <c r="R60" s="61"/>
      <c r="S60" s="59"/>
      <c r="T60" s="59"/>
      <c r="U60" s="59"/>
      <c r="V60" s="59"/>
      <c r="W60" s="59"/>
    </row>
    <row r="61" spans="1:23" s="57" customFormat="1" x14ac:dyDescent="0.3">
      <c r="A61" s="55"/>
      <c r="B61" s="55"/>
      <c r="C61" s="55"/>
      <c r="D61" s="56"/>
      <c r="E61" s="56"/>
      <c r="F61" s="56"/>
      <c r="G61" s="56"/>
      <c r="H61" s="56"/>
      <c r="I61" s="56"/>
      <c r="J61" s="56"/>
      <c r="K61" s="56"/>
      <c r="L61" s="55"/>
      <c r="M61" s="55"/>
      <c r="N61" s="62"/>
      <c r="O61" s="55"/>
      <c r="P61" s="55"/>
      <c r="Q61" s="55"/>
      <c r="R61" s="55"/>
      <c r="S61" s="55"/>
      <c r="T61" s="55"/>
      <c r="U61" s="55"/>
      <c r="V61" s="55"/>
    </row>
    <row r="62" spans="1:23" x14ac:dyDescent="0.3">
      <c r="B62" s="52"/>
      <c r="C62" s="52"/>
      <c r="D62" s="11"/>
      <c r="E62" s="11"/>
      <c r="F62" s="11"/>
      <c r="G62" s="11"/>
      <c r="H62" s="11"/>
      <c r="I62" s="11"/>
      <c r="J62" s="11"/>
      <c r="K62" s="11"/>
      <c r="L62" s="53"/>
      <c r="M62" s="53"/>
      <c r="N62" s="53"/>
      <c r="O62" s="52"/>
    </row>
    <row r="63" spans="1:23" x14ac:dyDescent="0.3">
      <c r="B63" s="52"/>
      <c r="C63" s="52"/>
      <c r="D63" s="11"/>
      <c r="E63" s="11"/>
      <c r="F63" s="11"/>
      <c r="G63" s="11"/>
      <c r="H63" s="11"/>
      <c r="I63" s="11"/>
      <c r="J63" s="11"/>
      <c r="K63" s="11"/>
      <c r="L63" s="53"/>
      <c r="M63" s="53"/>
      <c r="N63" s="53"/>
      <c r="O63" s="52"/>
    </row>
    <row r="64" spans="1:23" x14ac:dyDescent="0.3">
      <c r="B64" s="52"/>
      <c r="C64" s="52"/>
      <c r="D64" s="11"/>
      <c r="E64" s="11"/>
      <c r="F64" s="11"/>
      <c r="G64" s="11"/>
      <c r="H64" s="11"/>
      <c r="I64" s="11"/>
      <c r="J64" s="11"/>
      <c r="K64" s="11"/>
      <c r="L64" s="53"/>
      <c r="M64" s="53"/>
      <c r="N64" s="53"/>
      <c r="O64" s="52"/>
    </row>
    <row r="65" spans="2:15" x14ac:dyDescent="0.3">
      <c r="B65" s="51"/>
      <c r="C65" s="5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51"/>
    </row>
    <row r="66" spans="2:15" x14ac:dyDescent="0.3">
      <c r="B66" s="51"/>
      <c r="C66" s="5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51"/>
    </row>
    <row r="67" spans="2:15" x14ac:dyDescent="0.3">
      <c r="B67" s="51"/>
      <c r="C67" s="5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51"/>
    </row>
    <row r="68" spans="2:15" x14ac:dyDescent="0.3">
      <c r="B68" s="51"/>
      <c r="C68" s="5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51"/>
    </row>
    <row r="69" spans="2:15" x14ac:dyDescent="0.3">
      <c r="B69" s="51"/>
      <c r="C69" s="5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51"/>
    </row>
    <row r="70" spans="2:15" x14ac:dyDescent="0.3">
      <c r="B70" s="51"/>
      <c r="C70" s="5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51"/>
    </row>
  </sheetData>
  <autoFilter ref="A1:T2" xr:uid="{2730963C-5C63-4092-B168-8555E510BE78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</autoFilter>
  <mergeCells count="17">
    <mergeCell ref="A1:A2"/>
    <mergeCell ref="W1:W2"/>
    <mergeCell ref="S1:S2"/>
    <mergeCell ref="R1:R2"/>
    <mergeCell ref="Q1:Q2"/>
    <mergeCell ref="P1:P2"/>
    <mergeCell ref="D1:K1"/>
    <mergeCell ref="B1:B2"/>
    <mergeCell ref="O1:O2"/>
    <mergeCell ref="C1:C2"/>
    <mergeCell ref="L1:L2"/>
    <mergeCell ref="M1:M2"/>
    <mergeCell ref="N1:N2"/>
    <mergeCell ref="X1:X2"/>
    <mergeCell ref="V1:V2"/>
    <mergeCell ref="U1:U2"/>
    <mergeCell ref="T1:T2"/>
  </mergeCells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6BC03-A417-4B94-90A1-73CF453CC612}">
  <sheetPr codeName="Hoja2"/>
  <dimension ref="A2:S77"/>
  <sheetViews>
    <sheetView workbookViewId="0">
      <selection activeCell="E13" sqref="E13"/>
    </sheetView>
  </sheetViews>
  <sheetFormatPr baseColWidth="10" defaultRowHeight="14.4" x14ac:dyDescent="0.3"/>
  <cols>
    <col min="4" max="4" width="21.6640625" bestFit="1" customWidth="1"/>
    <col min="5" max="5" width="13.33203125" bestFit="1" customWidth="1"/>
    <col min="9" max="9" width="13.109375" customWidth="1"/>
    <col min="10" max="10" width="21.33203125" bestFit="1" customWidth="1"/>
    <col min="14" max="14" width="19.33203125" customWidth="1"/>
    <col min="17" max="17" width="12.6640625" customWidth="1"/>
    <col min="18" max="18" width="28.88671875" bestFit="1" customWidth="1"/>
    <col min="19" max="19" width="21.44140625" bestFit="1" customWidth="1"/>
  </cols>
  <sheetData>
    <row r="2" spans="1:19" x14ac:dyDescent="0.3">
      <c r="A2" t="s">
        <v>507</v>
      </c>
      <c r="B2" t="s">
        <v>162</v>
      </c>
      <c r="D2" t="s">
        <v>178</v>
      </c>
      <c r="E2" t="s">
        <v>186</v>
      </c>
      <c r="F2" t="s">
        <v>1244</v>
      </c>
      <c r="G2" t="s">
        <v>181</v>
      </c>
      <c r="I2" t="s">
        <v>13</v>
      </c>
      <c r="J2" t="s">
        <v>492</v>
      </c>
      <c r="K2" t="s">
        <v>496</v>
      </c>
      <c r="M2" t="s">
        <v>1106</v>
      </c>
      <c r="N2" t="s">
        <v>1107</v>
      </c>
      <c r="Q2" s="365" t="s">
        <v>1375</v>
      </c>
      <c r="R2" s="365" t="s">
        <v>1244</v>
      </c>
      <c r="S2" s="365" t="s">
        <v>1376</v>
      </c>
    </row>
    <row r="3" spans="1:19" x14ac:dyDescent="0.3">
      <c r="A3" t="s">
        <v>1104</v>
      </c>
      <c r="B3" t="s">
        <v>177</v>
      </c>
      <c r="D3" t="s">
        <v>137</v>
      </c>
      <c r="E3" s="307" t="s">
        <v>137</v>
      </c>
      <c r="G3">
        <v>60</v>
      </c>
      <c r="I3" t="s">
        <v>462</v>
      </c>
      <c r="J3" t="s">
        <v>493</v>
      </c>
      <c r="K3">
        <v>200</v>
      </c>
      <c r="M3" t="s">
        <v>1111</v>
      </c>
      <c r="N3" t="s">
        <v>137</v>
      </c>
      <c r="Q3" s="364" t="s">
        <v>951</v>
      </c>
      <c r="R3" s="364" t="s">
        <v>1380</v>
      </c>
      <c r="S3" s="364" t="s">
        <v>1377</v>
      </c>
    </row>
    <row r="4" spans="1:19" x14ac:dyDescent="0.3">
      <c r="A4" t="s">
        <v>1105</v>
      </c>
      <c r="B4" t="s">
        <v>178</v>
      </c>
      <c r="D4" t="s">
        <v>1141</v>
      </c>
      <c r="E4" s="307" t="s">
        <v>27</v>
      </c>
      <c r="I4" t="s">
        <v>463</v>
      </c>
      <c r="J4" t="s">
        <v>494</v>
      </c>
      <c r="K4">
        <v>50</v>
      </c>
      <c r="M4" t="s">
        <v>1114</v>
      </c>
      <c r="N4" t="s">
        <v>1153</v>
      </c>
      <c r="Q4" s="364"/>
      <c r="R4" s="364"/>
      <c r="S4" s="364" t="s">
        <v>1378</v>
      </c>
    </row>
    <row r="5" spans="1:19" x14ac:dyDescent="0.3">
      <c r="A5" t="s">
        <v>1681</v>
      </c>
      <c r="B5" t="s">
        <v>1678</v>
      </c>
      <c r="D5" t="s">
        <v>156</v>
      </c>
      <c r="E5" s="307" t="s">
        <v>196</v>
      </c>
      <c r="J5" t="s">
        <v>495</v>
      </c>
      <c r="K5">
        <v>500</v>
      </c>
      <c r="M5" t="s">
        <v>1134</v>
      </c>
      <c r="N5" t="s">
        <v>1110</v>
      </c>
      <c r="Q5" s="364"/>
      <c r="R5" s="364"/>
      <c r="S5" s="364" t="s">
        <v>1379</v>
      </c>
    </row>
    <row r="6" spans="1:19" x14ac:dyDescent="0.3">
      <c r="A6" t="s">
        <v>1682</v>
      </c>
      <c r="B6" t="s">
        <v>1679</v>
      </c>
      <c r="D6" t="s">
        <v>1109</v>
      </c>
      <c r="E6" s="307" t="s">
        <v>28</v>
      </c>
      <c r="J6" t="s">
        <v>1140</v>
      </c>
      <c r="K6">
        <v>100</v>
      </c>
      <c r="M6" t="s">
        <v>1198</v>
      </c>
      <c r="N6" t="s">
        <v>1170</v>
      </c>
      <c r="Q6" s="364"/>
      <c r="R6" s="364" t="s">
        <v>1381</v>
      </c>
      <c r="S6" s="364" t="s">
        <v>1382</v>
      </c>
    </row>
    <row r="7" spans="1:19" x14ac:dyDescent="0.3">
      <c r="A7" t="s">
        <v>1683</v>
      </c>
      <c r="B7" t="s">
        <v>1680</v>
      </c>
      <c r="D7" t="s">
        <v>27</v>
      </c>
      <c r="E7" s="307" t="s">
        <v>29</v>
      </c>
      <c r="M7" t="s">
        <v>1202</v>
      </c>
      <c r="N7" t="s">
        <v>1196</v>
      </c>
      <c r="Q7" s="364"/>
      <c r="R7" s="364"/>
      <c r="S7" s="364" t="s">
        <v>1383</v>
      </c>
    </row>
    <row r="8" spans="1:19" x14ac:dyDescent="0.3">
      <c r="D8" t="s">
        <v>1532</v>
      </c>
      <c r="E8" s="307" t="s">
        <v>194</v>
      </c>
      <c r="M8" t="s">
        <v>1203</v>
      </c>
      <c r="N8" t="s">
        <v>1181</v>
      </c>
      <c r="Q8" s="364"/>
      <c r="R8" s="364" t="s">
        <v>1366</v>
      </c>
      <c r="S8" s="364" t="s">
        <v>1384</v>
      </c>
    </row>
    <row r="9" spans="1:19" x14ac:dyDescent="0.3">
      <c r="D9" t="s">
        <v>157</v>
      </c>
      <c r="E9" s="307" t="s">
        <v>152</v>
      </c>
      <c r="M9" t="s">
        <v>1204</v>
      </c>
      <c r="N9" t="s">
        <v>1578</v>
      </c>
      <c r="Q9" s="364"/>
      <c r="R9" s="364"/>
      <c r="S9" s="364" t="s">
        <v>1385</v>
      </c>
    </row>
    <row r="10" spans="1:19" x14ac:dyDescent="0.3">
      <c r="D10" t="s">
        <v>1164</v>
      </c>
      <c r="M10" t="s">
        <v>1205</v>
      </c>
      <c r="N10" t="s">
        <v>1130</v>
      </c>
      <c r="Q10" s="364"/>
      <c r="R10" s="364"/>
      <c r="S10" s="364" t="s">
        <v>1386</v>
      </c>
    </row>
    <row r="11" spans="1:19" x14ac:dyDescent="0.3">
      <c r="D11" t="s">
        <v>196</v>
      </c>
      <c r="M11" t="s">
        <v>1206</v>
      </c>
      <c r="N11" t="s">
        <v>1180</v>
      </c>
      <c r="Q11" s="364"/>
      <c r="R11" s="364"/>
      <c r="S11" s="364" t="s">
        <v>1387</v>
      </c>
    </row>
    <row r="12" spans="1:19" x14ac:dyDescent="0.3">
      <c r="D12" t="s">
        <v>151</v>
      </c>
      <c r="I12" s="307" t="s">
        <v>1195</v>
      </c>
      <c r="M12" t="s">
        <v>1207</v>
      </c>
      <c r="N12" t="s">
        <v>1193</v>
      </c>
      <c r="Q12" s="364"/>
      <c r="R12" s="364" t="s">
        <v>1388</v>
      </c>
      <c r="S12" s="364" t="s">
        <v>1389</v>
      </c>
    </row>
    <row r="13" spans="1:19" x14ac:dyDescent="0.3">
      <c r="D13" t="s">
        <v>1131</v>
      </c>
      <c r="I13" s="307" t="s">
        <v>1196</v>
      </c>
      <c r="M13" t="s">
        <v>1208</v>
      </c>
      <c r="N13" t="s">
        <v>1182</v>
      </c>
      <c r="Q13" s="364"/>
      <c r="R13" s="364"/>
      <c r="S13" s="364" t="s">
        <v>1390</v>
      </c>
    </row>
    <row r="14" spans="1:19" x14ac:dyDescent="0.3">
      <c r="D14" t="s">
        <v>1132</v>
      </c>
      <c r="I14" s="307" t="s">
        <v>1193</v>
      </c>
      <c r="M14" t="s">
        <v>1209</v>
      </c>
      <c r="N14" t="s">
        <v>1183</v>
      </c>
      <c r="Q14" s="364"/>
      <c r="R14" s="364"/>
      <c r="S14" s="364" t="s">
        <v>1391</v>
      </c>
    </row>
    <row r="15" spans="1:19" x14ac:dyDescent="0.3">
      <c r="D15" t="s">
        <v>1133</v>
      </c>
      <c r="I15" s="307" t="s">
        <v>1194</v>
      </c>
      <c r="M15" t="s">
        <v>1112</v>
      </c>
      <c r="N15" t="s">
        <v>1141</v>
      </c>
      <c r="Q15" s="364" t="s">
        <v>1392</v>
      </c>
      <c r="R15" s="364" t="s">
        <v>1325</v>
      </c>
      <c r="S15" s="364" t="s">
        <v>1318</v>
      </c>
    </row>
    <row r="16" spans="1:19" x14ac:dyDescent="0.3">
      <c r="D16" t="s">
        <v>1572</v>
      </c>
      <c r="I16" s="369" t="s">
        <v>1153</v>
      </c>
      <c r="M16" t="s">
        <v>1115</v>
      </c>
      <c r="N16" t="s">
        <v>156</v>
      </c>
      <c r="Q16" s="364"/>
      <c r="R16" s="364"/>
      <c r="S16" s="364" t="s">
        <v>1393</v>
      </c>
    </row>
    <row r="17" spans="4:19" x14ac:dyDescent="0.3">
      <c r="D17" t="s">
        <v>451</v>
      </c>
      <c r="I17" s="369" t="s">
        <v>1110</v>
      </c>
      <c r="M17" t="s">
        <v>1116</v>
      </c>
      <c r="N17" t="s">
        <v>1109</v>
      </c>
      <c r="Q17" s="364"/>
      <c r="R17" s="364"/>
      <c r="S17" s="364" t="s">
        <v>1394</v>
      </c>
    </row>
    <row r="18" spans="4:19" x14ac:dyDescent="0.3">
      <c r="D18" t="s">
        <v>1138</v>
      </c>
      <c r="I18" s="369" t="s">
        <v>1170</v>
      </c>
      <c r="M18" t="s">
        <v>1210</v>
      </c>
      <c r="N18" t="s">
        <v>1194</v>
      </c>
      <c r="Q18" s="364"/>
      <c r="R18" s="364"/>
      <c r="S18" s="364" t="s">
        <v>1395</v>
      </c>
    </row>
    <row r="19" spans="4:19" x14ac:dyDescent="0.3">
      <c r="D19" t="s">
        <v>153</v>
      </c>
      <c r="I19" s="369" t="s">
        <v>1181</v>
      </c>
      <c r="M19" t="s">
        <v>1117</v>
      </c>
      <c r="N19" t="s">
        <v>27</v>
      </c>
      <c r="Q19" s="364"/>
      <c r="R19" s="364"/>
      <c r="S19" s="364" t="s">
        <v>1396</v>
      </c>
    </row>
    <row r="20" spans="4:19" x14ac:dyDescent="0.3">
      <c r="D20" t="s">
        <v>152</v>
      </c>
      <c r="I20" s="369" t="s">
        <v>1165</v>
      </c>
      <c r="M20" t="s">
        <v>1200</v>
      </c>
      <c r="N20" t="s">
        <v>1169</v>
      </c>
      <c r="Q20" s="364"/>
      <c r="R20" s="364" t="s">
        <v>1397</v>
      </c>
      <c r="S20" s="364" t="s">
        <v>1398</v>
      </c>
    </row>
    <row r="21" spans="4:19" x14ac:dyDescent="0.3">
      <c r="D21" t="s">
        <v>28</v>
      </c>
      <c r="I21" s="369" t="s">
        <v>1130</v>
      </c>
      <c r="M21" t="s">
        <v>1197</v>
      </c>
      <c r="N21" t="s">
        <v>1152</v>
      </c>
      <c r="Q21" s="364"/>
      <c r="R21" s="364"/>
      <c r="S21" s="364" t="s">
        <v>1399</v>
      </c>
    </row>
    <row r="22" spans="4:19" x14ac:dyDescent="0.3">
      <c r="D22" t="s">
        <v>1150</v>
      </c>
      <c r="I22" s="369" t="s">
        <v>1180</v>
      </c>
      <c r="M22" t="s">
        <v>1199</v>
      </c>
      <c r="N22" t="s">
        <v>1168</v>
      </c>
      <c r="Q22" s="364" t="s">
        <v>1400</v>
      </c>
      <c r="R22" s="364" t="s">
        <v>1401</v>
      </c>
      <c r="S22" s="364" t="s">
        <v>831</v>
      </c>
    </row>
    <row r="23" spans="4:19" x14ac:dyDescent="0.3">
      <c r="D23" t="s">
        <v>159</v>
      </c>
      <c r="I23" s="369" t="s">
        <v>1182</v>
      </c>
      <c r="M23" t="s">
        <v>1145</v>
      </c>
      <c r="N23" t="s">
        <v>1144</v>
      </c>
      <c r="Q23" s="364"/>
      <c r="R23" s="364"/>
      <c r="S23" s="364" t="s">
        <v>1402</v>
      </c>
    </row>
    <row r="24" spans="4:19" x14ac:dyDescent="0.3">
      <c r="D24" t="s">
        <v>29</v>
      </c>
      <c r="I24" s="369" t="s">
        <v>1183</v>
      </c>
      <c r="M24" t="s">
        <v>1118</v>
      </c>
      <c r="N24" t="s">
        <v>1532</v>
      </c>
      <c r="Q24" s="364"/>
      <c r="R24" s="364"/>
      <c r="S24" s="364" t="s">
        <v>1403</v>
      </c>
    </row>
    <row r="25" spans="4:19" x14ac:dyDescent="0.3">
      <c r="D25" t="s">
        <v>1158</v>
      </c>
      <c r="I25" s="369" t="s">
        <v>1169</v>
      </c>
      <c r="M25" t="s">
        <v>1119</v>
      </c>
      <c r="N25" t="s">
        <v>157</v>
      </c>
      <c r="Q25" s="364"/>
      <c r="R25" s="364"/>
      <c r="S25" s="364" t="s">
        <v>1041</v>
      </c>
    </row>
    <row r="26" spans="4:19" x14ac:dyDescent="0.3">
      <c r="D26" t="s">
        <v>154</v>
      </c>
      <c r="I26" s="369" t="s">
        <v>1152</v>
      </c>
      <c r="M26" t="s">
        <v>1211</v>
      </c>
      <c r="N26" t="s">
        <v>1186</v>
      </c>
      <c r="Q26" s="364"/>
      <c r="R26" s="364"/>
      <c r="S26" s="364" t="s">
        <v>1404</v>
      </c>
    </row>
    <row r="27" spans="4:19" x14ac:dyDescent="0.3">
      <c r="D27" t="s">
        <v>194</v>
      </c>
      <c r="I27" s="369" t="s">
        <v>1168</v>
      </c>
      <c r="M27" t="s">
        <v>1212</v>
      </c>
      <c r="N27" t="s">
        <v>1192</v>
      </c>
      <c r="Q27" s="364"/>
      <c r="R27" s="364" t="s">
        <v>1324</v>
      </c>
      <c r="S27" s="364" t="s">
        <v>1317</v>
      </c>
    </row>
    <row r="28" spans="4:19" x14ac:dyDescent="0.3">
      <c r="D28" t="s">
        <v>155</v>
      </c>
      <c r="I28" s="369" t="s">
        <v>1144</v>
      </c>
      <c r="M28" t="s">
        <v>1213</v>
      </c>
      <c r="N28" t="s">
        <v>1189</v>
      </c>
      <c r="Q28" s="364"/>
      <c r="R28" s="364"/>
      <c r="S28" s="364" t="s">
        <v>1405</v>
      </c>
    </row>
    <row r="29" spans="4:19" x14ac:dyDescent="0.3">
      <c r="D29" t="s">
        <v>1108</v>
      </c>
      <c r="I29" s="369" t="s">
        <v>1186</v>
      </c>
      <c r="M29" t="s">
        <v>1214</v>
      </c>
      <c r="N29" t="s">
        <v>1164</v>
      </c>
      <c r="Q29" s="364"/>
      <c r="R29" s="364"/>
      <c r="S29" s="364" t="s">
        <v>1406</v>
      </c>
    </row>
    <row r="30" spans="4:19" x14ac:dyDescent="0.3">
      <c r="D30" t="s">
        <v>1578</v>
      </c>
      <c r="I30" s="369" t="s">
        <v>1192</v>
      </c>
      <c r="M30" t="s">
        <v>1215</v>
      </c>
      <c r="N30" t="s">
        <v>1174</v>
      </c>
      <c r="Q30" s="364"/>
      <c r="R30" s="364" t="s">
        <v>1407</v>
      </c>
      <c r="S30" s="364" t="s">
        <v>1408</v>
      </c>
    </row>
    <row r="31" spans="4:19" x14ac:dyDescent="0.3">
      <c r="D31" t="s">
        <v>1584</v>
      </c>
      <c r="I31" s="369" t="s">
        <v>1189</v>
      </c>
      <c r="M31" t="s">
        <v>1147</v>
      </c>
      <c r="N31" t="s">
        <v>1146</v>
      </c>
      <c r="Q31" s="364"/>
      <c r="R31" s="364"/>
      <c r="S31" s="364" t="s">
        <v>1409</v>
      </c>
    </row>
    <row r="32" spans="4:19" x14ac:dyDescent="0.3">
      <c r="I32" s="369" t="s">
        <v>1174</v>
      </c>
      <c r="M32" t="s">
        <v>1113</v>
      </c>
      <c r="N32" t="s">
        <v>196</v>
      </c>
      <c r="Q32" s="364"/>
      <c r="R32" s="364"/>
      <c r="S32" s="364" t="s">
        <v>1410</v>
      </c>
    </row>
    <row r="33" spans="9:19" x14ac:dyDescent="0.3">
      <c r="I33" s="369" t="s">
        <v>1146</v>
      </c>
      <c r="M33" t="s">
        <v>1216</v>
      </c>
      <c r="N33" t="s">
        <v>1190</v>
      </c>
      <c r="Q33" s="364"/>
      <c r="R33" s="364"/>
      <c r="S33" s="364" t="s">
        <v>1411</v>
      </c>
    </row>
    <row r="34" spans="9:19" x14ac:dyDescent="0.3">
      <c r="I34" s="369" t="s">
        <v>1190</v>
      </c>
      <c r="M34" t="s">
        <v>1217</v>
      </c>
      <c r="N34" t="s">
        <v>1191</v>
      </c>
      <c r="Q34" s="364"/>
      <c r="R34" s="364"/>
      <c r="S34" s="364" t="s">
        <v>1412</v>
      </c>
    </row>
    <row r="35" spans="9:19" x14ac:dyDescent="0.3">
      <c r="I35" s="369" t="s">
        <v>1191</v>
      </c>
      <c r="M35" t="s">
        <v>1201</v>
      </c>
      <c r="N35" t="s">
        <v>1167</v>
      </c>
    </row>
    <row r="36" spans="9:19" x14ac:dyDescent="0.3">
      <c r="I36" s="369" t="s">
        <v>1167</v>
      </c>
      <c r="M36" t="s">
        <v>1218</v>
      </c>
      <c r="N36" t="s">
        <v>1160</v>
      </c>
    </row>
    <row r="37" spans="9:19" x14ac:dyDescent="0.3">
      <c r="I37" s="369" t="s">
        <v>1160</v>
      </c>
      <c r="M37" t="s">
        <v>1120</v>
      </c>
      <c r="N37" t="s">
        <v>151</v>
      </c>
    </row>
    <row r="38" spans="9:19" x14ac:dyDescent="0.3">
      <c r="I38" s="369" t="s">
        <v>1184</v>
      </c>
      <c r="M38" t="s">
        <v>1135</v>
      </c>
      <c r="N38" t="s">
        <v>1131</v>
      </c>
    </row>
    <row r="39" spans="9:19" x14ac:dyDescent="0.3">
      <c r="I39" s="369" t="s">
        <v>1185</v>
      </c>
      <c r="M39" t="s">
        <v>1136</v>
      </c>
      <c r="N39" t="s">
        <v>1658</v>
      </c>
    </row>
    <row r="40" spans="9:19" x14ac:dyDescent="0.3">
      <c r="I40" s="369" t="s">
        <v>1188</v>
      </c>
      <c r="M40" t="s">
        <v>1137</v>
      </c>
      <c r="N40" t="s">
        <v>1133</v>
      </c>
    </row>
    <row r="41" spans="9:19" x14ac:dyDescent="0.3">
      <c r="I41" s="369" t="s">
        <v>1162</v>
      </c>
      <c r="M41" t="s">
        <v>1219</v>
      </c>
      <c r="N41" t="s">
        <v>1572</v>
      </c>
    </row>
    <row r="42" spans="9:19" x14ac:dyDescent="0.3">
      <c r="I42" s="369" t="s">
        <v>1173</v>
      </c>
      <c r="M42" t="s">
        <v>1220</v>
      </c>
      <c r="N42" t="s">
        <v>1166</v>
      </c>
    </row>
    <row r="43" spans="9:19" x14ac:dyDescent="0.3">
      <c r="I43" s="369" t="s">
        <v>1154</v>
      </c>
      <c r="M43" t="s">
        <v>1221</v>
      </c>
      <c r="N43" t="s">
        <v>1184</v>
      </c>
    </row>
    <row r="44" spans="9:19" x14ac:dyDescent="0.3">
      <c r="I44" s="369" t="s">
        <v>1171</v>
      </c>
      <c r="M44" t="s">
        <v>1222</v>
      </c>
      <c r="N44" t="s">
        <v>1185</v>
      </c>
    </row>
    <row r="45" spans="9:19" x14ac:dyDescent="0.3">
      <c r="I45" s="369" t="s">
        <v>153</v>
      </c>
      <c r="M45" t="s">
        <v>1223</v>
      </c>
      <c r="N45" t="s">
        <v>1195</v>
      </c>
    </row>
    <row r="46" spans="9:19" x14ac:dyDescent="0.3">
      <c r="I46" s="369" t="s">
        <v>1175</v>
      </c>
      <c r="M46" t="s">
        <v>1224</v>
      </c>
      <c r="N46" t="s">
        <v>1188</v>
      </c>
    </row>
    <row r="47" spans="9:19" x14ac:dyDescent="0.3">
      <c r="I47" s="369" t="s">
        <v>1148</v>
      </c>
      <c r="M47" t="s">
        <v>1225</v>
      </c>
      <c r="N47" t="s">
        <v>451</v>
      </c>
    </row>
    <row r="48" spans="9:19" x14ac:dyDescent="0.3">
      <c r="I48" s="369" t="s">
        <v>1161</v>
      </c>
      <c r="M48" t="s">
        <v>1226</v>
      </c>
      <c r="N48" t="s">
        <v>1162</v>
      </c>
    </row>
    <row r="49" spans="9:14" x14ac:dyDescent="0.3">
      <c r="I49" s="369" t="s">
        <v>1176</v>
      </c>
      <c r="M49" t="s">
        <v>1227</v>
      </c>
      <c r="N49" t="s">
        <v>1173</v>
      </c>
    </row>
    <row r="50" spans="9:14" x14ac:dyDescent="0.3">
      <c r="I50" s="369" t="s">
        <v>1172</v>
      </c>
      <c r="M50" t="s">
        <v>1139</v>
      </c>
      <c r="N50" t="s">
        <v>1138</v>
      </c>
    </row>
    <row r="51" spans="9:14" x14ac:dyDescent="0.3">
      <c r="I51" s="369" t="s">
        <v>1159</v>
      </c>
      <c r="M51" t="s">
        <v>1228</v>
      </c>
      <c r="N51" t="s">
        <v>1154</v>
      </c>
    </row>
    <row r="52" spans="9:14" x14ac:dyDescent="0.3">
      <c r="I52" s="369" t="s">
        <v>1187</v>
      </c>
      <c r="M52" t="s">
        <v>1229</v>
      </c>
      <c r="N52" t="s">
        <v>1171</v>
      </c>
    </row>
    <row r="53" spans="9:14" x14ac:dyDescent="0.3">
      <c r="I53" s="369" t="s">
        <v>1163</v>
      </c>
      <c r="M53" t="s">
        <v>1121</v>
      </c>
      <c r="N53" t="s">
        <v>153</v>
      </c>
    </row>
    <row r="54" spans="9:14" x14ac:dyDescent="0.3">
      <c r="I54" s="369" t="s">
        <v>1156</v>
      </c>
      <c r="M54" t="s">
        <v>1122</v>
      </c>
      <c r="N54" t="s">
        <v>152</v>
      </c>
    </row>
    <row r="55" spans="9:14" x14ac:dyDescent="0.3">
      <c r="I55" s="369" t="s">
        <v>1155</v>
      </c>
      <c r="M55" t="s">
        <v>1123</v>
      </c>
      <c r="N55" t="s">
        <v>28</v>
      </c>
    </row>
    <row r="56" spans="9:14" x14ac:dyDescent="0.3">
      <c r="I56" s="369" t="s">
        <v>1178</v>
      </c>
      <c r="M56" t="s">
        <v>1151</v>
      </c>
      <c r="N56" t="s">
        <v>1150</v>
      </c>
    </row>
    <row r="57" spans="9:14" x14ac:dyDescent="0.3">
      <c r="I57" s="369" t="s">
        <v>1177</v>
      </c>
      <c r="M57" t="s">
        <v>1124</v>
      </c>
      <c r="N57" t="s">
        <v>159</v>
      </c>
    </row>
    <row r="58" spans="9:14" x14ac:dyDescent="0.3">
      <c r="I58" s="369" t="s">
        <v>1157</v>
      </c>
      <c r="M58" t="s">
        <v>1125</v>
      </c>
      <c r="N58" t="s">
        <v>29</v>
      </c>
    </row>
    <row r="59" spans="9:14" x14ac:dyDescent="0.3">
      <c r="I59" s="369" t="s">
        <v>1179</v>
      </c>
      <c r="M59" t="s">
        <v>1149</v>
      </c>
      <c r="N59" t="s">
        <v>1175</v>
      </c>
    </row>
    <row r="60" spans="9:14" x14ac:dyDescent="0.3">
      <c r="M60" t="s">
        <v>1230</v>
      </c>
      <c r="N60" t="s">
        <v>1148</v>
      </c>
    </row>
    <row r="61" spans="9:14" x14ac:dyDescent="0.3">
      <c r="M61" t="s">
        <v>1231</v>
      </c>
      <c r="N61" t="s">
        <v>1161</v>
      </c>
    </row>
    <row r="62" spans="9:14" x14ac:dyDescent="0.3">
      <c r="M62" t="s">
        <v>1232</v>
      </c>
      <c r="N62" t="s">
        <v>1176</v>
      </c>
    </row>
    <row r="63" spans="9:14" x14ac:dyDescent="0.3">
      <c r="M63" t="s">
        <v>1233</v>
      </c>
      <c r="N63" t="s">
        <v>1172</v>
      </c>
    </row>
    <row r="64" spans="9:14" x14ac:dyDescent="0.3">
      <c r="M64" t="s">
        <v>1234</v>
      </c>
      <c r="N64" t="s">
        <v>1158</v>
      </c>
    </row>
    <row r="65" spans="13:14" x14ac:dyDescent="0.3">
      <c r="M65" t="s">
        <v>1235</v>
      </c>
      <c r="N65" t="s">
        <v>1159</v>
      </c>
    </row>
    <row r="66" spans="13:14" x14ac:dyDescent="0.3">
      <c r="M66" t="s">
        <v>1126</v>
      </c>
      <c r="N66" t="s">
        <v>154</v>
      </c>
    </row>
    <row r="67" spans="13:14" x14ac:dyDescent="0.3">
      <c r="M67" t="s">
        <v>1236</v>
      </c>
      <c r="N67" t="s">
        <v>1187</v>
      </c>
    </row>
    <row r="68" spans="13:14" x14ac:dyDescent="0.3">
      <c r="M68" t="s">
        <v>1237</v>
      </c>
      <c r="N68" t="s">
        <v>1163</v>
      </c>
    </row>
    <row r="69" spans="13:14" x14ac:dyDescent="0.3">
      <c r="M69" t="s">
        <v>1238</v>
      </c>
      <c r="N69" t="s">
        <v>1585</v>
      </c>
    </row>
    <row r="70" spans="13:14" x14ac:dyDescent="0.3">
      <c r="M70" t="s">
        <v>1239</v>
      </c>
      <c r="N70" t="s">
        <v>1155</v>
      </c>
    </row>
    <row r="71" spans="13:14" x14ac:dyDescent="0.3">
      <c r="M71" t="s">
        <v>1127</v>
      </c>
      <c r="N71" t="s">
        <v>194</v>
      </c>
    </row>
    <row r="72" spans="13:14" x14ac:dyDescent="0.3">
      <c r="M72" t="s">
        <v>1240</v>
      </c>
      <c r="N72" t="s">
        <v>1178</v>
      </c>
    </row>
    <row r="73" spans="13:14" x14ac:dyDescent="0.3">
      <c r="M73" t="s">
        <v>1241</v>
      </c>
      <c r="N73" t="s">
        <v>1177</v>
      </c>
    </row>
    <row r="74" spans="13:14" x14ac:dyDescent="0.3">
      <c r="M74" t="s">
        <v>1242</v>
      </c>
      <c r="N74" t="s">
        <v>1157</v>
      </c>
    </row>
    <row r="75" spans="13:14" x14ac:dyDescent="0.3">
      <c r="M75" t="s">
        <v>1243</v>
      </c>
      <c r="N75" t="s">
        <v>1179</v>
      </c>
    </row>
    <row r="76" spans="13:14" x14ac:dyDescent="0.3">
      <c r="M76" t="s">
        <v>1128</v>
      </c>
      <c r="N76" t="s">
        <v>155</v>
      </c>
    </row>
    <row r="77" spans="13:14" x14ac:dyDescent="0.3">
      <c r="M77" t="s">
        <v>1129</v>
      </c>
      <c r="N77" t="s">
        <v>1108</v>
      </c>
    </row>
  </sheetData>
  <phoneticPr fontId="5" type="noConversion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2E115-D33C-4D8F-9FD9-7B7EAD04EBED}">
  <sheetPr codeName="Hoja10"/>
  <dimension ref="A1:AA113"/>
  <sheetViews>
    <sheetView workbookViewId="0">
      <selection activeCell="A3" sqref="A3:XFD3"/>
    </sheetView>
  </sheetViews>
  <sheetFormatPr baseColWidth="10" defaultRowHeight="14.4" x14ac:dyDescent="0.3"/>
  <cols>
    <col min="1" max="1" width="28" customWidth="1"/>
    <col min="2" max="2" width="25.109375" customWidth="1"/>
    <col min="4" max="4" width="36.44140625" customWidth="1"/>
  </cols>
  <sheetData>
    <row r="1" spans="1:27" x14ac:dyDescent="0.3">
      <c r="A1" s="402" t="s">
        <v>469</v>
      </c>
      <c r="B1" s="402" t="s">
        <v>467</v>
      </c>
      <c r="C1" s="402" t="s">
        <v>468</v>
      </c>
      <c r="D1" s="402" t="s">
        <v>460</v>
      </c>
      <c r="E1" s="402" t="s">
        <v>181</v>
      </c>
      <c r="F1" s="402" t="s">
        <v>125</v>
      </c>
      <c r="G1" s="405" t="s">
        <v>180</v>
      </c>
      <c r="H1" s="406"/>
      <c r="I1" s="406"/>
      <c r="J1" s="406"/>
      <c r="K1" s="406"/>
      <c r="L1" s="406"/>
      <c r="M1" s="406"/>
      <c r="N1" s="407"/>
      <c r="O1" s="402" t="s">
        <v>443</v>
      </c>
      <c r="P1" s="402" t="s">
        <v>444</v>
      </c>
      <c r="Q1" s="402" t="s">
        <v>33</v>
      </c>
      <c r="R1" s="402" t="s">
        <v>34</v>
      </c>
      <c r="S1" s="402" t="s">
        <v>35</v>
      </c>
      <c r="T1" s="402" t="s">
        <v>13</v>
      </c>
      <c r="U1" s="402" t="s">
        <v>36</v>
      </c>
      <c r="V1" s="404" t="s">
        <v>464</v>
      </c>
      <c r="W1" s="402" t="s">
        <v>38</v>
      </c>
      <c r="X1" s="402" t="s">
        <v>198</v>
      </c>
      <c r="Y1" s="402" t="s">
        <v>197</v>
      </c>
      <c r="Z1" s="404" t="s">
        <v>465</v>
      </c>
      <c r="AA1" s="402" t="s">
        <v>497</v>
      </c>
    </row>
    <row r="2" spans="1:27" x14ac:dyDescent="0.3">
      <c r="A2" s="403"/>
      <c r="B2" s="403"/>
      <c r="C2" s="403"/>
      <c r="D2" s="403"/>
      <c r="E2" s="403"/>
      <c r="F2" s="403"/>
      <c r="G2" s="54" t="s">
        <v>182</v>
      </c>
      <c r="H2" s="54" t="s">
        <v>21</v>
      </c>
      <c r="I2" s="54" t="s">
        <v>183</v>
      </c>
      <c r="J2" s="54" t="s">
        <v>21</v>
      </c>
      <c r="K2" s="54" t="s">
        <v>184</v>
      </c>
      <c r="L2" s="54" t="s">
        <v>21</v>
      </c>
      <c r="M2" s="54" t="s">
        <v>185</v>
      </c>
      <c r="N2" s="54" t="s">
        <v>21</v>
      </c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403"/>
      <c r="AA2" s="403"/>
    </row>
    <row r="3" spans="1:27" s="58" customFormat="1" x14ac:dyDescent="0.3">
      <c r="A3" s="59" t="s">
        <v>1416</v>
      </c>
      <c r="B3" s="59">
        <v>0</v>
      </c>
      <c r="C3" s="59">
        <v>0</v>
      </c>
      <c r="D3" s="59" t="s">
        <v>1923</v>
      </c>
      <c r="E3" s="59">
        <v>0.9</v>
      </c>
      <c r="F3" s="59">
        <v>1</v>
      </c>
      <c r="G3" s="60">
        <v>4.96</v>
      </c>
      <c r="H3" s="60" t="s">
        <v>137</v>
      </c>
      <c r="I3" s="60">
        <v>0</v>
      </c>
      <c r="J3" s="60">
        <v>0</v>
      </c>
      <c r="K3" s="60">
        <v>0</v>
      </c>
      <c r="L3" s="60">
        <v>0</v>
      </c>
      <c r="M3" s="60">
        <v>0</v>
      </c>
      <c r="N3" s="60">
        <v>0</v>
      </c>
      <c r="O3" s="59">
        <v>4.96</v>
      </c>
      <c r="P3" s="59">
        <v>4.96</v>
      </c>
      <c r="Q3" s="61">
        <v>297.60000000000002</v>
      </c>
      <c r="R3" s="61">
        <v>103.03200000000001</v>
      </c>
      <c r="S3" s="61">
        <v>610.20000000000005</v>
      </c>
      <c r="T3" s="61">
        <v>0</v>
      </c>
      <c r="U3" s="61">
        <v>0</v>
      </c>
      <c r="V3" s="61">
        <v>1010.8320000000001</v>
      </c>
      <c r="W3" s="61">
        <v>2830.3296</v>
      </c>
      <c r="X3" s="61">
        <v>566.06592000000001</v>
      </c>
      <c r="Y3" s="61">
        <v>2264.26368</v>
      </c>
      <c r="Z3" s="61">
        <v>2830.3296</v>
      </c>
      <c r="AA3" s="59">
        <v>2264.26368</v>
      </c>
    </row>
    <row r="4" spans="1:27" s="58" customFormat="1" x14ac:dyDescent="0.3">
      <c r="A4" s="59" t="s">
        <v>1416</v>
      </c>
      <c r="B4" s="59">
        <v>0</v>
      </c>
      <c r="C4" s="59">
        <v>0</v>
      </c>
      <c r="D4" s="59" t="s">
        <v>1923</v>
      </c>
      <c r="E4" s="59">
        <v>0.82499999999999996</v>
      </c>
      <c r="F4" s="59">
        <v>2</v>
      </c>
      <c r="G4" s="60">
        <v>2.4950000000000001</v>
      </c>
      <c r="H4" s="60" t="s">
        <v>28</v>
      </c>
      <c r="I4" s="60">
        <v>2.54</v>
      </c>
      <c r="J4" s="60" t="s">
        <v>137</v>
      </c>
      <c r="K4" s="60">
        <v>0</v>
      </c>
      <c r="L4" s="60">
        <v>0</v>
      </c>
      <c r="M4" s="60">
        <v>0</v>
      </c>
      <c r="N4" s="60">
        <v>0</v>
      </c>
      <c r="O4" s="59">
        <v>5.0350000000000001</v>
      </c>
      <c r="P4" s="59">
        <v>10.07</v>
      </c>
      <c r="Q4" s="61">
        <v>309.52512000000002</v>
      </c>
      <c r="R4" s="61">
        <v>94.445999999999998</v>
      </c>
      <c r="S4" s="61">
        <v>559.35</v>
      </c>
      <c r="T4" s="61">
        <v>0</v>
      </c>
      <c r="U4" s="61">
        <v>0</v>
      </c>
      <c r="V4" s="61">
        <v>963.32112000000006</v>
      </c>
      <c r="W4" s="61">
        <v>2697.2991360000001</v>
      </c>
      <c r="X4" s="61">
        <v>539.45982720000006</v>
      </c>
      <c r="Y4" s="61">
        <v>2157.8393088000003</v>
      </c>
      <c r="Z4" s="61">
        <v>5394.5982720000002</v>
      </c>
      <c r="AA4" s="59">
        <v>4315.6786176000005</v>
      </c>
    </row>
    <row r="5" spans="1:27" s="58" customFormat="1" x14ac:dyDescent="0.3">
      <c r="A5" s="59" t="s">
        <v>1416</v>
      </c>
      <c r="B5" s="59">
        <v>0</v>
      </c>
      <c r="C5" s="59">
        <v>0</v>
      </c>
      <c r="D5" s="59" t="s">
        <v>1923</v>
      </c>
      <c r="E5" s="59">
        <v>0.82499999999999996</v>
      </c>
      <c r="F5" s="59">
        <v>2</v>
      </c>
      <c r="G5" s="60">
        <v>2.4950000000000001</v>
      </c>
      <c r="H5" s="60" t="s">
        <v>28</v>
      </c>
      <c r="I5" s="60">
        <v>2.54</v>
      </c>
      <c r="J5" s="60" t="s">
        <v>137</v>
      </c>
      <c r="K5" s="60">
        <v>0</v>
      </c>
      <c r="L5" s="60">
        <v>0</v>
      </c>
      <c r="M5" s="60">
        <v>0</v>
      </c>
      <c r="N5" s="60">
        <v>0</v>
      </c>
      <c r="O5" s="59">
        <v>5.0350000000000001</v>
      </c>
      <c r="P5" s="59">
        <v>10.07</v>
      </c>
      <c r="Q5" s="61">
        <v>309.52512000000002</v>
      </c>
      <c r="R5" s="61">
        <v>94.445999999999998</v>
      </c>
      <c r="S5" s="61">
        <v>559.35</v>
      </c>
      <c r="T5" s="61">
        <v>0</v>
      </c>
      <c r="U5" s="61">
        <v>0</v>
      </c>
      <c r="V5" s="61">
        <v>963.32112000000006</v>
      </c>
      <c r="W5" s="61">
        <v>2697.2991360000001</v>
      </c>
      <c r="X5" s="61">
        <v>539.45982720000006</v>
      </c>
      <c r="Y5" s="61">
        <v>2157.8393088000003</v>
      </c>
      <c r="Z5" s="61">
        <v>5394.5982720000002</v>
      </c>
      <c r="AA5" s="59">
        <v>4315.6786176000005</v>
      </c>
    </row>
    <row r="6" spans="1:27" s="58" customFormat="1" x14ac:dyDescent="0.3">
      <c r="A6" s="59" t="s">
        <v>1416</v>
      </c>
      <c r="B6" s="59">
        <v>0</v>
      </c>
      <c r="C6" s="59">
        <v>0</v>
      </c>
      <c r="D6" s="59" t="s">
        <v>1923</v>
      </c>
      <c r="E6" s="59">
        <v>0.82499999999999996</v>
      </c>
      <c r="F6" s="59">
        <v>2</v>
      </c>
      <c r="G6" s="60">
        <v>2.4950000000000001</v>
      </c>
      <c r="H6" s="60" t="s">
        <v>28</v>
      </c>
      <c r="I6" s="60">
        <v>2.54</v>
      </c>
      <c r="J6" s="60" t="s">
        <v>137</v>
      </c>
      <c r="K6" s="60">
        <v>0</v>
      </c>
      <c r="L6" s="60">
        <v>0</v>
      </c>
      <c r="M6" s="60">
        <v>0</v>
      </c>
      <c r="N6" s="60">
        <v>0</v>
      </c>
      <c r="O6" s="59">
        <v>5.0350000000000001</v>
      </c>
      <c r="P6" s="59">
        <v>10.07</v>
      </c>
      <c r="Q6" s="61">
        <v>309.52512000000002</v>
      </c>
      <c r="R6" s="61">
        <v>94.445999999999998</v>
      </c>
      <c r="S6" s="61">
        <v>559.35</v>
      </c>
      <c r="T6" s="61">
        <v>0</v>
      </c>
      <c r="U6" s="61">
        <v>0</v>
      </c>
      <c r="V6" s="61">
        <v>963.32112000000006</v>
      </c>
      <c r="W6" s="61">
        <v>2697.2991360000001</v>
      </c>
      <c r="X6" s="61">
        <v>539.45982720000006</v>
      </c>
      <c r="Y6" s="61">
        <v>2157.8393088000003</v>
      </c>
      <c r="Z6" s="61">
        <v>5394.5982720000002</v>
      </c>
      <c r="AA6" s="59">
        <v>4315.6786176000005</v>
      </c>
    </row>
    <row r="7" spans="1:27" s="58" customFormat="1" x14ac:dyDescent="0.3">
      <c r="A7" s="59" t="s">
        <v>1286</v>
      </c>
      <c r="B7" s="59">
        <v>0</v>
      </c>
      <c r="C7" s="59">
        <v>0</v>
      </c>
      <c r="D7" s="59" t="s">
        <v>1925</v>
      </c>
      <c r="E7" s="59">
        <v>0.28055555555555556</v>
      </c>
      <c r="F7" s="59">
        <v>24</v>
      </c>
      <c r="G7" s="60">
        <v>3.5574999999999997</v>
      </c>
      <c r="H7" s="60" t="s">
        <v>137</v>
      </c>
      <c r="I7" s="60">
        <v>0.36208333333333331</v>
      </c>
      <c r="J7" s="60" t="s">
        <v>28</v>
      </c>
      <c r="K7" s="60">
        <v>9.1249999999999998E-2</v>
      </c>
      <c r="L7" s="60" t="s">
        <v>27</v>
      </c>
      <c r="M7" s="60">
        <v>0.19041666666666668</v>
      </c>
      <c r="N7" s="60" t="s">
        <v>29</v>
      </c>
      <c r="O7" s="59">
        <v>4.201249999999999</v>
      </c>
      <c r="P7" s="59">
        <v>100.82999999999998</v>
      </c>
      <c r="Q7" s="61">
        <v>254.39925007936506</v>
      </c>
      <c r="R7" s="61">
        <v>32.118000000000002</v>
      </c>
      <c r="S7" s="61">
        <v>190.21666666666667</v>
      </c>
      <c r="T7" s="61">
        <v>0</v>
      </c>
      <c r="U7" s="61">
        <v>0</v>
      </c>
      <c r="V7" s="61">
        <v>476.7339167460317</v>
      </c>
      <c r="W7" s="61">
        <v>1334.8549668888886</v>
      </c>
      <c r="X7" s="61">
        <v>266.97099337777775</v>
      </c>
      <c r="Y7" s="61">
        <v>1067.883973511111</v>
      </c>
      <c r="Z7" s="61">
        <v>32036.519205333327</v>
      </c>
      <c r="AA7" s="59">
        <v>25629.215364266664</v>
      </c>
    </row>
    <row r="8" spans="1:27" s="58" customFormat="1" x14ac:dyDescent="0.3">
      <c r="A8" s="59" t="s">
        <v>1416</v>
      </c>
      <c r="B8" s="59">
        <v>0</v>
      </c>
      <c r="C8" s="59">
        <v>0</v>
      </c>
      <c r="D8" s="59" t="s">
        <v>1923</v>
      </c>
      <c r="E8" s="59">
        <v>0.8666666666666667</v>
      </c>
      <c r="F8" s="59">
        <v>1</v>
      </c>
      <c r="G8" s="60">
        <v>4.96</v>
      </c>
      <c r="H8" s="60" t="s">
        <v>27</v>
      </c>
      <c r="I8" s="60">
        <v>0</v>
      </c>
      <c r="J8" s="60">
        <v>0</v>
      </c>
      <c r="K8" s="60">
        <v>0</v>
      </c>
      <c r="L8" s="60">
        <v>0</v>
      </c>
      <c r="M8" s="60">
        <v>0</v>
      </c>
      <c r="N8" s="60">
        <v>0</v>
      </c>
      <c r="O8" s="59">
        <v>4.96</v>
      </c>
      <c r="P8" s="59">
        <v>4.96</v>
      </c>
      <c r="Q8" s="61">
        <v>300.43428571428569</v>
      </c>
      <c r="R8" s="61">
        <v>99.216000000000008</v>
      </c>
      <c r="S8" s="61">
        <v>587.6</v>
      </c>
      <c r="T8" s="61">
        <v>0</v>
      </c>
      <c r="U8" s="61">
        <v>0</v>
      </c>
      <c r="V8" s="61">
        <v>987.25028571428572</v>
      </c>
      <c r="W8" s="61">
        <v>2764.3008</v>
      </c>
      <c r="X8" s="61">
        <v>552.86016000000006</v>
      </c>
      <c r="Y8" s="61">
        <v>2211.4406399999998</v>
      </c>
      <c r="Z8" s="61">
        <v>2764.3008</v>
      </c>
      <c r="AA8" s="59">
        <v>2211.4406399999998</v>
      </c>
    </row>
    <row r="9" spans="1:27" s="58" customFormat="1" ht="28.8" x14ac:dyDescent="0.3">
      <c r="A9" s="59" t="s">
        <v>1286</v>
      </c>
      <c r="B9" s="59">
        <v>0</v>
      </c>
      <c r="C9" s="59">
        <v>0</v>
      </c>
      <c r="D9" s="59" t="s">
        <v>1914</v>
      </c>
      <c r="E9" s="59">
        <v>15.016666666666667</v>
      </c>
      <c r="F9" s="59">
        <v>1</v>
      </c>
      <c r="G9" s="60">
        <v>136.44</v>
      </c>
      <c r="H9" s="60" t="s">
        <v>155</v>
      </c>
      <c r="I9" s="60">
        <v>25.73</v>
      </c>
      <c r="J9" s="60" t="s">
        <v>27</v>
      </c>
      <c r="K9" s="60">
        <v>0</v>
      </c>
      <c r="L9" s="60">
        <v>0</v>
      </c>
      <c r="M9" s="60">
        <v>0</v>
      </c>
      <c r="N9" s="60">
        <v>0</v>
      </c>
      <c r="O9" s="59">
        <v>162.16999999999999</v>
      </c>
      <c r="P9" s="59">
        <v>162.16999999999999</v>
      </c>
      <c r="Q9" s="61">
        <v>10427.102857142858</v>
      </c>
      <c r="R9" s="61">
        <v>1719.1080000000002</v>
      </c>
      <c r="S9" s="61">
        <v>10181.300000000001</v>
      </c>
      <c r="T9" s="61">
        <v>0</v>
      </c>
      <c r="U9" s="61">
        <v>0</v>
      </c>
      <c r="V9" s="61">
        <v>22327.510857142857</v>
      </c>
      <c r="W9" s="61">
        <v>62517.030399999996</v>
      </c>
      <c r="X9" s="61">
        <v>12503.406080000001</v>
      </c>
      <c r="Y9" s="61">
        <v>50013.624319999995</v>
      </c>
      <c r="Z9" s="61">
        <v>62517.030399999996</v>
      </c>
      <c r="AA9" s="59">
        <v>50013.624319999995</v>
      </c>
    </row>
    <row r="10" spans="1:27" s="58" customFormat="1" ht="28.8" x14ac:dyDescent="0.3">
      <c r="A10" s="59" t="s">
        <v>1878</v>
      </c>
      <c r="B10" s="59">
        <v>0</v>
      </c>
      <c r="C10" s="59">
        <v>0</v>
      </c>
      <c r="D10" s="59" t="s">
        <v>1749</v>
      </c>
      <c r="E10" s="59">
        <v>1.5916666666666666</v>
      </c>
      <c r="F10" s="59">
        <v>2</v>
      </c>
      <c r="G10" s="60">
        <v>43.79</v>
      </c>
      <c r="H10" s="60" t="s">
        <v>156</v>
      </c>
      <c r="I10" s="60">
        <v>0</v>
      </c>
      <c r="J10" s="60">
        <v>0</v>
      </c>
      <c r="K10" s="60">
        <v>0</v>
      </c>
      <c r="L10" s="60">
        <v>0</v>
      </c>
      <c r="M10" s="60">
        <v>0</v>
      </c>
      <c r="N10" s="60">
        <v>0</v>
      </c>
      <c r="O10" s="59">
        <v>43.79</v>
      </c>
      <c r="P10" s="59">
        <v>87.58</v>
      </c>
      <c r="Q10" s="61">
        <v>2846.35</v>
      </c>
      <c r="R10" s="61">
        <v>182.214</v>
      </c>
      <c r="S10" s="61">
        <v>1079.1499999999999</v>
      </c>
      <c r="T10" s="61">
        <v>0</v>
      </c>
      <c r="U10" s="61">
        <v>0</v>
      </c>
      <c r="V10" s="61">
        <v>4107.7139999999999</v>
      </c>
      <c r="W10" s="61">
        <v>11501.599199999999</v>
      </c>
      <c r="X10" s="61">
        <v>2300.3198399999997</v>
      </c>
      <c r="Y10" s="61">
        <v>9201.2793599999986</v>
      </c>
      <c r="Z10" s="61">
        <v>23003.198399999997</v>
      </c>
      <c r="AA10" s="59">
        <v>18402.558719999997</v>
      </c>
    </row>
    <row r="11" spans="1:27" s="58" customFormat="1" x14ac:dyDescent="0.3">
      <c r="A11" s="59" t="s">
        <v>1286</v>
      </c>
      <c r="B11" s="59">
        <v>0</v>
      </c>
      <c r="C11" s="59">
        <v>0</v>
      </c>
      <c r="D11" s="59" t="s">
        <v>1852</v>
      </c>
      <c r="E11" s="59">
        <v>0.24444444444444444</v>
      </c>
      <c r="F11" s="59">
        <v>15</v>
      </c>
      <c r="G11" s="60">
        <v>3.6746666666666665</v>
      </c>
      <c r="H11" s="60" t="s">
        <v>27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  <c r="O11" s="59">
        <v>3.6746666666666665</v>
      </c>
      <c r="P11" s="59">
        <v>55.12</v>
      </c>
      <c r="Q11" s="61">
        <v>222.5798095238095</v>
      </c>
      <c r="R11" s="61">
        <v>27.984000000000002</v>
      </c>
      <c r="S11" s="61">
        <v>165.73333333333332</v>
      </c>
      <c r="T11" s="61">
        <v>0</v>
      </c>
      <c r="U11" s="61">
        <v>0</v>
      </c>
      <c r="V11" s="61">
        <v>416.29714285714283</v>
      </c>
      <c r="W11" s="61">
        <v>1165.6319999999998</v>
      </c>
      <c r="X11" s="61">
        <v>233.12639999999999</v>
      </c>
      <c r="Y11" s="61">
        <v>932.50559999999984</v>
      </c>
      <c r="Z11" s="61">
        <v>17484.479999999996</v>
      </c>
      <c r="AA11" s="59">
        <v>13987.583999999997</v>
      </c>
    </row>
    <row r="12" spans="1:27" s="58" customFormat="1" x14ac:dyDescent="0.3">
      <c r="A12" s="59" t="s">
        <v>1286</v>
      </c>
      <c r="B12" s="59">
        <v>0</v>
      </c>
      <c r="C12" s="59">
        <v>0</v>
      </c>
      <c r="D12" s="59" t="s">
        <v>1843</v>
      </c>
      <c r="E12" s="59">
        <v>0.24666666666666667</v>
      </c>
      <c r="F12" s="59">
        <v>15</v>
      </c>
      <c r="G12" s="60">
        <v>3.8006666666666664</v>
      </c>
      <c r="H12" s="60" t="s">
        <v>151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59">
        <v>3.8006666666666664</v>
      </c>
      <c r="P12" s="59">
        <v>57.01</v>
      </c>
      <c r="Q12" s="61">
        <v>247.04333333333332</v>
      </c>
      <c r="R12" s="61">
        <v>28.238400000000002</v>
      </c>
      <c r="S12" s="61">
        <v>167.24</v>
      </c>
      <c r="T12" s="61">
        <v>0</v>
      </c>
      <c r="U12" s="61">
        <v>0</v>
      </c>
      <c r="V12" s="61">
        <v>442.52173333333332</v>
      </c>
      <c r="W12" s="61">
        <v>1239.0608533333332</v>
      </c>
      <c r="X12" s="61">
        <v>247.81217066666665</v>
      </c>
      <c r="Y12" s="61">
        <v>991.24868266666658</v>
      </c>
      <c r="Z12" s="61">
        <v>18585.912799999998</v>
      </c>
      <c r="AA12" s="59">
        <v>14868.730239999999</v>
      </c>
    </row>
    <row r="13" spans="1:27" s="58" customFormat="1" x14ac:dyDescent="0.3">
      <c r="A13" s="59" t="s">
        <v>1286</v>
      </c>
      <c r="B13" s="59">
        <v>0</v>
      </c>
      <c r="C13" s="59">
        <v>0</v>
      </c>
      <c r="D13" s="59" t="s">
        <v>1834</v>
      </c>
      <c r="E13" s="59">
        <v>0.14800000000000002</v>
      </c>
      <c r="F13" s="59">
        <v>25</v>
      </c>
      <c r="G13" s="60">
        <v>3.7327999999999997</v>
      </c>
      <c r="H13" s="60" t="s">
        <v>29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  <c r="O13" s="59">
        <v>3.7327999999999997</v>
      </c>
      <c r="P13" s="59">
        <v>93.32</v>
      </c>
      <c r="Q13" s="61">
        <v>247.38509866666666</v>
      </c>
      <c r="R13" s="61">
        <v>16.943040000000003</v>
      </c>
      <c r="S13" s="61">
        <v>100.34400000000001</v>
      </c>
      <c r="T13" s="61">
        <v>0</v>
      </c>
      <c r="U13" s="61">
        <v>0</v>
      </c>
      <c r="V13" s="61">
        <v>364.67213866666668</v>
      </c>
      <c r="W13" s="61">
        <v>1021.0819882666666</v>
      </c>
      <c r="X13" s="61">
        <v>204.21639765333333</v>
      </c>
      <c r="Y13" s="61">
        <v>816.86559061333332</v>
      </c>
      <c r="Z13" s="61">
        <v>25527.049706666665</v>
      </c>
      <c r="AA13" s="59">
        <v>20421.639765333333</v>
      </c>
    </row>
    <row r="14" spans="1:27" s="58" customFormat="1" x14ac:dyDescent="0.3">
      <c r="A14" s="59" t="s">
        <v>1286</v>
      </c>
      <c r="B14" s="59">
        <v>0</v>
      </c>
      <c r="C14" s="59">
        <v>0</v>
      </c>
      <c r="D14" s="59" t="s">
        <v>1825</v>
      </c>
      <c r="E14" s="59">
        <v>0.17111111111111113</v>
      </c>
      <c r="F14" s="59">
        <v>15</v>
      </c>
      <c r="G14" s="60">
        <v>1.52</v>
      </c>
      <c r="H14" s="60" t="s">
        <v>155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59">
        <v>1.52</v>
      </c>
      <c r="P14" s="59">
        <v>22.8</v>
      </c>
      <c r="Q14" s="61">
        <v>98.8</v>
      </c>
      <c r="R14" s="61">
        <v>19.588800000000003</v>
      </c>
      <c r="S14" s="61">
        <v>116.01333333333335</v>
      </c>
      <c r="T14" s="61">
        <v>0</v>
      </c>
      <c r="U14" s="61">
        <v>0</v>
      </c>
      <c r="V14" s="61">
        <v>234.40213333333335</v>
      </c>
      <c r="W14" s="61">
        <v>656.32597333333331</v>
      </c>
      <c r="X14" s="61">
        <v>131.26519466666667</v>
      </c>
      <c r="Y14" s="61">
        <v>525.06077866666669</v>
      </c>
      <c r="Z14" s="61">
        <v>9844.8896000000004</v>
      </c>
      <c r="AA14" s="59">
        <v>7875.9116800000002</v>
      </c>
    </row>
    <row r="15" spans="1:27" s="58" customFormat="1" x14ac:dyDescent="0.3">
      <c r="A15" s="59" t="s">
        <v>1286</v>
      </c>
      <c r="B15" s="59">
        <v>0</v>
      </c>
      <c r="C15" s="59">
        <v>0</v>
      </c>
      <c r="D15" s="59" t="s">
        <v>255</v>
      </c>
      <c r="E15" s="59">
        <v>0.42777777777777781</v>
      </c>
      <c r="F15" s="59">
        <v>3</v>
      </c>
      <c r="G15" s="60">
        <v>0.98</v>
      </c>
      <c r="H15" s="60" t="s">
        <v>29</v>
      </c>
      <c r="I15" s="60">
        <v>2.35</v>
      </c>
      <c r="J15" s="60" t="s">
        <v>155</v>
      </c>
      <c r="K15" s="60">
        <v>0</v>
      </c>
      <c r="L15" s="60">
        <v>0</v>
      </c>
      <c r="M15" s="60">
        <v>0</v>
      </c>
      <c r="N15" s="60">
        <v>0</v>
      </c>
      <c r="O15" s="59">
        <v>3.33</v>
      </c>
      <c r="P15" s="59">
        <v>9.99</v>
      </c>
      <c r="Q15" s="61">
        <v>217.69786666666667</v>
      </c>
      <c r="R15" s="61">
        <v>48.972000000000008</v>
      </c>
      <c r="S15" s="61">
        <v>290.03333333333336</v>
      </c>
      <c r="T15" s="61">
        <v>0</v>
      </c>
      <c r="U15" s="61">
        <v>0</v>
      </c>
      <c r="V15" s="61">
        <v>556.70320000000004</v>
      </c>
      <c r="W15" s="61">
        <v>1558.7689600000001</v>
      </c>
      <c r="X15" s="61">
        <v>311.75379200000003</v>
      </c>
      <c r="Y15" s="61">
        <v>1247.0151680000001</v>
      </c>
      <c r="Z15" s="61">
        <v>4676.3068800000001</v>
      </c>
      <c r="AA15" s="59">
        <v>3741.0455040000006</v>
      </c>
    </row>
    <row r="16" spans="1:27" s="58" customFormat="1" x14ac:dyDescent="0.3">
      <c r="A16" s="59" t="s">
        <v>1286</v>
      </c>
      <c r="B16" s="59">
        <v>0</v>
      </c>
      <c r="C16" s="59">
        <v>0</v>
      </c>
      <c r="D16" s="59" t="s">
        <v>255</v>
      </c>
      <c r="E16" s="59">
        <v>0</v>
      </c>
      <c r="F16" s="59">
        <v>2</v>
      </c>
      <c r="G16" s="60">
        <v>0.98</v>
      </c>
      <c r="H16" s="60" t="s">
        <v>29</v>
      </c>
      <c r="I16" s="60">
        <v>2.35</v>
      </c>
      <c r="J16" s="60" t="s">
        <v>155</v>
      </c>
      <c r="K16" s="60">
        <v>0</v>
      </c>
      <c r="L16" s="60">
        <v>0</v>
      </c>
      <c r="M16" s="60">
        <v>0</v>
      </c>
      <c r="N16" s="60">
        <v>0</v>
      </c>
      <c r="O16" s="59">
        <v>3.33</v>
      </c>
      <c r="P16" s="59">
        <v>6.66</v>
      </c>
      <c r="Q16" s="61">
        <v>217.69786666666667</v>
      </c>
      <c r="R16" s="61">
        <v>0</v>
      </c>
      <c r="S16" s="61">
        <v>0</v>
      </c>
      <c r="T16" s="61">
        <v>0</v>
      </c>
      <c r="U16" s="61">
        <v>0</v>
      </c>
      <c r="V16" s="61">
        <v>217.69786666666667</v>
      </c>
      <c r="W16" s="61">
        <v>609.55402666666669</v>
      </c>
      <c r="X16" s="61">
        <v>121.91080533333334</v>
      </c>
      <c r="Y16" s="61">
        <v>487.64322133333337</v>
      </c>
      <c r="Z16" s="61">
        <v>1219.1080533333334</v>
      </c>
      <c r="AA16" s="59">
        <v>975.28644266666674</v>
      </c>
    </row>
    <row r="17" spans="1:27" s="58" customFormat="1" x14ac:dyDescent="0.3">
      <c r="A17" s="59" t="s">
        <v>1821</v>
      </c>
      <c r="B17" s="59">
        <v>0</v>
      </c>
      <c r="C17" s="59">
        <v>0</v>
      </c>
      <c r="D17" s="59" t="s">
        <v>255</v>
      </c>
      <c r="E17" s="59">
        <v>0.3888888888888889</v>
      </c>
      <c r="F17" s="59">
        <v>6</v>
      </c>
      <c r="G17" s="60">
        <v>0.95500000000000007</v>
      </c>
      <c r="H17" s="60" t="s">
        <v>29</v>
      </c>
      <c r="I17" s="60">
        <v>2.2983333333333333</v>
      </c>
      <c r="J17" s="60" t="s">
        <v>155</v>
      </c>
      <c r="K17" s="60">
        <v>0</v>
      </c>
      <c r="L17" s="60">
        <v>0</v>
      </c>
      <c r="M17" s="60">
        <v>0</v>
      </c>
      <c r="N17" s="60">
        <v>0</v>
      </c>
      <c r="O17" s="59">
        <v>3.2533333333333334</v>
      </c>
      <c r="P17" s="59">
        <v>19.52</v>
      </c>
      <c r="Q17" s="61">
        <v>212.68270000000001</v>
      </c>
      <c r="R17" s="61">
        <v>44.52</v>
      </c>
      <c r="S17" s="61">
        <v>263.66666666666669</v>
      </c>
      <c r="T17" s="61">
        <v>0</v>
      </c>
      <c r="U17" s="61">
        <v>0</v>
      </c>
      <c r="V17" s="61">
        <v>520.86936666666668</v>
      </c>
      <c r="W17" s="61">
        <v>1458.4342266666665</v>
      </c>
      <c r="X17" s="61">
        <v>291.68684533333334</v>
      </c>
      <c r="Y17" s="61">
        <v>1166.7473813333331</v>
      </c>
      <c r="Z17" s="61">
        <v>8750.6053599999996</v>
      </c>
      <c r="AA17" s="59">
        <v>7000.4842879999987</v>
      </c>
    </row>
    <row r="18" spans="1:27" s="58" customFormat="1" x14ac:dyDescent="0.3">
      <c r="A18" s="59" t="s">
        <v>1286</v>
      </c>
      <c r="B18" s="59">
        <v>0</v>
      </c>
      <c r="C18" s="59">
        <v>0</v>
      </c>
      <c r="D18" s="59" t="s">
        <v>255</v>
      </c>
      <c r="E18" s="59">
        <v>0.42777777777777781</v>
      </c>
      <c r="F18" s="59">
        <v>3</v>
      </c>
      <c r="G18" s="60">
        <v>0.98</v>
      </c>
      <c r="H18" s="60" t="s">
        <v>29</v>
      </c>
      <c r="I18" s="60">
        <v>2.35</v>
      </c>
      <c r="J18" s="60" t="s">
        <v>155</v>
      </c>
      <c r="K18" s="60">
        <v>0</v>
      </c>
      <c r="L18" s="60">
        <v>0</v>
      </c>
      <c r="M18" s="60">
        <v>0</v>
      </c>
      <c r="N18" s="60">
        <v>0</v>
      </c>
      <c r="O18" s="59">
        <v>3.33</v>
      </c>
      <c r="P18" s="59">
        <v>9.99</v>
      </c>
      <c r="Q18" s="61">
        <v>217.69786666666667</v>
      </c>
      <c r="R18" s="61">
        <v>48.972000000000008</v>
      </c>
      <c r="S18" s="61">
        <v>290.03333333333336</v>
      </c>
      <c r="T18" s="61">
        <v>0</v>
      </c>
      <c r="U18" s="61">
        <v>0</v>
      </c>
      <c r="V18" s="61">
        <v>556.70320000000004</v>
      </c>
      <c r="W18" s="61">
        <v>1558.7689600000001</v>
      </c>
      <c r="X18" s="61">
        <v>311.75379200000003</v>
      </c>
      <c r="Y18" s="61">
        <v>1247.0151680000001</v>
      </c>
      <c r="Z18" s="61">
        <v>4676.3068800000001</v>
      </c>
      <c r="AA18" s="59">
        <v>3741.0455040000006</v>
      </c>
    </row>
    <row r="19" spans="1:27" s="58" customFormat="1" x14ac:dyDescent="0.3">
      <c r="A19" s="59" t="s">
        <v>1286</v>
      </c>
      <c r="B19" s="59">
        <v>0</v>
      </c>
      <c r="C19" s="59">
        <v>0</v>
      </c>
      <c r="D19" s="59" t="s">
        <v>1801</v>
      </c>
      <c r="E19" s="59">
        <v>0.26133333333333331</v>
      </c>
      <c r="F19" s="59">
        <v>25</v>
      </c>
      <c r="G19" s="60">
        <v>1.4112</v>
      </c>
      <c r="H19" s="60" t="s">
        <v>27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59">
        <v>1.4112</v>
      </c>
      <c r="P19" s="59">
        <v>35.28</v>
      </c>
      <c r="Q19" s="61">
        <v>85.478399999999993</v>
      </c>
      <c r="R19" s="61">
        <v>29.917439999999999</v>
      </c>
      <c r="S19" s="61">
        <v>177.18399999999997</v>
      </c>
      <c r="T19" s="61">
        <v>0</v>
      </c>
      <c r="U19" s="61">
        <v>0</v>
      </c>
      <c r="V19" s="61">
        <v>292.57983999999999</v>
      </c>
      <c r="W19" s="61">
        <v>819.22355199999993</v>
      </c>
      <c r="X19" s="61">
        <v>163.8447104</v>
      </c>
      <c r="Y19" s="61">
        <v>655.37884159999999</v>
      </c>
      <c r="Z19" s="61">
        <v>20480.588799999998</v>
      </c>
      <c r="AA19" s="59">
        <v>16384.47104</v>
      </c>
    </row>
    <row r="20" spans="1:27" s="58" customFormat="1" x14ac:dyDescent="0.3">
      <c r="A20" s="59" t="s">
        <v>1286</v>
      </c>
      <c r="B20" s="59">
        <v>0</v>
      </c>
      <c r="C20" s="59">
        <v>0</v>
      </c>
      <c r="D20" s="59" t="s">
        <v>1736</v>
      </c>
      <c r="E20" s="59">
        <v>0.39285714285714285</v>
      </c>
      <c r="F20" s="59">
        <v>7</v>
      </c>
      <c r="G20" s="60">
        <v>0.2742857142857143</v>
      </c>
      <c r="H20" s="60" t="s">
        <v>155</v>
      </c>
      <c r="I20" s="60">
        <v>3.8285714285714287</v>
      </c>
      <c r="J20" s="60" t="s">
        <v>1532</v>
      </c>
      <c r="K20" s="60">
        <v>0</v>
      </c>
      <c r="L20" s="60">
        <v>0</v>
      </c>
      <c r="M20" s="60">
        <v>0</v>
      </c>
      <c r="N20" s="60">
        <v>0</v>
      </c>
      <c r="O20" s="59">
        <v>4.1028571428571432</v>
      </c>
      <c r="P20" s="59">
        <v>28.720000000000002</v>
      </c>
      <c r="Q20" s="61">
        <v>17.828571428571429</v>
      </c>
      <c r="R20" s="61">
        <v>44.974285714285713</v>
      </c>
      <c r="S20" s="61">
        <v>266.35714285714283</v>
      </c>
      <c r="T20" s="61">
        <v>0</v>
      </c>
      <c r="U20" s="61">
        <v>0</v>
      </c>
      <c r="V20" s="61">
        <v>329.15999999999997</v>
      </c>
      <c r="W20" s="61">
        <v>921.6479999999998</v>
      </c>
      <c r="X20" s="61">
        <v>184.32959999999997</v>
      </c>
      <c r="Y20" s="61">
        <v>737.31839999999988</v>
      </c>
      <c r="Z20" s="61">
        <v>6451.5359999999982</v>
      </c>
      <c r="AA20" s="59">
        <v>5161.228799999999</v>
      </c>
    </row>
    <row r="21" spans="1:27" s="58" customFormat="1" x14ac:dyDescent="0.3">
      <c r="A21" s="59" t="s">
        <v>1286</v>
      </c>
      <c r="B21" s="59">
        <v>0</v>
      </c>
      <c r="C21" s="59">
        <v>0</v>
      </c>
      <c r="D21" s="59" t="s">
        <v>1792</v>
      </c>
      <c r="E21" s="59">
        <v>0.39444444444444443</v>
      </c>
      <c r="F21" s="59">
        <v>3</v>
      </c>
      <c r="G21" s="60">
        <v>3.8800000000000003</v>
      </c>
      <c r="H21" s="60" t="s">
        <v>28</v>
      </c>
      <c r="I21" s="60">
        <v>4.1533333333333333</v>
      </c>
      <c r="J21" s="60" t="s">
        <v>27</v>
      </c>
      <c r="K21" s="60">
        <v>0</v>
      </c>
      <c r="L21" s="60">
        <v>0</v>
      </c>
      <c r="M21" s="60">
        <v>0</v>
      </c>
      <c r="N21" s="60">
        <v>0</v>
      </c>
      <c r="O21" s="59">
        <v>8.0333333333333332</v>
      </c>
      <c r="P21" s="59">
        <v>24.1</v>
      </c>
      <c r="Q21" s="61">
        <v>495.92021333333332</v>
      </c>
      <c r="R21" s="61">
        <v>45.155999999999999</v>
      </c>
      <c r="S21" s="61">
        <v>267.43333333333334</v>
      </c>
      <c r="T21" s="61">
        <v>0</v>
      </c>
      <c r="U21" s="61">
        <v>0</v>
      </c>
      <c r="V21" s="61">
        <v>808.50954666666667</v>
      </c>
      <c r="W21" s="61">
        <v>2263.8267306666667</v>
      </c>
      <c r="X21" s="61">
        <v>452.76534613333337</v>
      </c>
      <c r="Y21" s="61">
        <v>1811.0613845333332</v>
      </c>
      <c r="Z21" s="61">
        <v>6791.480192</v>
      </c>
      <c r="AA21" s="59">
        <v>5433.1841535999993</v>
      </c>
    </row>
    <row r="22" spans="1:27" s="58" customFormat="1" x14ac:dyDescent="0.3">
      <c r="A22" s="59" t="s">
        <v>1286</v>
      </c>
      <c r="B22" s="59">
        <v>0</v>
      </c>
      <c r="C22" s="59">
        <v>0</v>
      </c>
      <c r="D22" s="59" t="s">
        <v>1792</v>
      </c>
      <c r="E22" s="59">
        <v>0.45</v>
      </c>
      <c r="F22" s="59">
        <v>2</v>
      </c>
      <c r="G22" s="60">
        <v>3.21</v>
      </c>
      <c r="H22" s="60" t="s">
        <v>28</v>
      </c>
      <c r="I22" s="60">
        <v>2.7250000000000001</v>
      </c>
      <c r="J22" s="60" t="s">
        <v>27</v>
      </c>
      <c r="K22" s="60">
        <v>0</v>
      </c>
      <c r="L22" s="60">
        <v>0</v>
      </c>
      <c r="M22" s="60">
        <v>0</v>
      </c>
      <c r="N22" s="60">
        <v>0</v>
      </c>
      <c r="O22" s="59">
        <v>5.9350000000000005</v>
      </c>
      <c r="P22" s="59">
        <v>11.870000000000001</v>
      </c>
      <c r="Q22" s="61">
        <v>367.21010285714283</v>
      </c>
      <c r="R22" s="61">
        <v>51.516000000000005</v>
      </c>
      <c r="S22" s="61">
        <v>305.10000000000002</v>
      </c>
      <c r="T22" s="61">
        <v>0</v>
      </c>
      <c r="U22" s="61">
        <v>0</v>
      </c>
      <c r="V22" s="61">
        <v>723.82610285714281</v>
      </c>
      <c r="W22" s="61">
        <v>2026.7130879999997</v>
      </c>
      <c r="X22" s="61">
        <v>405.34261759999998</v>
      </c>
      <c r="Y22" s="61">
        <v>1621.3704703999997</v>
      </c>
      <c r="Z22" s="61">
        <v>4053.4261759999995</v>
      </c>
      <c r="AA22" s="59">
        <v>3242.7409407999994</v>
      </c>
    </row>
    <row r="23" spans="1:27" s="58" customFormat="1" x14ac:dyDescent="0.3">
      <c r="A23" s="59" t="s">
        <v>1286</v>
      </c>
      <c r="B23" s="59">
        <v>0</v>
      </c>
      <c r="C23" s="59">
        <v>0</v>
      </c>
      <c r="D23" s="59" t="s">
        <v>1783</v>
      </c>
      <c r="E23" s="59">
        <v>0.47291666666666665</v>
      </c>
      <c r="F23" s="59">
        <v>16</v>
      </c>
      <c r="G23" s="60">
        <v>5.7725</v>
      </c>
      <c r="H23" s="60" t="s">
        <v>194</v>
      </c>
      <c r="I23" s="60">
        <v>0</v>
      </c>
      <c r="J23" s="60">
        <v>0</v>
      </c>
      <c r="K23" s="60">
        <v>0</v>
      </c>
      <c r="L23" s="60">
        <v>0</v>
      </c>
      <c r="M23" s="60">
        <v>0</v>
      </c>
      <c r="N23" s="60">
        <v>0</v>
      </c>
      <c r="O23" s="59">
        <v>5.7725</v>
      </c>
      <c r="P23" s="59">
        <v>92.36</v>
      </c>
      <c r="Q23" s="61">
        <v>346.35</v>
      </c>
      <c r="R23" s="61">
        <v>54.139499999999998</v>
      </c>
      <c r="S23" s="61">
        <v>320.63749999999999</v>
      </c>
      <c r="T23" s="61">
        <v>0</v>
      </c>
      <c r="U23" s="61">
        <v>0</v>
      </c>
      <c r="V23" s="61">
        <v>721.12699999999995</v>
      </c>
      <c r="W23" s="61">
        <v>2019.1555999999998</v>
      </c>
      <c r="X23" s="61">
        <v>403.83112</v>
      </c>
      <c r="Y23" s="61">
        <v>1615.3244799999998</v>
      </c>
      <c r="Z23" s="61">
        <v>32306.489599999997</v>
      </c>
      <c r="AA23" s="59">
        <v>25845.191679999996</v>
      </c>
    </row>
    <row r="24" spans="1:27" s="58" customFormat="1" ht="28.8" x14ac:dyDescent="0.3">
      <c r="A24" s="59" t="s">
        <v>1286</v>
      </c>
      <c r="B24" s="59">
        <v>0</v>
      </c>
      <c r="C24" s="59">
        <v>0</v>
      </c>
      <c r="D24" s="59" t="s">
        <v>1749</v>
      </c>
      <c r="E24" s="59">
        <v>2.4249999999999998</v>
      </c>
      <c r="F24" s="59">
        <v>2</v>
      </c>
      <c r="G24" s="60">
        <v>53.865000000000002</v>
      </c>
      <c r="H24" s="60" t="s">
        <v>27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59">
        <v>53.865000000000002</v>
      </c>
      <c r="P24" s="59">
        <v>107.73</v>
      </c>
      <c r="Q24" s="61">
        <v>3262.68</v>
      </c>
      <c r="R24" s="61">
        <v>277.61399999999998</v>
      </c>
      <c r="S24" s="61">
        <v>1644.1499999999999</v>
      </c>
      <c r="T24" s="61">
        <v>0</v>
      </c>
      <c r="U24" s="61">
        <v>0</v>
      </c>
      <c r="V24" s="61">
        <v>5184.4439999999995</v>
      </c>
      <c r="W24" s="61">
        <v>14516.443199999998</v>
      </c>
      <c r="X24" s="61">
        <v>2903.2886399999998</v>
      </c>
      <c r="Y24" s="61">
        <v>11613.154559999999</v>
      </c>
      <c r="Z24" s="61">
        <v>29032.886399999996</v>
      </c>
      <c r="AA24" s="59">
        <v>23226.309119999998</v>
      </c>
    </row>
    <row r="25" spans="1:27" s="58" customFormat="1" ht="28.8" x14ac:dyDescent="0.3">
      <c r="A25" s="59" t="s">
        <v>1286</v>
      </c>
      <c r="B25" s="59">
        <v>0</v>
      </c>
      <c r="C25" s="59">
        <v>0</v>
      </c>
      <c r="D25" s="59" t="s">
        <v>1736</v>
      </c>
      <c r="E25" s="59">
        <v>0.60833333333333328</v>
      </c>
      <c r="F25" s="59">
        <v>2</v>
      </c>
      <c r="G25" s="60">
        <v>4.0049999999999999</v>
      </c>
      <c r="H25" s="60" t="s">
        <v>1532</v>
      </c>
      <c r="I25" s="60">
        <v>0.42</v>
      </c>
      <c r="J25" s="60" t="s">
        <v>159</v>
      </c>
      <c r="K25" s="60">
        <v>0</v>
      </c>
      <c r="L25" s="60">
        <v>0</v>
      </c>
      <c r="M25" s="60">
        <v>0</v>
      </c>
      <c r="N25" s="60">
        <v>0</v>
      </c>
      <c r="O25" s="59">
        <v>4.4249999999999998</v>
      </c>
      <c r="P25" s="59">
        <v>8.85</v>
      </c>
      <c r="Q25" s="61">
        <v>54.6</v>
      </c>
      <c r="R25" s="61">
        <v>69.641999999999996</v>
      </c>
      <c r="S25" s="61">
        <v>412.45</v>
      </c>
      <c r="T25" s="61">
        <v>0</v>
      </c>
      <c r="U25" s="61">
        <v>0</v>
      </c>
      <c r="V25" s="61">
        <v>536.69200000000001</v>
      </c>
      <c r="W25" s="61">
        <v>1502.7375999999999</v>
      </c>
      <c r="X25" s="61">
        <v>300.54752000000002</v>
      </c>
      <c r="Y25" s="61">
        <v>1202.1900799999999</v>
      </c>
      <c r="Z25" s="61">
        <v>3005.4751999999999</v>
      </c>
      <c r="AA25" s="59">
        <v>2404.3801599999997</v>
      </c>
    </row>
    <row r="26" spans="1:27" s="58" customFormat="1" x14ac:dyDescent="0.3">
      <c r="A26" s="59" t="s">
        <v>1416</v>
      </c>
      <c r="B26" s="59">
        <v>0</v>
      </c>
      <c r="C26" s="59">
        <v>0</v>
      </c>
      <c r="D26" s="59" t="s">
        <v>259</v>
      </c>
      <c r="E26" s="59">
        <v>0.45</v>
      </c>
      <c r="F26" s="59">
        <v>1</v>
      </c>
      <c r="G26" s="60">
        <v>1.75</v>
      </c>
      <c r="H26" s="60" t="s">
        <v>27</v>
      </c>
      <c r="I26" s="60">
        <v>0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59">
        <v>1.75</v>
      </c>
      <c r="P26" s="59">
        <v>1.75</v>
      </c>
      <c r="Q26" s="61">
        <v>106</v>
      </c>
      <c r="R26" s="61">
        <v>51.516000000000005</v>
      </c>
      <c r="S26" s="61">
        <v>305.10000000000002</v>
      </c>
      <c r="T26" s="61">
        <v>0</v>
      </c>
      <c r="U26" s="61">
        <v>0</v>
      </c>
      <c r="V26" s="61">
        <v>462.61600000000004</v>
      </c>
      <c r="W26" s="61">
        <v>1295.3248000000001</v>
      </c>
      <c r="X26" s="61">
        <v>259.06496000000004</v>
      </c>
      <c r="Y26" s="61">
        <v>1036.2598400000002</v>
      </c>
      <c r="Z26" s="61">
        <v>1295.3248000000001</v>
      </c>
      <c r="AA26" s="59">
        <v>1036.2598400000002</v>
      </c>
    </row>
    <row r="27" spans="1:27" s="58" customFormat="1" x14ac:dyDescent="0.3">
      <c r="A27" s="59" t="s">
        <v>1286</v>
      </c>
      <c r="B27" s="59">
        <v>0</v>
      </c>
      <c r="C27" s="59">
        <v>0</v>
      </c>
      <c r="D27" s="59" t="s">
        <v>258</v>
      </c>
      <c r="E27" s="59">
        <v>11.233333333333333</v>
      </c>
      <c r="F27" s="59">
        <v>1</v>
      </c>
      <c r="G27" s="60">
        <v>113.21</v>
      </c>
      <c r="H27" s="60" t="s">
        <v>28</v>
      </c>
      <c r="I27" s="60">
        <v>61.64</v>
      </c>
      <c r="J27" s="60" t="s">
        <v>29</v>
      </c>
      <c r="K27" s="60">
        <v>0</v>
      </c>
      <c r="L27" s="60">
        <v>0</v>
      </c>
      <c r="M27" s="60">
        <v>0</v>
      </c>
      <c r="N27" s="60">
        <v>0</v>
      </c>
      <c r="O27" s="59">
        <v>174.85</v>
      </c>
      <c r="P27" s="59">
        <v>174.85</v>
      </c>
      <c r="Q27" s="61">
        <v>11214.601226666666</v>
      </c>
      <c r="R27" s="61">
        <v>1285.992</v>
      </c>
      <c r="S27" s="61">
        <v>7616.2</v>
      </c>
      <c r="T27" s="61">
        <v>0</v>
      </c>
      <c r="U27" s="61">
        <v>0</v>
      </c>
      <c r="V27" s="61">
        <v>20116.793226666665</v>
      </c>
      <c r="W27" s="61">
        <v>56327.021034666657</v>
      </c>
      <c r="X27" s="61">
        <v>11265.404206933332</v>
      </c>
      <c r="Y27" s="61">
        <v>45061.616827733327</v>
      </c>
      <c r="Z27" s="61">
        <v>56327.021034666657</v>
      </c>
      <c r="AA27" s="59">
        <v>45061.616827733327</v>
      </c>
    </row>
    <row r="28" spans="1:27" s="58" customFormat="1" ht="28.8" x14ac:dyDescent="0.3">
      <c r="A28" s="59" t="s">
        <v>1766</v>
      </c>
      <c r="B28" s="59">
        <v>0</v>
      </c>
      <c r="C28" s="59">
        <v>3214155448</v>
      </c>
      <c r="D28" s="59" t="s">
        <v>199</v>
      </c>
      <c r="E28" s="59">
        <v>7.5666666666666664</v>
      </c>
      <c r="F28" s="59">
        <v>1</v>
      </c>
      <c r="G28" s="60">
        <v>35.03</v>
      </c>
      <c r="H28" s="60" t="s">
        <v>1532</v>
      </c>
      <c r="I28" s="60">
        <v>48.61</v>
      </c>
      <c r="J28" s="60" t="s">
        <v>159</v>
      </c>
      <c r="K28" s="60">
        <v>0</v>
      </c>
      <c r="L28" s="60">
        <v>0</v>
      </c>
      <c r="M28" s="60">
        <v>0</v>
      </c>
      <c r="N28" s="60">
        <v>0</v>
      </c>
      <c r="O28" s="59">
        <v>83.64</v>
      </c>
      <c r="P28" s="59">
        <v>83.64</v>
      </c>
      <c r="Q28" s="61">
        <v>6319.3</v>
      </c>
      <c r="R28" s="61">
        <v>866.23199999999997</v>
      </c>
      <c r="S28" s="61">
        <v>5130.2</v>
      </c>
      <c r="T28" s="61">
        <v>0</v>
      </c>
      <c r="U28" s="61">
        <v>0</v>
      </c>
      <c r="V28" s="61">
        <v>12315.732</v>
      </c>
      <c r="W28" s="61">
        <v>34484.049599999998</v>
      </c>
      <c r="X28" s="61">
        <v>6896.8099199999997</v>
      </c>
      <c r="Y28" s="61">
        <v>27587.239679999999</v>
      </c>
      <c r="Z28" s="61">
        <v>34484.049599999998</v>
      </c>
      <c r="AA28" s="59">
        <v>27587.239679999999</v>
      </c>
    </row>
    <row r="29" spans="1:27" s="58" customFormat="1" x14ac:dyDescent="0.3">
      <c r="A29" s="59" t="s">
        <v>1286</v>
      </c>
      <c r="B29" s="59">
        <v>0</v>
      </c>
      <c r="C29" s="59">
        <v>0</v>
      </c>
      <c r="D29" s="59" t="s">
        <v>229</v>
      </c>
      <c r="E29" s="59">
        <v>6.8416666666666668</v>
      </c>
      <c r="F29" s="59">
        <v>2</v>
      </c>
      <c r="G29" s="60">
        <v>69.819999999999993</v>
      </c>
      <c r="H29" s="60" t="s">
        <v>151</v>
      </c>
      <c r="I29" s="60">
        <v>0</v>
      </c>
      <c r="J29" s="60">
        <v>0</v>
      </c>
      <c r="K29" s="60">
        <v>0</v>
      </c>
      <c r="L29" s="60">
        <v>0</v>
      </c>
      <c r="M29" s="60">
        <v>0</v>
      </c>
      <c r="N29" s="60">
        <v>0</v>
      </c>
      <c r="O29" s="59">
        <v>69.819999999999993</v>
      </c>
      <c r="P29" s="59">
        <v>139.63999999999999</v>
      </c>
      <c r="Q29" s="61">
        <v>4538.2999999999993</v>
      </c>
      <c r="R29" s="61">
        <v>783.23400000000004</v>
      </c>
      <c r="S29" s="61">
        <v>4638.6499999999996</v>
      </c>
      <c r="T29" s="61">
        <v>0</v>
      </c>
      <c r="U29" s="61">
        <v>0</v>
      </c>
      <c r="V29" s="61">
        <v>9960.1839999999993</v>
      </c>
      <c r="W29" s="61">
        <v>27888.515199999998</v>
      </c>
      <c r="X29" s="61">
        <v>5577.7030400000003</v>
      </c>
      <c r="Y29" s="61">
        <v>22310.812159999998</v>
      </c>
      <c r="Z29" s="61">
        <v>55777.030399999996</v>
      </c>
      <c r="AA29" s="59">
        <v>44621.624319999995</v>
      </c>
    </row>
    <row r="30" spans="1:27" s="58" customFormat="1" ht="28.8" x14ac:dyDescent="0.3">
      <c r="A30" s="59" t="s">
        <v>1286</v>
      </c>
      <c r="B30" s="59">
        <v>0</v>
      </c>
      <c r="C30" s="59">
        <v>0</v>
      </c>
      <c r="D30" s="59" t="s">
        <v>1749</v>
      </c>
      <c r="E30" s="59">
        <v>2.4666666666666668</v>
      </c>
      <c r="F30" s="59">
        <v>1</v>
      </c>
      <c r="G30" s="60">
        <v>55.04</v>
      </c>
      <c r="H30" s="60" t="s">
        <v>28</v>
      </c>
      <c r="I30" s="60">
        <v>0</v>
      </c>
      <c r="J30" s="60">
        <v>0</v>
      </c>
      <c r="K30" s="60">
        <v>0</v>
      </c>
      <c r="L30" s="60">
        <v>0</v>
      </c>
      <c r="M30" s="60">
        <v>0</v>
      </c>
      <c r="N30" s="60">
        <v>0</v>
      </c>
      <c r="O30" s="59">
        <v>55.04</v>
      </c>
      <c r="P30" s="59">
        <v>55.04</v>
      </c>
      <c r="Q30" s="61">
        <v>3466.19904</v>
      </c>
      <c r="R30" s="61">
        <v>282.38400000000001</v>
      </c>
      <c r="S30" s="61">
        <v>1672.4</v>
      </c>
      <c r="T30" s="61">
        <v>0</v>
      </c>
      <c r="U30" s="61">
        <v>0</v>
      </c>
      <c r="V30" s="61">
        <v>5420.9830400000001</v>
      </c>
      <c r="W30" s="61">
        <v>15178.752511999999</v>
      </c>
      <c r="X30" s="61">
        <v>3035.7505024000002</v>
      </c>
      <c r="Y30" s="61">
        <v>12143.002009599999</v>
      </c>
      <c r="Z30" s="61">
        <v>15178.752511999999</v>
      </c>
      <c r="AA30" s="59">
        <v>12143.002009599999</v>
      </c>
    </row>
    <row r="31" spans="1:27" s="58" customFormat="1" x14ac:dyDescent="0.3">
      <c r="A31" s="59" t="s">
        <v>1416</v>
      </c>
      <c r="B31" s="59">
        <v>0</v>
      </c>
      <c r="C31" s="59">
        <v>0</v>
      </c>
      <c r="D31" s="59" t="s">
        <v>1747</v>
      </c>
      <c r="E31" s="59">
        <v>0.71666666666666667</v>
      </c>
      <c r="F31" s="59">
        <v>1</v>
      </c>
      <c r="G31" s="60">
        <v>2.5</v>
      </c>
      <c r="H31" s="60" t="s">
        <v>27</v>
      </c>
      <c r="I31" s="60">
        <v>0</v>
      </c>
      <c r="J31" s="60">
        <v>0</v>
      </c>
      <c r="K31" s="60">
        <v>0</v>
      </c>
      <c r="L31" s="60">
        <v>0</v>
      </c>
      <c r="M31" s="60">
        <v>0</v>
      </c>
      <c r="N31" s="60">
        <v>0</v>
      </c>
      <c r="O31" s="59">
        <v>2.5</v>
      </c>
      <c r="P31" s="59">
        <v>2.5</v>
      </c>
      <c r="Q31" s="61">
        <v>151.42857142857142</v>
      </c>
      <c r="R31" s="61">
        <v>82.043999999999997</v>
      </c>
      <c r="S31" s="61">
        <v>485.9</v>
      </c>
      <c r="T31" s="61">
        <v>0</v>
      </c>
      <c r="U31" s="61">
        <v>0</v>
      </c>
      <c r="V31" s="61">
        <v>719.3725714285714</v>
      </c>
      <c r="W31" s="61">
        <v>2014.2431999999999</v>
      </c>
      <c r="X31" s="61">
        <v>402.84863999999999</v>
      </c>
      <c r="Y31" s="61">
        <v>1611.39456</v>
      </c>
      <c r="Z31" s="61">
        <v>2014.2431999999999</v>
      </c>
      <c r="AA31" s="59">
        <v>1611.39456</v>
      </c>
    </row>
    <row r="32" spans="1:27" s="58" customFormat="1" ht="28.8" x14ac:dyDescent="0.3">
      <c r="A32" s="59" t="s">
        <v>1416</v>
      </c>
      <c r="B32" s="59">
        <v>0</v>
      </c>
      <c r="C32" s="59">
        <v>0</v>
      </c>
      <c r="D32" s="59" t="s">
        <v>1745</v>
      </c>
      <c r="E32" s="59">
        <v>1.6</v>
      </c>
      <c r="F32" s="59">
        <v>1</v>
      </c>
      <c r="G32" s="60">
        <v>22.42</v>
      </c>
      <c r="H32" s="60" t="s">
        <v>27</v>
      </c>
      <c r="I32" s="60">
        <v>0</v>
      </c>
      <c r="J32" s="60">
        <v>0</v>
      </c>
      <c r="K32" s="60">
        <v>0</v>
      </c>
      <c r="L32" s="60">
        <v>0</v>
      </c>
      <c r="M32" s="60">
        <v>0</v>
      </c>
      <c r="N32" s="60">
        <v>0</v>
      </c>
      <c r="O32" s="59">
        <v>22.42</v>
      </c>
      <c r="P32" s="59">
        <v>22.42</v>
      </c>
      <c r="Q32" s="61">
        <v>1358.0114285714287</v>
      </c>
      <c r="R32" s="61">
        <v>183.16800000000001</v>
      </c>
      <c r="S32" s="61">
        <v>1084.8</v>
      </c>
      <c r="T32" s="61">
        <v>0</v>
      </c>
      <c r="U32" s="61">
        <v>0</v>
      </c>
      <c r="V32" s="61">
        <v>2625.9794285714288</v>
      </c>
      <c r="W32" s="61">
        <v>7352.7424000000001</v>
      </c>
      <c r="X32" s="61">
        <v>1470.5484800000002</v>
      </c>
      <c r="Y32" s="61">
        <v>5882.1939199999997</v>
      </c>
      <c r="Z32" s="61">
        <v>7352.7424000000001</v>
      </c>
      <c r="AA32" s="59">
        <v>5882.1939199999997</v>
      </c>
    </row>
    <row r="33" spans="1:27" s="58" customFormat="1" x14ac:dyDescent="0.3">
      <c r="A33" s="59" t="s">
        <v>472</v>
      </c>
      <c r="B33" s="59">
        <v>0</v>
      </c>
      <c r="C33" s="59">
        <v>0</v>
      </c>
      <c r="D33" s="59" t="s">
        <v>1736</v>
      </c>
      <c r="E33" s="59">
        <v>0.21249999999999999</v>
      </c>
      <c r="F33" s="59">
        <v>4</v>
      </c>
      <c r="G33" s="60">
        <v>1.9624999999999999</v>
      </c>
      <c r="H33" s="60" t="s">
        <v>1532</v>
      </c>
      <c r="I33" s="60">
        <v>0.40250000000000002</v>
      </c>
      <c r="J33" s="60" t="s">
        <v>155</v>
      </c>
      <c r="K33" s="60">
        <v>0</v>
      </c>
      <c r="L33" s="60">
        <v>0</v>
      </c>
      <c r="M33" s="60">
        <v>0</v>
      </c>
      <c r="N33" s="60">
        <v>0</v>
      </c>
      <c r="O33" s="59">
        <v>2.3649999999999998</v>
      </c>
      <c r="P33" s="59">
        <v>9.4599999999999991</v>
      </c>
      <c r="Q33" s="61">
        <v>26.162500000000001</v>
      </c>
      <c r="R33" s="61">
        <v>24.327000000000002</v>
      </c>
      <c r="S33" s="61">
        <v>144.07499999999999</v>
      </c>
      <c r="T33" s="61">
        <v>0</v>
      </c>
      <c r="U33" s="61">
        <v>0</v>
      </c>
      <c r="V33" s="61">
        <v>194.56450000000001</v>
      </c>
      <c r="W33" s="61">
        <v>544.78059999999994</v>
      </c>
      <c r="X33" s="61">
        <v>108.95612</v>
      </c>
      <c r="Y33" s="61">
        <v>435.82447999999994</v>
      </c>
      <c r="Z33" s="61">
        <v>2179.1223999999997</v>
      </c>
      <c r="AA33" s="59">
        <v>1743.2979199999997</v>
      </c>
    </row>
    <row r="34" spans="1:27" s="58" customFormat="1" x14ac:dyDescent="0.3">
      <c r="A34" s="59" t="s">
        <v>472</v>
      </c>
      <c r="B34" s="59">
        <v>0</v>
      </c>
      <c r="C34" s="59">
        <v>0</v>
      </c>
      <c r="D34" s="59" t="s">
        <v>1727</v>
      </c>
      <c r="E34" s="59">
        <v>1.3333333333333333</v>
      </c>
      <c r="F34" s="59">
        <v>2</v>
      </c>
      <c r="G34" s="60">
        <v>34.024999999999999</v>
      </c>
      <c r="H34" s="60" t="s">
        <v>27</v>
      </c>
      <c r="I34" s="60">
        <v>0</v>
      </c>
      <c r="J34" s="60">
        <v>0</v>
      </c>
      <c r="K34" s="60">
        <v>0</v>
      </c>
      <c r="L34" s="60">
        <v>0</v>
      </c>
      <c r="M34" s="60">
        <v>0</v>
      </c>
      <c r="N34" s="60">
        <v>0</v>
      </c>
      <c r="O34" s="59">
        <v>34.024999999999999</v>
      </c>
      <c r="P34" s="59">
        <v>68.05</v>
      </c>
      <c r="Q34" s="61">
        <v>2060.9428571428571</v>
      </c>
      <c r="R34" s="61">
        <v>152.63999999999999</v>
      </c>
      <c r="S34" s="61">
        <v>904</v>
      </c>
      <c r="T34" s="61">
        <v>0</v>
      </c>
      <c r="U34" s="61">
        <v>0</v>
      </c>
      <c r="V34" s="61">
        <v>3117.5828571428569</v>
      </c>
      <c r="W34" s="61">
        <v>8729.2319999999982</v>
      </c>
      <c r="X34" s="61">
        <v>1745.8463999999997</v>
      </c>
      <c r="Y34" s="61">
        <v>6983.3855999999987</v>
      </c>
      <c r="Z34" s="61">
        <v>17458.463999999996</v>
      </c>
      <c r="AA34" s="59">
        <v>13966.771199999997</v>
      </c>
    </row>
    <row r="35" spans="1:27" s="58" customFormat="1" x14ac:dyDescent="0.3">
      <c r="A35" s="59" t="s">
        <v>472</v>
      </c>
      <c r="B35" s="59">
        <v>0</v>
      </c>
      <c r="C35" s="59">
        <v>0</v>
      </c>
      <c r="D35" s="59" t="s">
        <v>1718</v>
      </c>
      <c r="E35" s="59">
        <v>1.4666666666666666</v>
      </c>
      <c r="F35" s="59">
        <v>2</v>
      </c>
      <c r="G35" s="60">
        <v>34.024999999999999</v>
      </c>
      <c r="H35" s="60" t="s">
        <v>28</v>
      </c>
      <c r="I35" s="60">
        <v>0</v>
      </c>
      <c r="J35" s="60">
        <v>0</v>
      </c>
      <c r="K35" s="60">
        <v>0</v>
      </c>
      <c r="L35" s="60">
        <v>0</v>
      </c>
      <c r="M35" s="60">
        <v>0</v>
      </c>
      <c r="N35" s="60">
        <v>0</v>
      </c>
      <c r="O35" s="59">
        <v>34.024999999999999</v>
      </c>
      <c r="P35" s="59">
        <v>68.05</v>
      </c>
      <c r="Q35" s="61">
        <v>2142.7583999999997</v>
      </c>
      <c r="R35" s="61">
        <v>167.904</v>
      </c>
      <c r="S35" s="61">
        <v>994.4</v>
      </c>
      <c r="T35" s="61">
        <v>0</v>
      </c>
      <c r="U35" s="61">
        <v>0</v>
      </c>
      <c r="V35" s="61">
        <v>3305.0623999999998</v>
      </c>
      <c r="W35" s="61">
        <v>9254.1747199999991</v>
      </c>
      <c r="X35" s="61">
        <v>1850.834944</v>
      </c>
      <c r="Y35" s="61">
        <v>7403.3397759999989</v>
      </c>
      <c r="Z35" s="61">
        <v>18508.349439999998</v>
      </c>
      <c r="AA35" s="59">
        <v>14806.679551999998</v>
      </c>
    </row>
    <row r="36" spans="1:27" s="58" customFormat="1" x14ac:dyDescent="0.3">
      <c r="A36" s="59" t="s">
        <v>472</v>
      </c>
      <c r="B36" s="59">
        <v>0</v>
      </c>
      <c r="C36" s="59">
        <v>0</v>
      </c>
      <c r="D36" s="59" t="s">
        <v>1710</v>
      </c>
      <c r="E36" s="59">
        <v>1.4416666666666667</v>
      </c>
      <c r="F36" s="59">
        <v>2</v>
      </c>
      <c r="G36" s="60">
        <v>32.024999999999999</v>
      </c>
      <c r="H36" s="60" t="s">
        <v>27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59">
        <v>32.024999999999999</v>
      </c>
      <c r="P36" s="59">
        <v>64.05</v>
      </c>
      <c r="Q36" s="61">
        <v>1939.8</v>
      </c>
      <c r="R36" s="61">
        <v>165.042</v>
      </c>
      <c r="S36" s="61">
        <v>977.45</v>
      </c>
      <c r="T36" s="61">
        <v>0</v>
      </c>
      <c r="U36" s="61">
        <v>0</v>
      </c>
      <c r="V36" s="61">
        <v>3082.2920000000004</v>
      </c>
      <c r="W36" s="61">
        <v>8630.4176000000007</v>
      </c>
      <c r="X36" s="61">
        <v>1726.0835200000001</v>
      </c>
      <c r="Y36" s="61">
        <v>6904.3340800000005</v>
      </c>
      <c r="Z36" s="61">
        <v>17260.835200000001</v>
      </c>
      <c r="AA36" s="59">
        <v>13808.668160000001</v>
      </c>
    </row>
    <row r="37" spans="1:27" s="58" customFormat="1" x14ac:dyDescent="0.3">
      <c r="A37" s="59" t="s">
        <v>472</v>
      </c>
      <c r="B37" s="59">
        <v>0</v>
      </c>
      <c r="C37" s="59">
        <v>0</v>
      </c>
      <c r="D37" s="59" t="s">
        <v>1702</v>
      </c>
      <c r="E37" s="59">
        <v>0.3888888888888889</v>
      </c>
      <c r="F37" s="59">
        <v>6</v>
      </c>
      <c r="G37" s="60">
        <v>0.95500000000000007</v>
      </c>
      <c r="H37" s="60" t="s">
        <v>29</v>
      </c>
      <c r="I37" s="60">
        <v>2.2983333333333333</v>
      </c>
      <c r="J37" s="60" t="s">
        <v>155</v>
      </c>
      <c r="K37" s="60">
        <v>0</v>
      </c>
      <c r="L37" s="60">
        <v>0</v>
      </c>
      <c r="M37" s="60">
        <v>0</v>
      </c>
      <c r="N37" s="60">
        <v>0</v>
      </c>
      <c r="O37" s="59">
        <v>3.2533333333333334</v>
      </c>
      <c r="P37" s="59">
        <v>19.52</v>
      </c>
      <c r="Q37" s="61">
        <v>212.68270000000001</v>
      </c>
      <c r="R37" s="61">
        <v>44.52</v>
      </c>
      <c r="S37" s="61">
        <v>263.66666666666669</v>
      </c>
      <c r="T37" s="61">
        <v>0</v>
      </c>
      <c r="U37" s="61">
        <v>0</v>
      </c>
      <c r="V37" s="61">
        <v>520.86936666666668</v>
      </c>
      <c r="W37" s="61">
        <v>1458.4342266666665</v>
      </c>
      <c r="X37" s="61">
        <v>291.68684533333334</v>
      </c>
      <c r="Y37" s="61">
        <v>1166.7473813333331</v>
      </c>
      <c r="Z37" s="61">
        <v>8750.6053599999996</v>
      </c>
      <c r="AA37" s="59">
        <v>7000.4842879999987</v>
      </c>
    </row>
    <row r="38" spans="1:27" s="58" customFormat="1" x14ac:dyDescent="0.3">
      <c r="A38" s="59" t="s">
        <v>472</v>
      </c>
      <c r="B38" s="59">
        <v>0</v>
      </c>
      <c r="C38" s="59">
        <v>0</v>
      </c>
      <c r="D38" s="59" t="s">
        <v>1702</v>
      </c>
      <c r="E38" s="59">
        <v>0.3666666666666667</v>
      </c>
      <c r="F38" s="59">
        <v>12</v>
      </c>
      <c r="G38" s="60">
        <v>0.94</v>
      </c>
      <c r="H38" s="60" t="s">
        <v>29</v>
      </c>
      <c r="I38" s="60">
        <v>2.2925</v>
      </c>
      <c r="J38" s="60" t="s">
        <v>155</v>
      </c>
      <c r="K38" s="60">
        <v>0</v>
      </c>
      <c r="L38" s="60">
        <v>0</v>
      </c>
      <c r="M38" s="60">
        <v>0</v>
      </c>
      <c r="N38" s="60">
        <v>0</v>
      </c>
      <c r="O38" s="59">
        <v>3.2324999999999999</v>
      </c>
      <c r="P38" s="59">
        <v>38.79</v>
      </c>
      <c r="Q38" s="61">
        <v>211.30943333333332</v>
      </c>
      <c r="R38" s="61">
        <v>41.976000000000006</v>
      </c>
      <c r="S38" s="61">
        <v>248.60000000000002</v>
      </c>
      <c r="T38" s="61">
        <v>0</v>
      </c>
      <c r="U38" s="61">
        <v>0</v>
      </c>
      <c r="V38" s="61">
        <v>501.88543333333337</v>
      </c>
      <c r="W38" s="61">
        <v>1405.2792133333332</v>
      </c>
      <c r="X38" s="61">
        <v>281.05584266666665</v>
      </c>
      <c r="Y38" s="61">
        <v>1124.2233706666666</v>
      </c>
      <c r="Z38" s="61">
        <v>16863.350559999999</v>
      </c>
      <c r="AA38" s="59">
        <v>13490.680447999999</v>
      </c>
    </row>
    <row r="39" spans="1:27" s="58" customFormat="1" x14ac:dyDescent="0.3">
      <c r="A39" s="59" t="s">
        <v>1484</v>
      </c>
      <c r="B39" s="59">
        <v>0</v>
      </c>
      <c r="C39" s="59">
        <v>3103460615</v>
      </c>
      <c r="D39" s="59" t="s">
        <v>1483</v>
      </c>
      <c r="E39" s="59">
        <v>12.133333333333333</v>
      </c>
      <c r="F39" s="59">
        <v>1</v>
      </c>
      <c r="G39" s="60">
        <v>0</v>
      </c>
      <c r="H39" s="60">
        <v>0</v>
      </c>
      <c r="I39" s="60">
        <v>20.84</v>
      </c>
      <c r="J39" s="60" t="s">
        <v>27</v>
      </c>
      <c r="K39" s="60">
        <v>4.45</v>
      </c>
      <c r="L39" s="60" t="s">
        <v>28</v>
      </c>
      <c r="M39" s="60">
        <v>238.43</v>
      </c>
      <c r="N39" s="60" t="s">
        <v>1141</v>
      </c>
      <c r="O39" s="59">
        <v>263.72000000000003</v>
      </c>
      <c r="P39" s="59">
        <v>263.72000000000003</v>
      </c>
      <c r="Q39" s="61">
        <v>17040.501771428571</v>
      </c>
      <c r="R39" s="61">
        <v>1389.0239999999999</v>
      </c>
      <c r="S39" s="61">
        <v>8226.4</v>
      </c>
      <c r="T39" s="61">
        <v>0</v>
      </c>
      <c r="U39" s="61">
        <v>0</v>
      </c>
      <c r="V39" s="61">
        <v>26655.92577142857</v>
      </c>
      <c r="W39" s="61">
        <v>74636.592159999986</v>
      </c>
      <c r="X39" s="61">
        <v>14927.318431999998</v>
      </c>
      <c r="Y39" s="61">
        <v>59709.273727999986</v>
      </c>
      <c r="Z39" s="61">
        <v>74636.592159999986</v>
      </c>
      <c r="AA39" s="59">
        <v>59709.273727999986</v>
      </c>
    </row>
    <row r="40" spans="1:27" s="58" customFormat="1" x14ac:dyDescent="0.3">
      <c r="A40" s="59" t="s">
        <v>1475</v>
      </c>
      <c r="B40" s="59">
        <v>0</v>
      </c>
      <c r="C40" s="59">
        <v>3102092828</v>
      </c>
      <c r="D40" s="59" t="s">
        <v>1474</v>
      </c>
      <c r="E40" s="59">
        <v>0.18</v>
      </c>
      <c r="F40" s="59">
        <v>5</v>
      </c>
      <c r="G40" s="60">
        <v>0.59199999999999997</v>
      </c>
      <c r="H40" s="60" t="s">
        <v>28</v>
      </c>
      <c r="I40" s="60">
        <v>2.4379999999999997</v>
      </c>
      <c r="J40" s="60" t="s">
        <v>27</v>
      </c>
      <c r="K40" s="60">
        <v>0.22000000000000003</v>
      </c>
      <c r="L40" s="60" t="s">
        <v>137</v>
      </c>
      <c r="M40" s="60">
        <v>0.36199999999999999</v>
      </c>
      <c r="N40" s="60" t="s">
        <v>29</v>
      </c>
      <c r="O40" s="59">
        <v>3.6120000000000001</v>
      </c>
      <c r="P40" s="59">
        <v>18.060000000000002</v>
      </c>
      <c r="Q40" s="61">
        <v>222.14588152380949</v>
      </c>
      <c r="R40" s="61">
        <v>20.606400000000001</v>
      </c>
      <c r="S40" s="61">
        <v>122.03999999999999</v>
      </c>
      <c r="T40" s="61">
        <v>0</v>
      </c>
      <c r="U40" s="61">
        <v>0</v>
      </c>
      <c r="V40" s="61">
        <v>364.79228152380949</v>
      </c>
      <c r="W40" s="61">
        <v>1021.4183882666665</v>
      </c>
      <c r="X40" s="61">
        <v>204.28367765333331</v>
      </c>
      <c r="Y40" s="61">
        <v>817.13471061333325</v>
      </c>
      <c r="Z40" s="61">
        <v>5107.0919413333322</v>
      </c>
      <c r="AA40" s="59">
        <v>4085.6735530666665</v>
      </c>
    </row>
    <row r="41" spans="1:27" s="58" customFormat="1" x14ac:dyDescent="0.3">
      <c r="A41" s="59" t="s">
        <v>1466</v>
      </c>
      <c r="B41" s="59">
        <v>0</v>
      </c>
      <c r="C41" s="59">
        <v>0</v>
      </c>
      <c r="D41" s="59" t="s">
        <v>1465</v>
      </c>
      <c r="E41" s="59">
        <v>9.85</v>
      </c>
      <c r="F41" s="59">
        <v>1</v>
      </c>
      <c r="G41" s="60">
        <v>316.52</v>
      </c>
      <c r="H41" s="60" t="s">
        <v>27</v>
      </c>
      <c r="I41" s="60">
        <v>0</v>
      </c>
      <c r="J41" s="60">
        <v>0</v>
      </c>
      <c r="K41" s="60">
        <v>0</v>
      </c>
      <c r="L41" s="60">
        <v>0</v>
      </c>
      <c r="M41" s="60">
        <v>0</v>
      </c>
      <c r="N41" s="60">
        <v>0</v>
      </c>
      <c r="O41" s="59">
        <v>316.52</v>
      </c>
      <c r="P41" s="59">
        <v>316.52</v>
      </c>
      <c r="Q41" s="61">
        <v>19172.068571428568</v>
      </c>
      <c r="R41" s="61">
        <v>1127.6279999999999</v>
      </c>
      <c r="S41" s="61">
        <v>6678.3</v>
      </c>
      <c r="T41" s="61">
        <v>0</v>
      </c>
      <c r="U41" s="61">
        <v>0</v>
      </c>
      <c r="V41" s="61">
        <v>26977.996571428568</v>
      </c>
      <c r="W41" s="61">
        <v>75538.390399999989</v>
      </c>
      <c r="X41" s="61">
        <v>15107.678079999998</v>
      </c>
      <c r="Y41" s="61">
        <v>60430.712319999991</v>
      </c>
      <c r="Z41" s="61">
        <v>75538.390399999989</v>
      </c>
      <c r="AA41" s="59">
        <v>60430.712319999991</v>
      </c>
    </row>
    <row r="42" spans="1:27" s="58" customFormat="1" x14ac:dyDescent="0.3">
      <c r="A42" s="59" t="s">
        <v>1457</v>
      </c>
      <c r="B42" s="59">
        <v>0</v>
      </c>
      <c r="C42" s="59">
        <v>3115209732</v>
      </c>
      <c r="D42" s="59" t="s">
        <v>1456</v>
      </c>
      <c r="E42" s="59">
        <v>0.45</v>
      </c>
      <c r="F42" s="59">
        <v>1</v>
      </c>
      <c r="G42" s="60">
        <v>5.27</v>
      </c>
      <c r="H42" s="60" t="s">
        <v>28</v>
      </c>
      <c r="I42" s="60">
        <v>0</v>
      </c>
      <c r="J42" s="60">
        <v>0</v>
      </c>
      <c r="K42" s="60">
        <v>0</v>
      </c>
      <c r="L42" s="60">
        <v>0</v>
      </c>
      <c r="M42" s="60">
        <v>0</v>
      </c>
      <c r="N42" s="60">
        <v>0</v>
      </c>
      <c r="O42" s="59">
        <v>5.27</v>
      </c>
      <c r="P42" s="59">
        <v>5.27</v>
      </c>
      <c r="Q42" s="61">
        <v>331.88351999999998</v>
      </c>
      <c r="R42" s="61">
        <v>51.516000000000005</v>
      </c>
      <c r="S42" s="61">
        <v>305.10000000000002</v>
      </c>
      <c r="T42" s="61">
        <v>0</v>
      </c>
      <c r="U42" s="61">
        <v>0</v>
      </c>
      <c r="V42" s="61">
        <v>688.49952000000008</v>
      </c>
      <c r="W42" s="61">
        <v>1927.7986560000002</v>
      </c>
      <c r="X42" s="61">
        <v>385.55973120000004</v>
      </c>
      <c r="Y42" s="61">
        <v>1542.2389248000002</v>
      </c>
      <c r="Z42" s="61">
        <v>1927.7986560000002</v>
      </c>
      <c r="AA42" s="59">
        <v>1542.2389248000002</v>
      </c>
    </row>
    <row r="43" spans="1:27" s="58" customFormat="1" ht="28.8" x14ac:dyDescent="0.3">
      <c r="A43" s="59" t="s">
        <v>1448</v>
      </c>
      <c r="B43" s="59">
        <v>0</v>
      </c>
      <c r="C43" s="59">
        <v>3108065910</v>
      </c>
      <c r="D43" s="59" t="s">
        <v>256</v>
      </c>
      <c r="E43" s="59">
        <v>7.9722222222222223</v>
      </c>
      <c r="F43" s="59">
        <v>3</v>
      </c>
      <c r="G43" s="60">
        <v>144.11333333333332</v>
      </c>
      <c r="H43" s="60" t="s">
        <v>151</v>
      </c>
      <c r="I43" s="60">
        <v>0.55333333333333334</v>
      </c>
      <c r="J43" s="60" t="s">
        <v>157</v>
      </c>
      <c r="K43" s="60">
        <v>13.313333333333333</v>
      </c>
      <c r="L43" s="60" t="s">
        <v>28</v>
      </c>
      <c r="M43" s="60">
        <v>0</v>
      </c>
      <c r="N43" s="60">
        <v>0</v>
      </c>
      <c r="O43" s="59">
        <v>157.97999999999999</v>
      </c>
      <c r="P43" s="59">
        <v>473.93999999999994</v>
      </c>
      <c r="Q43" s="61">
        <v>10241.753813333333</v>
      </c>
      <c r="R43" s="61">
        <v>912.66000000000008</v>
      </c>
      <c r="S43" s="61">
        <v>5405.166666666667</v>
      </c>
      <c r="T43" s="61">
        <v>0</v>
      </c>
      <c r="U43" s="61">
        <v>0</v>
      </c>
      <c r="V43" s="61">
        <v>16559.580480000001</v>
      </c>
      <c r="W43" s="61">
        <v>46366.825343999997</v>
      </c>
      <c r="X43" s="61">
        <v>9273.3650687999998</v>
      </c>
      <c r="Y43" s="61">
        <v>37093.460275199999</v>
      </c>
      <c r="Z43" s="61">
        <v>139100.47603199998</v>
      </c>
      <c r="AA43" s="59">
        <v>111280.3808256</v>
      </c>
    </row>
    <row r="44" spans="1:27" s="58" customFormat="1" x14ac:dyDescent="0.3">
      <c r="A44" s="59" t="s">
        <v>1286</v>
      </c>
      <c r="B44" s="59">
        <v>0</v>
      </c>
      <c r="C44" s="59">
        <v>0</v>
      </c>
      <c r="D44" s="59" t="s">
        <v>255</v>
      </c>
      <c r="E44" s="59">
        <v>0.34333333333333332</v>
      </c>
      <c r="F44" s="59">
        <v>10</v>
      </c>
      <c r="G44" s="60">
        <v>0.96099999999999997</v>
      </c>
      <c r="H44" s="60" t="s">
        <v>29</v>
      </c>
      <c r="I44" s="60">
        <v>2.323</v>
      </c>
      <c r="J44" s="60" t="s">
        <v>155</v>
      </c>
      <c r="K44" s="60">
        <v>0</v>
      </c>
      <c r="L44" s="60">
        <v>0</v>
      </c>
      <c r="M44" s="60">
        <v>0</v>
      </c>
      <c r="N44" s="60">
        <v>0</v>
      </c>
      <c r="O44" s="59">
        <v>3.2839999999999998</v>
      </c>
      <c r="P44" s="59">
        <v>32.839999999999996</v>
      </c>
      <c r="Q44" s="61">
        <v>214.68367333333333</v>
      </c>
      <c r="R44" s="61">
        <v>39.3048</v>
      </c>
      <c r="S44" s="61">
        <v>232.78</v>
      </c>
      <c r="T44" s="61">
        <v>0</v>
      </c>
      <c r="U44" s="61">
        <v>0</v>
      </c>
      <c r="V44" s="61">
        <v>486.7684733333333</v>
      </c>
      <c r="W44" s="61">
        <v>1362.9517253333331</v>
      </c>
      <c r="X44" s="61">
        <v>272.59034506666666</v>
      </c>
      <c r="Y44" s="61">
        <v>1090.3613802666664</v>
      </c>
      <c r="Z44" s="61">
        <v>13629.517253333332</v>
      </c>
      <c r="AA44" s="59">
        <v>10903.613802666663</v>
      </c>
    </row>
    <row r="45" spans="1:27" s="58" customFormat="1" ht="28.8" x14ac:dyDescent="0.3">
      <c r="A45" s="59" t="s">
        <v>1434</v>
      </c>
      <c r="B45" s="59">
        <v>0</v>
      </c>
      <c r="C45" s="59">
        <v>0</v>
      </c>
      <c r="D45" s="59" t="s">
        <v>251</v>
      </c>
      <c r="E45" s="59">
        <v>4.6833333333333336</v>
      </c>
      <c r="F45" s="59">
        <v>1</v>
      </c>
      <c r="G45" s="60">
        <v>115.42</v>
      </c>
      <c r="H45" s="60" t="s">
        <v>27</v>
      </c>
      <c r="I45" s="60">
        <v>0</v>
      </c>
      <c r="J45" s="60">
        <v>0</v>
      </c>
      <c r="K45" s="60">
        <v>0</v>
      </c>
      <c r="L45" s="60">
        <v>0</v>
      </c>
      <c r="M45" s="60">
        <v>0</v>
      </c>
      <c r="N45" s="60">
        <v>0</v>
      </c>
      <c r="O45" s="59">
        <v>115.42</v>
      </c>
      <c r="P45" s="59">
        <v>115.42</v>
      </c>
      <c r="Q45" s="61">
        <v>6991.1542857142858</v>
      </c>
      <c r="R45" s="61">
        <v>536.14800000000002</v>
      </c>
      <c r="S45" s="61">
        <v>3175.3</v>
      </c>
      <c r="T45" s="61">
        <v>0</v>
      </c>
      <c r="U45" s="61">
        <v>0</v>
      </c>
      <c r="V45" s="61">
        <v>10702.602285714285</v>
      </c>
      <c r="W45" s="61">
        <v>29967.286399999997</v>
      </c>
      <c r="X45" s="61">
        <v>5993.4572799999996</v>
      </c>
      <c r="Y45" s="61">
        <v>23973.829119999999</v>
      </c>
      <c r="Z45" s="61">
        <v>29967.286399999997</v>
      </c>
      <c r="AA45" s="59">
        <v>23973.829119999999</v>
      </c>
    </row>
    <row r="46" spans="1:27" s="58" customFormat="1" ht="28.8" x14ac:dyDescent="0.3">
      <c r="A46" s="59" t="s">
        <v>472</v>
      </c>
      <c r="B46" s="59">
        <v>0</v>
      </c>
      <c r="C46" s="59">
        <v>0</v>
      </c>
      <c r="D46" s="59" t="s">
        <v>253</v>
      </c>
      <c r="E46" s="59">
        <v>6.85</v>
      </c>
      <c r="F46" s="59">
        <v>1</v>
      </c>
      <c r="G46" s="60">
        <v>133.72</v>
      </c>
      <c r="H46" s="60" t="s">
        <v>27</v>
      </c>
      <c r="I46" s="60">
        <v>18.78</v>
      </c>
      <c r="J46" s="60" t="s">
        <v>28</v>
      </c>
      <c r="K46" s="60">
        <v>0.7</v>
      </c>
      <c r="L46" s="60" t="s">
        <v>155</v>
      </c>
      <c r="M46" s="60">
        <v>5.96</v>
      </c>
      <c r="N46" s="60" t="s">
        <v>158</v>
      </c>
      <c r="O46" s="59">
        <v>159.16</v>
      </c>
      <c r="P46" s="59">
        <v>159.16</v>
      </c>
      <c r="Q46" s="61">
        <v>9923.8007085714289</v>
      </c>
      <c r="R46" s="61">
        <v>784.18799999999999</v>
      </c>
      <c r="S46" s="61">
        <v>4644.3</v>
      </c>
      <c r="T46" s="61">
        <v>0</v>
      </c>
      <c r="U46" s="61">
        <v>0</v>
      </c>
      <c r="V46" s="61">
        <v>15352.288708571428</v>
      </c>
      <c r="W46" s="61">
        <v>42986.408383999995</v>
      </c>
      <c r="X46" s="61">
        <v>8597.2816767999993</v>
      </c>
      <c r="Y46" s="61">
        <v>34389.126707199997</v>
      </c>
      <c r="Z46" s="61">
        <v>42986.408383999995</v>
      </c>
      <c r="AA46" s="59">
        <v>34389.126707199997</v>
      </c>
    </row>
    <row r="47" spans="1:27" s="58" customFormat="1" ht="28.8" x14ac:dyDescent="0.3">
      <c r="A47" s="59" t="s">
        <v>472</v>
      </c>
      <c r="B47" s="59">
        <v>0</v>
      </c>
      <c r="C47" s="59">
        <v>0</v>
      </c>
      <c r="D47" s="59" t="s">
        <v>253</v>
      </c>
      <c r="E47" s="59">
        <v>7.0916666666666668</v>
      </c>
      <c r="F47" s="59">
        <v>2</v>
      </c>
      <c r="G47" s="60">
        <v>132.70500000000001</v>
      </c>
      <c r="H47" s="60" t="s">
        <v>27</v>
      </c>
      <c r="I47" s="60">
        <v>8.91</v>
      </c>
      <c r="J47" s="60" t="s">
        <v>28</v>
      </c>
      <c r="K47" s="60">
        <v>0.5</v>
      </c>
      <c r="L47" s="60" t="s">
        <v>155</v>
      </c>
      <c r="M47" s="60">
        <v>5.51</v>
      </c>
      <c r="N47" s="60" t="s">
        <v>158</v>
      </c>
      <c r="O47" s="59">
        <v>147.625</v>
      </c>
      <c r="P47" s="59">
        <v>295.25</v>
      </c>
      <c r="Q47" s="61">
        <v>9182.7475885714284</v>
      </c>
      <c r="R47" s="61">
        <v>811.85400000000004</v>
      </c>
      <c r="S47" s="61">
        <v>4808.1499999999996</v>
      </c>
      <c r="T47" s="61">
        <v>0</v>
      </c>
      <c r="U47" s="61">
        <v>0</v>
      </c>
      <c r="V47" s="61">
        <v>14802.751588571427</v>
      </c>
      <c r="W47" s="61">
        <v>41447.704447999997</v>
      </c>
      <c r="X47" s="61">
        <v>8289.540889599999</v>
      </c>
      <c r="Y47" s="61">
        <v>33158.163558399996</v>
      </c>
      <c r="Z47" s="61">
        <v>82895.408895999994</v>
      </c>
      <c r="AA47" s="59">
        <v>66316.327116799992</v>
      </c>
    </row>
    <row r="48" spans="1:27" s="58" customFormat="1" ht="28.8" x14ac:dyDescent="0.3">
      <c r="A48" s="59" t="s">
        <v>472</v>
      </c>
      <c r="B48" s="59">
        <v>0</v>
      </c>
      <c r="C48" s="59">
        <v>0</v>
      </c>
      <c r="D48" s="59" t="s">
        <v>252</v>
      </c>
      <c r="E48" s="59">
        <v>7.0083333333333337</v>
      </c>
      <c r="F48" s="59">
        <v>2</v>
      </c>
      <c r="G48" s="60">
        <v>132.70500000000001</v>
      </c>
      <c r="H48" s="60" t="s">
        <v>28</v>
      </c>
      <c r="I48" s="60">
        <v>8.91</v>
      </c>
      <c r="J48" s="60" t="s">
        <v>27</v>
      </c>
      <c r="K48" s="60">
        <v>0.5</v>
      </c>
      <c r="L48" s="60" t="s">
        <v>155</v>
      </c>
      <c r="M48" s="60">
        <v>5.51</v>
      </c>
      <c r="N48" s="60" t="s">
        <v>158</v>
      </c>
      <c r="O48" s="59">
        <v>147.625</v>
      </c>
      <c r="P48" s="59">
        <v>295.25</v>
      </c>
      <c r="Q48" s="61">
        <v>9480.4215085714295</v>
      </c>
      <c r="R48" s="61">
        <v>802.31400000000008</v>
      </c>
      <c r="S48" s="61">
        <v>4751.6500000000005</v>
      </c>
      <c r="T48" s="61">
        <v>0</v>
      </c>
      <c r="U48" s="61">
        <v>0</v>
      </c>
      <c r="V48" s="61">
        <v>15034.385508571431</v>
      </c>
      <c r="W48" s="61">
        <v>42096.279424000008</v>
      </c>
      <c r="X48" s="61">
        <v>8419.2558848000026</v>
      </c>
      <c r="Y48" s="61">
        <v>33677.023539200003</v>
      </c>
      <c r="Z48" s="61">
        <v>84192.558848000015</v>
      </c>
      <c r="AA48" s="59">
        <v>67354.047078400006</v>
      </c>
    </row>
    <row r="49" spans="1:27" s="58" customFormat="1" ht="28.8" x14ac:dyDescent="0.3">
      <c r="A49" s="59" t="s">
        <v>1416</v>
      </c>
      <c r="B49" s="59">
        <v>0</v>
      </c>
      <c r="C49" s="59">
        <v>0</v>
      </c>
      <c r="D49" s="59" t="s">
        <v>251</v>
      </c>
      <c r="E49" s="59">
        <v>5.4333333333333336</v>
      </c>
      <c r="F49" s="59">
        <v>1</v>
      </c>
      <c r="G49" s="60">
        <v>116</v>
      </c>
      <c r="H49" s="60" t="s">
        <v>27</v>
      </c>
      <c r="I49" s="60">
        <v>0</v>
      </c>
      <c r="J49" s="60">
        <v>0</v>
      </c>
      <c r="K49" s="60">
        <v>0</v>
      </c>
      <c r="L49" s="60">
        <v>0</v>
      </c>
      <c r="M49" s="60">
        <v>0</v>
      </c>
      <c r="N49" s="60">
        <v>0</v>
      </c>
      <c r="O49" s="59">
        <v>116</v>
      </c>
      <c r="P49" s="59">
        <v>116</v>
      </c>
      <c r="Q49" s="61">
        <v>7026.2857142857138</v>
      </c>
      <c r="R49" s="61">
        <v>622.00800000000004</v>
      </c>
      <c r="S49" s="61">
        <v>3683.8</v>
      </c>
      <c r="T49" s="61">
        <v>0</v>
      </c>
      <c r="U49" s="61">
        <v>0</v>
      </c>
      <c r="V49" s="61">
        <v>11332.093714285715</v>
      </c>
      <c r="W49" s="61">
        <v>31729.862399999998</v>
      </c>
      <c r="X49" s="61">
        <v>6345.9724800000004</v>
      </c>
      <c r="Y49" s="61">
        <v>25383.889919999998</v>
      </c>
      <c r="Z49" s="61">
        <v>31729.862399999998</v>
      </c>
      <c r="AA49" s="59">
        <v>25383.889919999998</v>
      </c>
    </row>
    <row r="50" spans="1:27" s="58" customFormat="1" ht="28.8" x14ac:dyDescent="0.3">
      <c r="A50" s="59" t="s">
        <v>1416</v>
      </c>
      <c r="B50" s="59">
        <v>0</v>
      </c>
      <c r="C50" s="59">
        <v>0</v>
      </c>
      <c r="D50" s="59" t="s">
        <v>250</v>
      </c>
      <c r="E50" s="59">
        <v>5.6333333333333337</v>
      </c>
      <c r="F50" s="59">
        <v>1</v>
      </c>
      <c r="G50" s="60">
        <v>146.55000000000001</v>
      </c>
      <c r="H50" s="60" t="s">
        <v>28</v>
      </c>
      <c r="I50" s="60">
        <v>0</v>
      </c>
      <c r="J50" s="60">
        <v>0</v>
      </c>
      <c r="K50" s="60">
        <v>0</v>
      </c>
      <c r="L50" s="60">
        <v>0</v>
      </c>
      <c r="M50" s="60">
        <v>0</v>
      </c>
      <c r="N50" s="60">
        <v>0</v>
      </c>
      <c r="O50" s="59">
        <v>146.55000000000001</v>
      </c>
      <c r="P50" s="59">
        <v>146.55000000000001</v>
      </c>
      <c r="Q50" s="61">
        <v>9229.1328000000012</v>
      </c>
      <c r="R50" s="61">
        <v>644.90400000000011</v>
      </c>
      <c r="S50" s="61">
        <v>3819.4</v>
      </c>
      <c r="T50" s="61">
        <v>0</v>
      </c>
      <c r="U50" s="61">
        <v>0</v>
      </c>
      <c r="V50" s="61">
        <v>13693.436800000001</v>
      </c>
      <c r="W50" s="61">
        <v>38341.623039999999</v>
      </c>
      <c r="X50" s="61">
        <v>7668.3246079999999</v>
      </c>
      <c r="Y50" s="61">
        <v>30673.298432</v>
      </c>
      <c r="Z50" s="61">
        <v>38341.623039999999</v>
      </c>
      <c r="AA50" s="59">
        <v>30673.298432</v>
      </c>
    </row>
    <row r="51" spans="1:27" s="58" customFormat="1" x14ac:dyDescent="0.3">
      <c r="A51" s="59"/>
      <c r="B51" s="59"/>
      <c r="C51" s="59"/>
      <c r="D51" s="59"/>
      <c r="E51" s="59"/>
      <c r="F51" s="59"/>
      <c r="G51" s="60"/>
      <c r="H51" s="60"/>
      <c r="I51" s="60"/>
      <c r="J51" s="60"/>
      <c r="K51" s="60"/>
      <c r="L51" s="60"/>
      <c r="M51" s="60"/>
      <c r="N51" s="60"/>
      <c r="O51" s="59"/>
      <c r="P51" s="59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59"/>
    </row>
    <row r="52" spans="1:27" s="58" customFormat="1" x14ac:dyDescent="0.3">
      <c r="A52" s="59"/>
      <c r="B52" s="59"/>
      <c r="C52" s="59"/>
      <c r="D52" s="59"/>
      <c r="E52" s="59"/>
      <c r="F52" s="59"/>
      <c r="G52" s="60"/>
      <c r="H52" s="60"/>
      <c r="I52" s="60"/>
      <c r="J52" s="60"/>
      <c r="K52" s="60"/>
      <c r="L52" s="60"/>
      <c r="M52" s="60"/>
      <c r="N52" s="60"/>
      <c r="O52" s="59"/>
      <c r="P52" s="59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59"/>
    </row>
    <row r="53" spans="1:27" s="58" customFormat="1" x14ac:dyDescent="0.3">
      <c r="A53" s="59"/>
      <c r="B53" s="59"/>
      <c r="C53" s="59"/>
      <c r="D53" s="59"/>
      <c r="E53" s="59"/>
      <c r="F53" s="59"/>
      <c r="G53" s="60"/>
      <c r="H53" s="60"/>
      <c r="I53" s="60"/>
      <c r="J53" s="60"/>
      <c r="K53" s="60"/>
      <c r="L53" s="60"/>
      <c r="M53" s="60"/>
      <c r="N53" s="60"/>
      <c r="O53" s="59"/>
      <c r="P53" s="59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59"/>
    </row>
    <row r="54" spans="1:27" s="58" customFormat="1" x14ac:dyDescent="0.3">
      <c r="A54" s="59"/>
      <c r="B54" s="59"/>
      <c r="C54" s="59"/>
      <c r="D54" s="59"/>
      <c r="E54" s="59"/>
      <c r="F54" s="59"/>
      <c r="G54" s="60"/>
      <c r="H54" s="60"/>
      <c r="I54" s="60"/>
      <c r="J54" s="60"/>
      <c r="K54" s="60"/>
      <c r="L54" s="60"/>
      <c r="M54" s="60"/>
      <c r="N54" s="60"/>
      <c r="O54" s="59"/>
      <c r="P54" s="59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59"/>
    </row>
    <row r="55" spans="1:27" s="58" customFormat="1" x14ac:dyDescent="0.3">
      <c r="A55" s="59"/>
      <c r="B55" s="59"/>
      <c r="C55" s="59"/>
      <c r="D55" s="59"/>
      <c r="E55" s="59"/>
      <c r="F55" s="59"/>
      <c r="G55" s="60"/>
      <c r="H55" s="60"/>
      <c r="I55" s="60"/>
      <c r="J55" s="60"/>
      <c r="K55" s="60"/>
      <c r="L55" s="60"/>
      <c r="M55" s="60"/>
      <c r="N55" s="60"/>
      <c r="O55" s="59"/>
      <c r="P55" s="59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59"/>
    </row>
    <row r="56" spans="1:27" s="58" customFormat="1" x14ac:dyDescent="0.3">
      <c r="A56" s="59"/>
      <c r="B56" s="59"/>
      <c r="C56" s="59"/>
      <c r="D56" s="59"/>
      <c r="E56" s="59"/>
      <c r="F56" s="59"/>
      <c r="G56" s="60"/>
      <c r="H56" s="60"/>
      <c r="I56" s="60"/>
      <c r="J56" s="60"/>
      <c r="K56" s="60"/>
      <c r="L56" s="60"/>
      <c r="M56" s="60"/>
      <c r="N56" s="60"/>
      <c r="O56" s="59"/>
      <c r="P56" s="59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59"/>
    </row>
    <row r="57" spans="1:27" s="58" customFormat="1" x14ac:dyDescent="0.3">
      <c r="A57" s="59"/>
      <c r="B57" s="59"/>
      <c r="C57" s="59"/>
      <c r="D57" s="59"/>
      <c r="E57" s="59"/>
      <c r="F57" s="59"/>
      <c r="G57" s="60"/>
      <c r="H57" s="60"/>
      <c r="I57" s="60"/>
      <c r="J57" s="60"/>
      <c r="K57" s="60"/>
      <c r="L57" s="60"/>
      <c r="M57" s="60"/>
      <c r="N57" s="60"/>
      <c r="O57" s="59"/>
      <c r="P57" s="59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59"/>
    </row>
    <row r="58" spans="1:27" s="58" customFormat="1" x14ac:dyDescent="0.3">
      <c r="A58" s="59"/>
      <c r="B58" s="59"/>
      <c r="C58" s="59"/>
      <c r="D58" s="59"/>
      <c r="E58" s="59"/>
      <c r="F58" s="59"/>
      <c r="G58" s="60"/>
      <c r="H58" s="60"/>
      <c r="I58" s="60"/>
      <c r="J58" s="60"/>
      <c r="K58" s="60"/>
      <c r="L58" s="60"/>
      <c r="M58" s="60"/>
      <c r="N58" s="60"/>
      <c r="O58" s="59"/>
      <c r="P58" s="59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59"/>
    </row>
    <row r="59" spans="1:27" s="58" customFormat="1" x14ac:dyDescent="0.3">
      <c r="A59" s="59"/>
      <c r="B59" s="59"/>
      <c r="C59" s="59"/>
      <c r="D59" s="59"/>
      <c r="E59" s="59"/>
      <c r="F59" s="59"/>
      <c r="G59" s="60"/>
      <c r="H59" s="60"/>
      <c r="I59" s="60"/>
      <c r="J59" s="60"/>
      <c r="K59" s="60"/>
      <c r="L59" s="60"/>
      <c r="M59" s="60"/>
      <c r="N59" s="60"/>
      <c r="O59" s="59"/>
      <c r="P59" s="59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59"/>
    </row>
    <row r="60" spans="1:27" s="58" customFormat="1" x14ac:dyDescent="0.3">
      <c r="A60" s="59"/>
      <c r="B60" s="59"/>
      <c r="C60" s="59"/>
      <c r="D60" s="59"/>
      <c r="E60" s="59"/>
      <c r="F60" s="59"/>
      <c r="G60" s="60"/>
      <c r="H60" s="60"/>
      <c r="I60" s="60"/>
      <c r="J60" s="60"/>
      <c r="K60" s="60"/>
      <c r="L60" s="60"/>
      <c r="M60" s="60"/>
      <c r="N60" s="60"/>
      <c r="O60" s="59"/>
      <c r="P60" s="59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59"/>
    </row>
    <row r="61" spans="1:27" s="58" customFormat="1" x14ac:dyDescent="0.3">
      <c r="A61" s="59"/>
      <c r="B61" s="59"/>
      <c r="C61" s="59"/>
      <c r="D61" s="59"/>
      <c r="E61" s="59"/>
      <c r="F61" s="59"/>
      <c r="G61" s="60"/>
      <c r="H61" s="60"/>
      <c r="I61" s="60"/>
      <c r="J61" s="60"/>
      <c r="K61" s="60"/>
      <c r="L61" s="60"/>
      <c r="M61" s="60"/>
      <c r="N61" s="60"/>
      <c r="O61" s="59"/>
      <c r="P61" s="59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59"/>
    </row>
    <row r="62" spans="1:27" s="58" customFormat="1" x14ac:dyDescent="0.3">
      <c r="A62" s="59"/>
      <c r="B62" s="59"/>
      <c r="C62" s="59"/>
      <c r="D62" s="59"/>
      <c r="E62" s="59"/>
      <c r="F62" s="59"/>
      <c r="G62" s="60"/>
      <c r="H62" s="60"/>
      <c r="I62" s="60"/>
      <c r="J62" s="60"/>
      <c r="K62" s="60"/>
      <c r="L62" s="60"/>
      <c r="M62" s="60"/>
      <c r="N62" s="60"/>
      <c r="O62" s="59"/>
      <c r="P62" s="59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59"/>
    </row>
    <row r="63" spans="1:27" s="58" customFormat="1" x14ac:dyDescent="0.3">
      <c r="A63" s="59"/>
      <c r="B63" s="59"/>
      <c r="C63" s="59"/>
      <c r="D63" s="59"/>
      <c r="E63" s="59"/>
      <c r="F63" s="59"/>
      <c r="G63" s="60"/>
      <c r="H63" s="60"/>
      <c r="I63" s="60"/>
      <c r="J63" s="60"/>
      <c r="K63" s="60"/>
      <c r="L63" s="60"/>
      <c r="M63" s="60"/>
      <c r="N63" s="60"/>
      <c r="O63" s="59"/>
      <c r="P63" s="59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59"/>
    </row>
    <row r="64" spans="1:27" s="58" customFormat="1" x14ac:dyDescent="0.3">
      <c r="A64" s="59"/>
      <c r="B64" s="59"/>
      <c r="C64" s="59"/>
      <c r="D64" s="59"/>
      <c r="E64" s="59"/>
      <c r="F64" s="59"/>
      <c r="G64" s="60"/>
      <c r="H64" s="60"/>
      <c r="I64" s="60"/>
      <c r="J64" s="60"/>
      <c r="K64" s="60"/>
      <c r="L64" s="60"/>
      <c r="M64" s="60"/>
      <c r="N64" s="60"/>
      <c r="O64" s="59"/>
      <c r="P64" s="59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59"/>
    </row>
    <row r="65" spans="1:27" s="58" customFormat="1" x14ac:dyDescent="0.3">
      <c r="A65" s="59"/>
      <c r="B65" s="59"/>
      <c r="C65" s="59"/>
      <c r="D65" s="59"/>
      <c r="E65" s="59"/>
      <c r="F65" s="59"/>
      <c r="G65" s="60"/>
      <c r="H65" s="60"/>
      <c r="I65" s="60"/>
      <c r="J65" s="60"/>
      <c r="K65" s="60"/>
      <c r="L65" s="60"/>
      <c r="M65" s="60"/>
      <c r="N65" s="60"/>
      <c r="O65" s="59"/>
      <c r="P65" s="59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59"/>
    </row>
    <row r="66" spans="1:27" s="58" customFormat="1" x14ac:dyDescent="0.3">
      <c r="A66" s="59"/>
      <c r="B66" s="59"/>
      <c r="C66" s="59"/>
      <c r="D66" s="59"/>
      <c r="E66" s="59"/>
      <c r="F66" s="59"/>
      <c r="G66" s="60"/>
      <c r="H66" s="60"/>
      <c r="I66" s="60"/>
      <c r="J66" s="60"/>
      <c r="K66" s="60"/>
      <c r="L66" s="60"/>
      <c r="M66" s="60"/>
      <c r="N66" s="60"/>
      <c r="O66" s="59"/>
      <c r="P66" s="59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59"/>
    </row>
    <row r="67" spans="1:27" s="58" customFormat="1" x14ac:dyDescent="0.3">
      <c r="A67" s="59"/>
      <c r="B67" s="59"/>
      <c r="C67" s="59"/>
      <c r="D67" s="59"/>
      <c r="E67" s="59"/>
      <c r="F67" s="59"/>
      <c r="G67" s="60"/>
      <c r="H67" s="60"/>
      <c r="I67" s="60"/>
      <c r="J67" s="60"/>
      <c r="K67" s="60"/>
      <c r="L67" s="60"/>
      <c r="M67" s="60"/>
      <c r="N67" s="60"/>
      <c r="O67" s="59"/>
      <c r="P67" s="59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59"/>
    </row>
    <row r="68" spans="1:27" s="58" customFormat="1" x14ac:dyDescent="0.3">
      <c r="A68" s="59"/>
      <c r="B68" s="59"/>
      <c r="C68" s="59"/>
      <c r="D68" s="59"/>
      <c r="E68" s="59"/>
      <c r="F68" s="59"/>
      <c r="G68" s="60"/>
      <c r="H68" s="60"/>
      <c r="I68" s="60"/>
      <c r="J68" s="60"/>
      <c r="K68" s="60"/>
      <c r="L68" s="60"/>
      <c r="M68" s="60"/>
      <c r="N68" s="60"/>
      <c r="O68" s="59"/>
      <c r="P68" s="59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59"/>
    </row>
    <row r="69" spans="1:27" s="58" customFormat="1" x14ac:dyDescent="0.3">
      <c r="A69" s="59"/>
      <c r="B69" s="59"/>
      <c r="C69" s="59"/>
      <c r="D69" s="59"/>
      <c r="E69" s="59"/>
      <c r="F69" s="59"/>
      <c r="G69" s="60"/>
      <c r="H69" s="60"/>
      <c r="I69" s="60"/>
      <c r="J69" s="60"/>
      <c r="K69" s="60"/>
      <c r="L69" s="60"/>
      <c r="M69" s="60"/>
      <c r="N69" s="60"/>
      <c r="O69" s="59"/>
      <c r="P69" s="59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59"/>
    </row>
    <row r="70" spans="1:27" s="58" customFormat="1" x14ac:dyDescent="0.3">
      <c r="A70" s="59"/>
      <c r="B70" s="59"/>
      <c r="C70" s="59"/>
      <c r="D70" s="59"/>
      <c r="E70" s="59"/>
      <c r="F70" s="59"/>
      <c r="G70" s="60"/>
      <c r="H70" s="60"/>
      <c r="I70" s="60"/>
      <c r="J70" s="60"/>
      <c r="K70" s="60"/>
      <c r="L70" s="60"/>
      <c r="M70" s="60"/>
      <c r="N70" s="60"/>
      <c r="O70" s="59"/>
      <c r="P70" s="59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59"/>
    </row>
    <row r="71" spans="1:27" s="58" customFormat="1" x14ac:dyDescent="0.3">
      <c r="A71" s="59"/>
      <c r="B71" s="59"/>
      <c r="C71" s="59"/>
      <c r="D71" s="59"/>
      <c r="E71" s="59"/>
      <c r="F71" s="59"/>
      <c r="G71" s="60"/>
      <c r="H71" s="60"/>
      <c r="I71" s="60"/>
      <c r="J71" s="60"/>
      <c r="K71" s="60"/>
      <c r="L71" s="60"/>
      <c r="M71" s="60"/>
      <c r="N71" s="60"/>
      <c r="O71" s="59"/>
      <c r="P71" s="59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59"/>
    </row>
    <row r="72" spans="1:27" s="58" customFormat="1" x14ac:dyDescent="0.3">
      <c r="A72" s="59"/>
      <c r="B72" s="59"/>
      <c r="C72" s="59"/>
      <c r="D72" s="59"/>
      <c r="E72" s="59"/>
      <c r="F72" s="59"/>
      <c r="G72" s="60"/>
      <c r="H72" s="60"/>
      <c r="I72" s="60"/>
      <c r="J72" s="60"/>
      <c r="K72" s="60"/>
      <c r="L72" s="60"/>
      <c r="M72" s="60"/>
      <c r="N72" s="60"/>
      <c r="O72" s="59"/>
      <c r="P72" s="59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59"/>
    </row>
    <row r="73" spans="1:27" s="58" customFormat="1" x14ac:dyDescent="0.3">
      <c r="A73" s="59"/>
      <c r="B73" s="59"/>
      <c r="C73" s="59"/>
      <c r="D73" s="59"/>
      <c r="E73" s="59"/>
      <c r="F73" s="59"/>
      <c r="G73" s="60"/>
      <c r="H73" s="60"/>
      <c r="I73" s="60"/>
      <c r="J73" s="60"/>
      <c r="K73" s="60"/>
      <c r="L73" s="60"/>
      <c r="M73" s="60"/>
      <c r="N73" s="60"/>
      <c r="O73" s="59"/>
      <c r="P73" s="59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59"/>
    </row>
    <row r="74" spans="1:27" s="58" customFormat="1" x14ac:dyDescent="0.3">
      <c r="A74" s="59"/>
      <c r="B74" s="59"/>
      <c r="C74" s="59"/>
      <c r="D74" s="59"/>
      <c r="E74" s="59"/>
      <c r="F74" s="59"/>
      <c r="G74" s="60"/>
      <c r="H74" s="60"/>
      <c r="I74" s="60"/>
      <c r="J74" s="60"/>
      <c r="K74" s="60"/>
      <c r="L74" s="60"/>
      <c r="M74" s="60"/>
      <c r="N74" s="60"/>
      <c r="O74" s="59"/>
      <c r="P74" s="59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59"/>
    </row>
    <row r="75" spans="1:27" s="58" customFormat="1" x14ac:dyDescent="0.3">
      <c r="A75" s="59"/>
      <c r="B75" s="59"/>
      <c r="C75" s="59"/>
      <c r="D75" s="59"/>
      <c r="E75" s="59"/>
      <c r="F75" s="59"/>
      <c r="G75" s="60"/>
      <c r="H75" s="60"/>
      <c r="I75" s="60"/>
      <c r="J75" s="60"/>
      <c r="K75" s="60"/>
      <c r="L75" s="60"/>
      <c r="M75" s="60"/>
      <c r="N75" s="60"/>
      <c r="O75" s="59"/>
      <c r="P75" s="59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59"/>
    </row>
    <row r="76" spans="1:27" s="58" customFormat="1" x14ac:dyDescent="0.3">
      <c r="A76" s="59"/>
      <c r="B76" s="59"/>
      <c r="C76" s="59"/>
      <c r="D76" s="59"/>
      <c r="E76" s="59"/>
      <c r="F76" s="59"/>
      <c r="G76" s="60"/>
      <c r="H76" s="60"/>
      <c r="I76" s="60"/>
      <c r="J76" s="60"/>
      <c r="K76" s="60"/>
      <c r="L76" s="60"/>
      <c r="M76" s="60"/>
      <c r="N76" s="60"/>
      <c r="O76" s="59"/>
      <c r="P76" s="59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59"/>
    </row>
    <row r="77" spans="1:27" s="58" customFormat="1" x14ac:dyDescent="0.3">
      <c r="A77" s="59"/>
      <c r="B77" s="59"/>
      <c r="C77" s="59"/>
      <c r="D77" s="59"/>
      <c r="E77" s="59"/>
      <c r="F77" s="59"/>
      <c r="G77" s="60"/>
      <c r="H77" s="60"/>
      <c r="I77" s="60"/>
      <c r="J77" s="60"/>
      <c r="K77" s="60"/>
      <c r="L77" s="60"/>
      <c r="M77" s="60"/>
      <c r="N77" s="60"/>
      <c r="O77" s="59"/>
      <c r="P77" s="59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59"/>
    </row>
    <row r="78" spans="1:27" s="58" customFormat="1" x14ac:dyDescent="0.3">
      <c r="A78" s="59"/>
      <c r="B78" s="59"/>
      <c r="C78" s="59"/>
      <c r="D78" s="59"/>
      <c r="E78" s="59"/>
      <c r="F78" s="59"/>
      <c r="G78" s="60"/>
      <c r="H78" s="60"/>
      <c r="I78" s="60"/>
      <c r="J78" s="60"/>
      <c r="K78" s="60"/>
      <c r="L78" s="60"/>
      <c r="M78" s="60"/>
      <c r="N78" s="60"/>
      <c r="O78" s="59"/>
      <c r="P78" s="59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59"/>
    </row>
    <row r="79" spans="1:27" s="58" customFormat="1" x14ac:dyDescent="0.3">
      <c r="A79" s="59"/>
      <c r="B79" s="59"/>
      <c r="C79" s="59"/>
      <c r="D79" s="59"/>
      <c r="E79" s="59"/>
      <c r="F79" s="59"/>
      <c r="G79" s="60"/>
      <c r="H79" s="60"/>
      <c r="I79" s="60"/>
      <c r="J79" s="60"/>
      <c r="K79" s="60"/>
      <c r="L79" s="60"/>
      <c r="M79" s="60"/>
      <c r="N79" s="60"/>
      <c r="O79" s="59"/>
      <c r="P79" s="59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59"/>
    </row>
    <row r="80" spans="1:27" s="58" customFormat="1" x14ac:dyDescent="0.3">
      <c r="A80" s="59"/>
      <c r="B80" s="59"/>
      <c r="C80" s="59"/>
      <c r="D80" s="59"/>
      <c r="E80" s="59"/>
      <c r="F80" s="59"/>
      <c r="G80" s="60"/>
      <c r="H80" s="60"/>
      <c r="I80" s="60"/>
      <c r="J80" s="60"/>
      <c r="K80" s="60"/>
      <c r="L80" s="60"/>
      <c r="M80" s="60"/>
      <c r="N80" s="60"/>
      <c r="O80" s="59"/>
      <c r="P80" s="59"/>
      <c r="Q80" s="61"/>
      <c r="R80" s="61"/>
      <c r="S80" s="61"/>
      <c r="T80" s="61"/>
      <c r="U80" s="61"/>
      <c r="V80" s="61"/>
      <c r="W80" s="61"/>
      <c r="X80" s="61"/>
      <c r="Y80" s="61"/>
      <c r="Z80" s="61"/>
    </row>
    <row r="81" spans="1:26" s="58" customFormat="1" x14ac:dyDescent="0.3">
      <c r="A81" s="59"/>
      <c r="B81" s="59"/>
      <c r="C81" s="59"/>
      <c r="D81" s="59"/>
      <c r="E81" s="59"/>
      <c r="F81" s="59"/>
      <c r="G81" s="60"/>
      <c r="H81" s="60"/>
      <c r="I81" s="60"/>
      <c r="J81" s="60"/>
      <c r="K81" s="60"/>
      <c r="L81" s="60"/>
      <c r="M81" s="60"/>
      <c r="N81" s="60"/>
      <c r="O81" s="59"/>
      <c r="P81" s="59"/>
      <c r="Q81" s="61"/>
      <c r="R81" s="61"/>
      <c r="S81" s="61"/>
      <c r="T81" s="61"/>
      <c r="U81" s="61"/>
      <c r="V81" s="61"/>
      <c r="W81" s="61"/>
      <c r="X81" s="61"/>
      <c r="Y81" s="61"/>
      <c r="Z81" s="61"/>
    </row>
    <row r="82" spans="1:26" s="58" customFormat="1" x14ac:dyDescent="0.3">
      <c r="A82" s="59"/>
      <c r="B82" s="59"/>
      <c r="C82" s="59"/>
      <c r="D82" s="59"/>
      <c r="E82" s="59"/>
      <c r="F82" s="59"/>
      <c r="G82" s="60"/>
      <c r="H82" s="60"/>
      <c r="I82" s="60"/>
      <c r="J82" s="60"/>
      <c r="K82" s="60"/>
      <c r="L82" s="60"/>
      <c r="M82" s="60"/>
      <c r="N82" s="60"/>
      <c r="O82" s="59"/>
      <c r="P82" s="59"/>
      <c r="Q82" s="61"/>
      <c r="R82" s="61"/>
      <c r="S82" s="61"/>
      <c r="T82" s="61"/>
      <c r="U82" s="61"/>
      <c r="V82" s="61"/>
      <c r="W82" s="61"/>
      <c r="X82" s="61"/>
      <c r="Y82" s="61"/>
      <c r="Z82" s="61"/>
    </row>
    <row r="83" spans="1:26" s="58" customFormat="1" x14ac:dyDescent="0.3">
      <c r="A83" s="59"/>
      <c r="B83" s="59"/>
      <c r="C83" s="59"/>
      <c r="D83" s="59"/>
      <c r="E83" s="59"/>
      <c r="F83" s="59"/>
      <c r="G83" s="60"/>
      <c r="H83" s="60"/>
      <c r="I83" s="60"/>
      <c r="J83" s="60"/>
      <c r="K83" s="60"/>
      <c r="L83" s="60"/>
      <c r="M83" s="60"/>
      <c r="N83" s="60"/>
      <c r="O83" s="59"/>
      <c r="P83" s="59"/>
      <c r="Q83" s="61"/>
      <c r="R83" s="61"/>
      <c r="S83" s="61"/>
      <c r="T83" s="61"/>
      <c r="U83" s="61"/>
      <c r="V83" s="61"/>
      <c r="W83" s="61"/>
      <c r="X83" s="61"/>
      <c r="Y83" s="61"/>
      <c r="Z83" s="61"/>
    </row>
    <row r="84" spans="1:26" s="58" customFormat="1" x14ac:dyDescent="0.3">
      <c r="A84" s="59"/>
      <c r="B84" s="59"/>
      <c r="C84" s="59"/>
      <c r="D84" s="59"/>
      <c r="E84" s="59"/>
      <c r="F84" s="59"/>
      <c r="G84" s="60"/>
      <c r="H84" s="60"/>
      <c r="I84" s="60"/>
      <c r="J84" s="60"/>
      <c r="K84" s="60"/>
      <c r="L84" s="60"/>
      <c r="M84" s="60"/>
      <c r="N84" s="60"/>
      <c r="O84" s="59"/>
      <c r="P84" s="59"/>
      <c r="Q84" s="61"/>
      <c r="R84" s="61"/>
      <c r="S84" s="61"/>
      <c r="T84" s="61"/>
      <c r="U84" s="61"/>
      <c r="V84" s="61"/>
      <c r="W84" s="61"/>
      <c r="X84" s="61"/>
      <c r="Y84" s="61"/>
      <c r="Z84" s="61"/>
    </row>
    <row r="85" spans="1:26" s="58" customFormat="1" x14ac:dyDescent="0.3">
      <c r="A85" s="59"/>
      <c r="B85" s="59"/>
      <c r="C85" s="59"/>
      <c r="D85" s="59"/>
      <c r="E85" s="59"/>
      <c r="F85" s="59"/>
      <c r="G85" s="60"/>
      <c r="H85" s="60"/>
      <c r="I85" s="60"/>
      <c r="J85" s="60"/>
      <c r="K85" s="60"/>
      <c r="L85" s="60"/>
      <c r="M85" s="60"/>
      <c r="N85" s="60"/>
      <c r="O85" s="59"/>
      <c r="P85" s="59"/>
      <c r="Q85" s="61"/>
      <c r="R85" s="61"/>
      <c r="S85" s="61"/>
      <c r="T85" s="61"/>
      <c r="U85" s="61"/>
      <c r="V85" s="61"/>
      <c r="W85" s="61"/>
      <c r="X85" s="61"/>
      <c r="Y85" s="61"/>
      <c r="Z85" s="61"/>
    </row>
    <row r="86" spans="1:26" s="58" customFormat="1" x14ac:dyDescent="0.3">
      <c r="A86" s="59"/>
      <c r="B86" s="59"/>
      <c r="C86" s="59"/>
      <c r="D86" s="59"/>
      <c r="E86" s="59"/>
      <c r="F86" s="59"/>
      <c r="G86" s="60"/>
      <c r="H86" s="60"/>
      <c r="I86" s="60"/>
      <c r="J86" s="60"/>
      <c r="K86" s="60"/>
      <c r="L86" s="60"/>
      <c r="M86" s="60"/>
      <c r="N86" s="60"/>
      <c r="O86" s="59"/>
      <c r="P86" s="59"/>
      <c r="Q86" s="61"/>
      <c r="R86" s="61"/>
      <c r="S86" s="61"/>
      <c r="T86" s="61"/>
      <c r="U86" s="61"/>
      <c r="V86" s="61"/>
      <c r="W86" s="61"/>
      <c r="X86" s="61"/>
      <c r="Y86" s="61"/>
      <c r="Z86" s="61"/>
    </row>
    <row r="87" spans="1:26" s="58" customFormat="1" x14ac:dyDescent="0.3">
      <c r="A87" s="59"/>
      <c r="B87" s="59"/>
      <c r="C87" s="59"/>
      <c r="D87" s="59"/>
      <c r="E87" s="59"/>
      <c r="F87" s="59"/>
      <c r="G87" s="60"/>
      <c r="H87" s="60"/>
      <c r="I87" s="60"/>
      <c r="J87" s="60"/>
      <c r="K87" s="60"/>
      <c r="L87" s="60"/>
      <c r="M87" s="60"/>
      <c r="N87" s="60"/>
      <c r="O87" s="59"/>
      <c r="P87" s="59"/>
      <c r="Q87" s="61"/>
      <c r="R87" s="61"/>
      <c r="S87" s="61"/>
      <c r="T87" s="61"/>
      <c r="U87" s="61"/>
      <c r="V87" s="61"/>
      <c r="W87" s="61"/>
      <c r="X87" s="61"/>
      <c r="Y87" s="61"/>
      <c r="Z87" s="61"/>
    </row>
    <row r="88" spans="1:26" s="58" customFormat="1" x14ac:dyDescent="0.3">
      <c r="A88" s="59"/>
      <c r="B88" s="59"/>
      <c r="C88" s="59"/>
      <c r="D88" s="59"/>
      <c r="E88" s="59"/>
      <c r="F88" s="59"/>
      <c r="G88" s="60"/>
      <c r="H88" s="60"/>
      <c r="I88" s="60"/>
      <c r="J88" s="60"/>
      <c r="K88" s="60"/>
      <c r="L88" s="60"/>
      <c r="M88" s="60"/>
      <c r="N88" s="60"/>
      <c r="O88" s="59"/>
      <c r="P88" s="59"/>
      <c r="Q88" s="61"/>
      <c r="R88" s="61"/>
      <c r="S88" s="61"/>
      <c r="T88" s="61"/>
      <c r="U88" s="61"/>
      <c r="V88" s="61"/>
      <c r="W88" s="61"/>
      <c r="X88" s="61"/>
      <c r="Y88" s="61"/>
      <c r="Z88" s="61"/>
    </row>
    <row r="89" spans="1:26" s="58" customFormat="1" x14ac:dyDescent="0.3">
      <c r="A89" s="59"/>
      <c r="B89" s="59"/>
      <c r="C89" s="59"/>
      <c r="D89" s="59"/>
      <c r="E89" s="59"/>
      <c r="F89" s="59"/>
      <c r="G89" s="60"/>
      <c r="H89" s="60"/>
      <c r="I89" s="60"/>
      <c r="J89" s="60"/>
      <c r="K89" s="60"/>
      <c r="L89" s="60"/>
      <c r="M89" s="60"/>
      <c r="N89" s="60"/>
      <c r="O89" s="59"/>
      <c r="P89" s="59"/>
      <c r="Q89" s="61"/>
      <c r="R89" s="61"/>
      <c r="S89" s="61"/>
      <c r="T89" s="61"/>
      <c r="U89" s="61"/>
      <c r="V89" s="61"/>
      <c r="W89" s="61"/>
      <c r="X89" s="61"/>
      <c r="Y89" s="61"/>
      <c r="Z89" s="61"/>
    </row>
    <row r="90" spans="1:26" s="58" customFormat="1" x14ac:dyDescent="0.3">
      <c r="A90" s="59"/>
      <c r="B90" s="59"/>
      <c r="C90" s="59"/>
      <c r="D90" s="59"/>
      <c r="E90" s="59"/>
      <c r="F90" s="59"/>
      <c r="G90" s="60"/>
      <c r="H90" s="60"/>
      <c r="I90" s="60"/>
      <c r="J90" s="60"/>
      <c r="K90" s="60"/>
      <c r="L90" s="60"/>
      <c r="M90" s="60"/>
      <c r="N90" s="60"/>
      <c r="O90" s="59"/>
      <c r="P90" s="59"/>
      <c r="Q90" s="61"/>
      <c r="R90" s="61"/>
      <c r="S90" s="61"/>
      <c r="T90" s="61"/>
      <c r="U90" s="61"/>
      <c r="V90" s="61"/>
      <c r="W90" s="61"/>
      <c r="X90" s="61"/>
      <c r="Y90" s="61"/>
      <c r="Z90" s="61"/>
    </row>
    <row r="91" spans="1:26" s="58" customFormat="1" x14ac:dyDescent="0.3">
      <c r="A91" s="59"/>
      <c r="B91" s="59"/>
      <c r="C91" s="59"/>
      <c r="D91" s="59"/>
      <c r="E91" s="59"/>
      <c r="F91" s="59"/>
      <c r="G91" s="60"/>
      <c r="H91" s="60"/>
      <c r="I91" s="60"/>
      <c r="J91" s="60"/>
      <c r="K91" s="60"/>
      <c r="L91" s="60"/>
      <c r="M91" s="60"/>
      <c r="N91" s="60"/>
      <c r="O91" s="59"/>
      <c r="P91" s="59"/>
      <c r="Q91" s="61"/>
      <c r="R91" s="61"/>
      <c r="S91" s="61"/>
      <c r="T91" s="61"/>
      <c r="U91" s="61"/>
      <c r="V91" s="61"/>
      <c r="W91" s="61"/>
      <c r="X91" s="61"/>
      <c r="Y91" s="61"/>
      <c r="Z91" s="61"/>
    </row>
    <row r="92" spans="1:26" s="58" customFormat="1" x14ac:dyDescent="0.3">
      <c r="A92" s="59"/>
      <c r="B92" s="59"/>
      <c r="C92" s="59"/>
      <c r="D92" s="59"/>
      <c r="E92" s="59"/>
      <c r="F92" s="59"/>
      <c r="G92" s="60"/>
      <c r="H92" s="60"/>
      <c r="I92" s="60"/>
      <c r="J92" s="60"/>
      <c r="K92" s="60"/>
      <c r="L92" s="60"/>
      <c r="M92" s="60"/>
      <c r="N92" s="60"/>
      <c r="O92" s="59"/>
      <c r="P92" s="59"/>
      <c r="Q92" s="61"/>
      <c r="R92" s="61"/>
      <c r="S92" s="61"/>
      <c r="T92" s="61"/>
      <c r="U92" s="61"/>
      <c r="V92" s="61"/>
      <c r="W92" s="61"/>
      <c r="X92" s="61"/>
      <c r="Y92" s="61"/>
      <c r="Z92" s="61"/>
    </row>
    <row r="93" spans="1:26" s="58" customFormat="1" x14ac:dyDescent="0.3">
      <c r="A93" s="59"/>
      <c r="B93" s="59"/>
      <c r="C93" s="59"/>
      <c r="D93" s="59"/>
      <c r="E93" s="59"/>
      <c r="F93" s="59"/>
      <c r="G93" s="60"/>
      <c r="H93" s="60"/>
      <c r="I93" s="60"/>
      <c r="J93" s="60"/>
      <c r="K93" s="60"/>
      <c r="L93" s="60"/>
      <c r="M93" s="60"/>
      <c r="N93" s="60"/>
      <c r="O93" s="59"/>
      <c r="P93" s="59"/>
      <c r="Q93" s="61"/>
      <c r="R93" s="61"/>
      <c r="S93" s="61"/>
      <c r="T93" s="61"/>
      <c r="U93" s="61"/>
      <c r="V93" s="61"/>
      <c r="W93" s="61"/>
      <c r="X93" s="61"/>
      <c r="Y93" s="61"/>
      <c r="Z93" s="61"/>
    </row>
    <row r="94" spans="1:26" s="58" customFormat="1" x14ac:dyDescent="0.3">
      <c r="A94" s="59"/>
      <c r="B94" s="59"/>
      <c r="C94" s="59"/>
      <c r="D94" s="59"/>
      <c r="E94" s="59"/>
      <c r="F94" s="59"/>
      <c r="G94" s="60"/>
      <c r="H94" s="60"/>
      <c r="I94" s="60"/>
      <c r="J94" s="60"/>
      <c r="K94" s="60"/>
      <c r="L94" s="60"/>
      <c r="M94" s="60"/>
      <c r="N94" s="60"/>
      <c r="O94" s="59"/>
      <c r="P94" s="59"/>
      <c r="Q94" s="61"/>
      <c r="R94" s="61"/>
      <c r="S94" s="61"/>
      <c r="T94" s="61"/>
      <c r="U94" s="61"/>
      <c r="V94" s="61"/>
      <c r="W94" s="61"/>
      <c r="X94" s="61"/>
      <c r="Y94" s="61"/>
      <c r="Z94" s="61"/>
    </row>
    <row r="95" spans="1:26" s="58" customFormat="1" x14ac:dyDescent="0.3">
      <c r="A95" s="59"/>
      <c r="B95" s="59"/>
      <c r="C95" s="59"/>
      <c r="D95" s="59"/>
      <c r="E95" s="59"/>
      <c r="F95" s="59"/>
      <c r="G95" s="60"/>
      <c r="H95" s="60"/>
      <c r="I95" s="60"/>
      <c r="J95" s="60"/>
      <c r="K95" s="60"/>
      <c r="L95" s="60"/>
      <c r="M95" s="60"/>
      <c r="N95" s="60"/>
      <c r="O95" s="59"/>
      <c r="P95" s="59"/>
      <c r="Q95" s="61"/>
      <c r="R95" s="61"/>
      <c r="S95" s="61"/>
      <c r="T95" s="61"/>
      <c r="U95" s="61"/>
      <c r="V95" s="61"/>
      <c r="W95" s="61"/>
      <c r="X95" s="59"/>
      <c r="Y95" s="59"/>
      <c r="Z95" s="59"/>
    </row>
    <row r="96" spans="1:26" s="58" customFormat="1" x14ac:dyDescent="0.3">
      <c r="A96" s="59"/>
      <c r="B96" s="59"/>
      <c r="C96" s="59"/>
      <c r="D96" s="59"/>
      <c r="E96" s="59"/>
      <c r="F96" s="59"/>
      <c r="G96" s="60"/>
      <c r="H96" s="60"/>
      <c r="I96" s="60"/>
      <c r="J96" s="60"/>
      <c r="K96" s="60"/>
      <c r="L96" s="60"/>
      <c r="M96" s="60"/>
      <c r="N96" s="60"/>
      <c r="O96" s="59"/>
      <c r="P96" s="59"/>
      <c r="Q96" s="61"/>
      <c r="R96" s="61"/>
      <c r="S96" s="61"/>
      <c r="T96" s="61"/>
      <c r="U96" s="61"/>
      <c r="V96" s="61"/>
      <c r="W96" s="61"/>
      <c r="X96" s="59"/>
      <c r="Y96" s="59"/>
      <c r="Z96" s="59"/>
    </row>
    <row r="97" spans="1:26" s="58" customFormat="1" x14ac:dyDescent="0.3">
      <c r="A97" s="59"/>
      <c r="B97" s="59"/>
      <c r="C97" s="59"/>
      <c r="D97" s="59"/>
      <c r="E97" s="59"/>
      <c r="F97" s="59"/>
      <c r="G97" s="60"/>
      <c r="H97" s="60"/>
      <c r="I97" s="60"/>
      <c r="J97" s="60"/>
      <c r="K97" s="60"/>
      <c r="L97" s="60"/>
      <c r="M97" s="60"/>
      <c r="N97" s="60"/>
      <c r="O97" s="59"/>
      <c r="P97" s="59"/>
      <c r="Q97" s="61"/>
      <c r="R97" s="61"/>
      <c r="S97" s="61"/>
      <c r="T97" s="61"/>
      <c r="U97" s="61"/>
      <c r="V97" s="61"/>
      <c r="W97" s="61"/>
      <c r="X97" s="59"/>
      <c r="Y97" s="59"/>
      <c r="Z97" s="59"/>
    </row>
    <row r="98" spans="1:26" s="58" customFormat="1" x14ac:dyDescent="0.3">
      <c r="A98" s="59"/>
      <c r="B98" s="59"/>
      <c r="C98" s="59"/>
      <c r="D98" s="59"/>
      <c r="E98" s="59"/>
      <c r="F98" s="59"/>
      <c r="G98" s="60"/>
      <c r="H98" s="60"/>
      <c r="I98" s="60"/>
      <c r="J98" s="60"/>
      <c r="K98" s="60"/>
      <c r="L98" s="60"/>
      <c r="M98" s="60"/>
      <c r="N98" s="60"/>
      <c r="O98" s="59"/>
      <c r="P98" s="59"/>
      <c r="Q98" s="61"/>
      <c r="R98" s="61"/>
      <c r="S98" s="61"/>
      <c r="T98" s="61"/>
      <c r="U98" s="61"/>
      <c r="V98" s="61"/>
      <c r="W98" s="61"/>
      <c r="X98" s="59"/>
      <c r="Y98" s="59"/>
      <c r="Z98" s="59"/>
    </row>
    <row r="99" spans="1:26" s="58" customFormat="1" x14ac:dyDescent="0.3">
      <c r="A99" s="59"/>
      <c r="B99" s="59"/>
      <c r="C99" s="59"/>
      <c r="D99" s="59"/>
      <c r="E99" s="59"/>
      <c r="F99" s="59"/>
      <c r="G99" s="60"/>
      <c r="H99" s="60"/>
      <c r="I99" s="60"/>
      <c r="J99" s="60"/>
      <c r="K99" s="60"/>
      <c r="L99" s="60"/>
      <c r="M99" s="60"/>
      <c r="N99" s="60"/>
      <c r="O99" s="59"/>
      <c r="P99" s="59"/>
      <c r="Q99" s="61"/>
      <c r="R99" s="61"/>
      <c r="S99" s="61"/>
      <c r="T99" s="61"/>
      <c r="U99" s="61"/>
      <c r="V99" s="61"/>
      <c r="W99" s="61"/>
      <c r="X99" s="59"/>
      <c r="Y99" s="59"/>
      <c r="Z99" s="59"/>
    </row>
    <row r="100" spans="1:26" s="58" customFormat="1" x14ac:dyDescent="0.3">
      <c r="A100" s="59"/>
      <c r="B100" s="59"/>
      <c r="C100" s="59"/>
      <c r="D100" s="59"/>
      <c r="E100" s="59"/>
      <c r="F100" s="59"/>
      <c r="G100" s="60"/>
      <c r="H100" s="60"/>
      <c r="I100" s="60"/>
      <c r="J100" s="60"/>
      <c r="K100" s="60"/>
      <c r="L100" s="60"/>
      <c r="M100" s="60"/>
      <c r="N100" s="60"/>
      <c r="O100" s="59"/>
      <c r="P100" s="59"/>
      <c r="Q100" s="61"/>
      <c r="R100" s="61"/>
      <c r="S100" s="61"/>
      <c r="T100" s="61"/>
      <c r="U100" s="61"/>
      <c r="V100" s="61"/>
      <c r="W100" s="61"/>
      <c r="X100" s="59"/>
      <c r="Y100" s="59"/>
      <c r="Z100" s="59"/>
    </row>
    <row r="101" spans="1:26" s="58" customFormat="1" x14ac:dyDescent="0.3">
      <c r="A101" s="59"/>
      <c r="B101" s="59"/>
      <c r="C101" s="59"/>
      <c r="D101" s="59"/>
      <c r="E101" s="59"/>
      <c r="F101" s="59"/>
      <c r="G101" s="60"/>
      <c r="H101" s="60"/>
      <c r="I101" s="60"/>
      <c r="J101" s="60"/>
      <c r="K101" s="60"/>
      <c r="L101" s="60"/>
      <c r="M101" s="60"/>
      <c r="N101" s="60"/>
      <c r="O101" s="59"/>
      <c r="P101" s="59"/>
      <c r="Q101" s="61"/>
      <c r="R101" s="61"/>
      <c r="S101" s="61"/>
      <c r="T101" s="61"/>
      <c r="U101" s="61"/>
      <c r="V101" s="61"/>
      <c r="W101" s="61"/>
      <c r="X101" s="59"/>
      <c r="Y101" s="59"/>
      <c r="Z101" s="59"/>
    </row>
    <row r="102" spans="1:26" s="58" customFormat="1" x14ac:dyDescent="0.3">
      <c r="A102" s="59"/>
      <c r="B102" s="59"/>
      <c r="C102" s="59"/>
      <c r="D102" s="59"/>
      <c r="E102" s="59"/>
      <c r="F102" s="59"/>
      <c r="G102" s="60"/>
      <c r="H102" s="60"/>
      <c r="I102" s="60"/>
      <c r="J102" s="60"/>
      <c r="K102" s="60"/>
      <c r="L102" s="60"/>
      <c r="M102" s="60"/>
      <c r="N102" s="60"/>
      <c r="O102" s="59"/>
      <c r="P102" s="59"/>
      <c r="Q102" s="61"/>
      <c r="R102" s="61"/>
      <c r="S102" s="61"/>
      <c r="T102" s="61"/>
      <c r="U102" s="61"/>
      <c r="V102" s="61"/>
      <c r="W102" s="61"/>
      <c r="X102" s="59"/>
      <c r="Y102" s="59"/>
      <c r="Z102" s="59"/>
    </row>
    <row r="103" spans="1:26" s="58" customFormat="1" x14ac:dyDescent="0.3">
      <c r="A103" s="59"/>
      <c r="B103" s="59"/>
      <c r="C103" s="59"/>
      <c r="D103" s="59"/>
      <c r="E103" s="59"/>
      <c r="F103" s="59"/>
      <c r="G103" s="60"/>
      <c r="H103" s="60"/>
      <c r="I103" s="60"/>
      <c r="J103" s="60"/>
      <c r="K103" s="60"/>
      <c r="L103" s="60"/>
      <c r="M103" s="60"/>
      <c r="N103" s="60"/>
      <c r="O103" s="59"/>
      <c r="P103" s="59"/>
      <c r="Q103" s="61"/>
      <c r="R103" s="61"/>
      <c r="S103" s="61"/>
      <c r="T103" s="61"/>
      <c r="U103" s="61"/>
      <c r="V103" s="61"/>
      <c r="W103" s="61"/>
      <c r="X103" s="61"/>
      <c r="Y103" s="61"/>
      <c r="Z103" s="59"/>
    </row>
    <row r="104" spans="1:26" s="58" customFormat="1" x14ac:dyDescent="0.3">
      <c r="A104" s="59"/>
      <c r="B104" s="59"/>
      <c r="C104" s="59"/>
      <c r="D104" s="59"/>
      <c r="E104" s="59"/>
      <c r="F104" s="59"/>
      <c r="G104" s="60"/>
      <c r="H104" s="60"/>
      <c r="I104" s="60"/>
      <c r="J104" s="60"/>
      <c r="K104" s="60"/>
      <c r="L104" s="60"/>
      <c r="M104" s="60"/>
      <c r="N104" s="60"/>
      <c r="O104" s="59"/>
      <c r="P104" s="59"/>
      <c r="Q104" s="61"/>
      <c r="R104" s="61"/>
      <c r="S104" s="61"/>
      <c r="T104" s="61"/>
      <c r="U104" s="61"/>
      <c r="V104" s="61"/>
      <c r="W104" s="61"/>
      <c r="X104" s="59"/>
      <c r="Y104" s="59"/>
      <c r="Z104" s="59"/>
    </row>
    <row r="105" spans="1:26" s="58" customFormat="1" x14ac:dyDescent="0.3">
      <c r="A105" s="59"/>
      <c r="B105" s="59"/>
      <c r="C105" s="59"/>
      <c r="D105" s="59"/>
      <c r="E105" s="59"/>
      <c r="F105" s="59"/>
      <c r="G105" s="60"/>
      <c r="H105" s="60"/>
      <c r="I105" s="60"/>
      <c r="J105" s="60"/>
      <c r="K105" s="60"/>
      <c r="L105" s="60"/>
      <c r="M105" s="60"/>
      <c r="N105" s="60"/>
      <c r="O105" s="59"/>
      <c r="P105" s="59"/>
      <c r="Q105" s="61"/>
      <c r="R105" s="61"/>
      <c r="S105" s="61"/>
      <c r="T105" s="61"/>
      <c r="U105" s="61"/>
      <c r="V105" s="61"/>
      <c r="W105" s="61"/>
      <c r="X105" s="59"/>
      <c r="Y105" s="59"/>
      <c r="Z105" s="59"/>
    </row>
    <row r="106" spans="1:26" s="58" customFormat="1" x14ac:dyDescent="0.3">
      <c r="A106" s="59"/>
      <c r="B106" s="59"/>
      <c r="C106" s="59"/>
      <c r="D106" s="59"/>
      <c r="E106" s="59"/>
      <c r="F106" s="59"/>
      <c r="G106" s="60"/>
      <c r="H106" s="60"/>
      <c r="I106" s="60"/>
      <c r="J106" s="60"/>
      <c r="K106" s="60"/>
      <c r="L106" s="60"/>
      <c r="M106" s="60"/>
      <c r="N106" s="60"/>
      <c r="O106" s="59"/>
      <c r="P106" s="59"/>
      <c r="Q106" s="61"/>
      <c r="R106" s="61"/>
      <c r="S106" s="61"/>
      <c r="T106" s="61"/>
      <c r="U106" s="61"/>
      <c r="V106" s="61"/>
      <c r="W106" s="61"/>
      <c r="X106" s="59"/>
      <c r="Y106" s="59"/>
      <c r="Z106" s="59"/>
    </row>
    <row r="107" spans="1:26" s="58" customFormat="1" x14ac:dyDescent="0.3">
      <c r="A107" s="59"/>
      <c r="B107" s="59"/>
      <c r="C107" s="59"/>
      <c r="D107" s="59"/>
      <c r="E107" s="59"/>
      <c r="F107" s="59"/>
      <c r="G107" s="60"/>
      <c r="H107" s="60"/>
      <c r="I107" s="60"/>
      <c r="J107" s="60"/>
      <c r="K107" s="60"/>
      <c r="L107" s="60"/>
      <c r="M107" s="60"/>
      <c r="N107" s="60"/>
      <c r="O107" s="59"/>
      <c r="P107" s="59"/>
      <c r="Q107" s="61"/>
      <c r="R107" s="61"/>
      <c r="S107" s="61"/>
      <c r="T107" s="61"/>
      <c r="U107" s="61"/>
      <c r="V107" s="61"/>
      <c r="W107" s="61"/>
      <c r="X107" s="59"/>
      <c r="Y107" s="59"/>
      <c r="Z107" s="59"/>
    </row>
    <row r="108" spans="1:26" s="58" customFormat="1" x14ac:dyDescent="0.3">
      <c r="A108" s="59"/>
      <c r="B108" s="59"/>
      <c r="C108" s="59"/>
      <c r="D108" s="59"/>
      <c r="E108" s="59"/>
      <c r="F108" s="59"/>
      <c r="G108" s="60"/>
      <c r="H108" s="60"/>
      <c r="I108" s="60"/>
      <c r="J108" s="60"/>
      <c r="K108" s="60"/>
      <c r="L108" s="60"/>
      <c r="M108" s="60"/>
      <c r="N108" s="60"/>
      <c r="O108" s="59"/>
      <c r="P108" s="59"/>
      <c r="Q108" s="61"/>
      <c r="R108" s="61"/>
      <c r="S108" s="61"/>
      <c r="T108" s="61"/>
      <c r="U108" s="61"/>
      <c r="V108" s="61"/>
      <c r="W108" s="61"/>
      <c r="X108" s="59"/>
      <c r="Y108" s="59"/>
      <c r="Z108" s="59"/>
    </row>
    <row r="109" spans="1:26" s="58" customFormat="1" x14ac:dyDescent="0.3">
      <c r="A109" s="59"/>
      <c r="B109" s="59"/>
      <c r="C109" s="59"/>
      <c r="D109" s="59"/>
      <c r="E109" s="59"/>
      <c r="F109" s="59"/>
      <c r="G109" s="60"/>
      <c r="H109" s="60"/>
      <c r="I109" s="60"/>
      <c r="J109" s="60"/>
      <c r="K109" s="60"/>
      <c r="L109" s="60"/>
      <c r="M109" s="60"/>
      <c r="N109" s="60"/>
      <c r="O109" s="59"/>
      <c r="P109" s="59"/>
      <c r="Q109" s="61"/>
      <c r="R109" s="61"/>
      <c r="S109" s="61"/>
      <c r="T109" s="61"/>
      <c r="U109" s="61"/>
      <c r="V109" s="66"/>
      <c r="W109" s="66"/>
      <c r="X109" s="59"/>
      <c r="Y109" s="59"/>
      <c r="Z109" s="59"/>
    </row>
    <row r="110" spans="1:26" s="58" customFormat="1" x14ac:dyDescent="0.3">
      <c r="A110" s="59"/>
      <c r="B110" s="59"/>
      <c r="C110" s="59"/>
      <c r="D110" s="59"/>
      <c r="E110" s="59"/>
      <c r="F110" s="59"/>
      <c r="G110" s="60"/>
      <c r="H110" s="60"/>
      <c r="I110" s="60"/>
      <c r="J110" s="60"/>
      <c r="K110" s="60"/>
      <c r="L110" s="60"/>
      <c r="M110" s="60"/>
      <c r="N110" s="60"/>
      <c r="O110" s="59"/>
      <c r="P110" s="59"/>
      <c r="Q110" s="61"/>
      <c r="R110" s="61"/>
      <c r="S110" s="61"/>
      <c r="T110" s="61"/>
      <c r="U110" s="61"/>
      <c r="V110" s="66"/>
      <c r="W110" s="66"/>
      <c r="X110" s="59"/>
      <c r="Y110" s="59"/>
      <c r="Z110" s="59"/>
    </row>
    <row r="111" spans="1:26" s="58" customFormat="1" x14ac:dyDescent="0.3">
      <c r="A111" s="59"/>
      <c r="B111" s="59"/>
      <c r="C111" s="59"/>
      <c r="D111" s="59"/>
      <c r="E111" s="59"/>
      <c r="F111" s="59"/>
      <c r="G111" s="60"/>
      <c r="H111" s="60"/>
      <c r="I111" s="60"/>
      <c r="J111" s="60"/>
      <c r="K111" s="60"/>
      <c r="L111" s="60"/>
      <c r="M111" s="60"/>
      <c r="N111" s="60"/>
      <c r="O111" s="61"/>
      <c r="P111" s="61"/>
      <c r="Q111" s="61"/>
      <c r="R111" s="61"/>
      <c r="S111" s="61"/>
      <c r="T111" s="59"/>
      <c r="U111" s="59"/>
      <c r="V111" s="59"/>
      <c r="W111" s="59"/>
      <c r="X111" s="59"/>
      <c r="Y111" s="59"/>
      <c r="Z111" s="59"/>
    </row>
    <row r="112" spans="1:26" s="58" customFormat="1" x14ac:dyDescent="0.3">
      <c r="A112" s="59"/>
      <c r="B112" s="59"/>
      <c r="C112" s="59"/>
      <c r="D112" s="59"/>
      <c r="E112" s="59"/>
      <c r="F112" s="59"/>
      <c r="G112" s="60"/>
      <c r="H112" s="60"/>
      <c r="I112" s="60"/>
      <c r="J112" s="60"/>
      <c r="K112" s="60"/>
      <c r="L112" s="60"/>
      <c r="M112" s="60"/>
      <c r="N112" s="65"/>
      <c r="O112" s="59"/>
      <c r="P112" s="59"/>
      <c r="Q112" s="59"/>
      <c r="R112" s="61"/>
      <c r="S112" s="61"/>
      <c r="T112" s="61"/>
      <c r="U112" s="61"/>
      <c r="V112" s="59"/>
      <c r="W112" s="59"/>
      <c r="X112" s="59"/>
      <c r="Y112" s="59"/>
      <c r="Z112" s="59"/>
    </row>
    <row r="113" spans="17:17" x14ac:dyDescent="0.3">
      <c r="Q113" s="8"/>
    </row>
  </sheetData>
  <autoFilter ref="A2:AA2" xr:uid="{91F2E115-D33C-4D8F-9FD9-7B7EAD04EBED}"/>
  <mergeCells count="20">
    <mergeCell ref="V1:V2"/>
    <mergeCell ref="P1:P2"/>
    <mergeCell ref="A1:A2"/>
    <mergeCell ref="B1:B2"/>
    <mergeCell ref="C1:C2"/>
    <mergeCell ref="D1:D2"/>
    <mergeCell ref="E1:E2"/>
    <mergeCell ref="F1:F2"/>
    <mergeCell ref="G1:N1"/>
    <mergeCell ref="O1:O2"/>
    <mergeCell ref="Q1:Q2"/>
    <mergeCell ref="R1:R2"/>
    <mergeCell ref="S1:S2"/>
    <mergeCell ref="T1:T2"/>
    <mergeCell ref="U1:U2"/>
    <mergeCell ref="AA1:AA2"/>
    <mergeCell ref="W1:W2"/>
    <mergeCell ref="X1:X2"/>
    <mergeCell ref="Y1:Y2"/>
    <mergeCell ref="Z1:Z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25D1-34E5-49D5-8720-9FB40557DCE6}">
  <sheetPr codeName="Hoja28"/>
  <dimension ref="C2:J31"/>
  <sheetViews>
    <sheetView showGridLines="0" view="pageBreakPreview" zoomScaleNormal="130" zoomScaleSheetLayoutView="100" workbookViewId="0">
      <selection activeCell="L15" sqref="L15"/>
    </sheetView>
  </sheetViews>
  <sheetFormatPr baseColWidth="10" defaultRowHeight="14.4" x14ac:dyDescent="0.3"/>
  <cols>
    <col min="4" max="4" width="16.33203125" customWidth="1"/>
    <col min="5" max="5" width="14.6640625" customWidth="1"/>
    <col min="6" max="6" width="11.21875" customWidth="1"/>
    <col min="7" max="7" width="11.44140625" customWidth="1"/>
    <col min="8" max="8" width="11.77734375" customWidth="1"/>
    <col min="9" max="9" width="9" customWidth="1"/>
    <col min="10" max="10" width="12.77734375" customWidth="1"/>
  </cols>
  <sheetData>
    <row r="2" spans="3:10" ht="36.6" x14ac:dyDescent="0.7">
      <c r="C2" s="67" t="s">
        <v>1351</v>
      </c>
      <c r="H2" s="423"/>
      <c r="I2" s="423"/>
      <c r="J2" s="423"/>
    </row>
    <row r="3" spans="3:10" ht="25.8" customHeight="1" x14ac:dyDescent="0.7">
      <c r="C3" s="67"/>
    </row>
    <row r="4" spans="3:10" x14ac:dyDescent="0.3">
      <c r="C4" s="68" t="s">
        <v>470</v>
      </c>
      <c r="F4" s="68" t="s">
        <v>471</v>
      </c>
      <c r="I4" s="69"/>
    </row>
    <row r="5" spans="3:10" x14ac:dyDescent="0.3">
      <c r="C5" t="s">
        <v>472</v>
      </c>
      <c r="I5" s="69" t="s">
        <v>473</v>
      </c>
      <c r="J5" s="70">
        <f ca="1">TODAY()</f>
        <v>46240</v>
      </c>
    </row>
    <row r="6" spans="3:10" x14ac:dyDescent="0.3">
      <c r="C6" t="s">
        <v>474</v>
      </c>
      <c r="I6" s="69" t="s">
        <v>475</v>
      </c>
      <c r="J6" s="70">
        <f ca="1">J5+30</f>
        <v>46270</v>
      </c>
    </row>
    <row r="7" spans="3:10" x14ac:dyDescent="0.3">
      <c r="C7" t="s">
        <v>476</v>
      </c>
    </row>
    <row r="8" spans="3:10" x14ac:dyDescent="0.3">
      <c r="C8" s="71" t="s">
        <v>477</v>
      </c>
      <c r="F8" s="71"/>
    </row>
    <row r="10" spans="3:10" x14ac:dyDescent="0.3">
      <c r="C10" s="79"/>
      <c r="D10" s="424" t="s">
        <v>478</v>
      </c>
      <c r="E10" s="424"/>
      <c r="F10" s="342" t="s">
        <v>125</v>
      </c>
      <c r="G10" s="342" t="s">
        <v>479</v>
      </c>
      <c r="H10" s="425" t="s">
        <v>480</v>
      </c>
      <c r="I10" s="426"/>
    </row>
    <row r="11" spans="3:10" x14ac:dyDescent="0.3">
      <c r="C11" s="80"/>
      <c r="D11" s="420"/>
      <c r="E11" s="420"/>
      <c r="F11" s="15"/>
      <c r="G11" s="73"/>
      <c r="H11" s="421"/>
      <c r="I11" s="422"/>
    </row>
    <row r="12" spans="3:10" x14ac:dyDescent="0.3">
      <c r="C12" s="80"/>
      <c r="D12" s="420"/>
      <c r="E12" s="420"/>
      <c r="F12" s="15"/>
      <c r="G12" s="73"/>
      <c r="H12" s="421"/>
      <c r="I12" s="422"/>
    </row>
    <row r="13" spans="3:10" x14ac:dyDescent="0.3">
      <c r="C13" s="80"/>
      <c r="D13" s="420"/>
      <c r="E13" s="420"/>
      <c r="F13" s="15"/>
      <c r="G13" s="73"/>
      <c r="H13" s="421"/>
      <c r="I13" s="422"/>
    </row>
    <row r="14" spans="3:10" x14ac:dyDescent="0.3">
      <c r="C14" s="80"/>
      <c r="D14" s="420"/>
      <c r="E14" s="420"/>
      <c r="F14" s="15"/>
      <c r="G14" s="73"/>
      <c r="H14" s="421"/>
      <c r="I14" s="422"/>
    </row>
    <row r="15" spans="3:10" x14ac:dyDescent="0.3">
      <c r="C15" s="80"/>
      <c r="D15" s="420"/>
      <c r="E15" s="420"/>
      <c r="F15" s="15"/>
      <c r="G15" s="73"/>
      <c r="H15" s="421"/>
      <c r="I15" s="422"/>
    </row>
    <row r="16" spans="3:10" x14ac:dyDescent="0.3">
      <c r="C16" s="80"/>
      <c r="D16" s="420"/>
      <c r="E16" s="420"/>
      <c r="F16" s="15"/>
      <c r="G16" s="73"/>
      <c r="H16" s="421"/>
      <c r="I16" s="422"/>
    </row>
    <row r="17" spans="3:10" x14ac:dyDescent="0.3">
      <c r="C17" s="80"/>
      <c r="D17" s="420"/>
      <c r="E17" s="420"/>
      <c r="F17" s="15"/>
      <c r="G17" s="73"/>
      <c r="H17" s="421"/>
      <c r="I17" s="422"/>
    </row>
    <row r="18" spans="3:10" x14ac:dyDescent="0.3">
      <c r="C18" s="80"/>
      <c r="D18" s="420"/>
      <c r="E18" s="420"/>
      <c r="F18" s="15"/>
      <c r="G18" s="73"/>
      <c r="H18" s="421"/>
      <c r="I18" s="422"/>
    </row>
    <row r="19" spans="3:10" x14ac:dyDescent="0.3">
      <c r="C19" s="80"/>
      <c r="D19" s="420"/>
      <c r="E19" s="420"/>
      <c r="F19" s="15"/>
      <c r="G19" s="73"/>
      <c r="H19" s="421"/>
      <c r="I19" s="422"/>
    </row>
    <row r="20" spans="3:10" x14ac:dyDescent="0.3">
      <c r="C20" s="80"/>
      <c r="D20" s="420"/>
      <c r="E20" s="420"/>
      <c r="F20" s="15"/>
      <c r="G20" s="73"/>
      <c r="H20" s="421"/>
      <c r="I20" s="422"/>
    </row>
    <row r="22" spans="3:10" ht="15.6" x14ac:dyDescent="0.3">
      <c r="H22" s="69"/>
      <c r="I22" s="408">
        <f>SUM(H11:I20)</f>
        <v>0</v>
      </c>
      <c r="J22" s="409"/>
    </row>
    <row r="23" spans="3:10" ht="15.6" x14ac:dyDescent="0.3">
      <c r="H23" s="69"/>
      <c r="I23" s="408">
        <f>+I22*0.2</f>
        <v>0</v>
      </c>
      <c r="J23" s="409"/>
    </row>
    <row r="24" spans="3:10" ht="15.6" x14ac:dyDescent="0.3">
      <c r="H24" s="69"/>
      <c r="I24" s="408">
        <f>I22-I23</f>
        <v>0</v>
      </c>
      <c r="J24" s="409"/>
    </row>
    <row r="25" spans="3:10" ht="15" thickBot="1" x14ac:dyDescent="0.35">
      <c r="C25" s="74"/>
      <c r="D25" s="74"/>
      <c r="E25" s="74"/>
      <c r="F25" s="74"/>
      <c r="G25" s="74"/>
      <c r="H25" s="74"/>
      <c r="I25" s="74"/>
      <c r="J25" s="74"/>
    </row>
    <row r="26" spans="3:10" ht="15" thickBot="1" x14ac:dyDescent="0.35"/>
    <row r="27" spans="3:10" ht="21" x14ac:dyDescent="0.4">
      <c r="C27" s="75" t="s">
        <v>481</v>
      </c>
      <c r="F27" s="410" t="s">
        <v>482</v>
      </c>
      <c r="G27" s="410"/>
      <c r="H27" s="411">
        <f>+Cotización!I22</f>
        <v>0</v>
      </c>
      <c r="I27" s="412"/>
      <c r="J27" s="413"/>
    </row>
    <row r="28" spans="3:10" x14ac:dyDescent="0.3">
      <c r="C28" s="69" t="s">
        <v>483</v>
      </c>
      <c r="D28" s="341" t="s">
        <v>500</v>
      </c>
      <c r="H28" s="414"/>
      <c r="I28" s="415"/>
      <c r="J28" s="416"/>
    </row>
    <row r="29" spans="3:10" x14ac:dyDescent="0.3">
      <c r="C29" s="69" t="s">
        <v>484</v>
      </c>
      <c r="D29" s="341" t="s">
        <v>485</v>
      </c>
      <c r="H29" s="414"/>
      <c r="I29" s="415"/>
      <c r="J29" s="416"/>
    </row>
    <row r="30" spans="3:10" x14ac:dyDescent="0.3">
      <c r="C30" s="69" t="s">
        <v>486</v>
      </c>
      <c r="D30" s="77" t="s">
        <v>487</v>
      </c>
      <c r="H30" s="414"/>
      <c r="I30" s="415"/>
      <c r="J30" s="416"/>
    </row>
    <row r="31" spans="3:10" ht="15" thickBot="1" x14ac:dyDescent="0.35">
      <c r="C31" s="69" t="s">
        <v>488</v>
      </c>
      <c r="D31" s="341">
        <v>3138531583</v>
      </c>
      <c r="H31" s="417"/>
      <c r="I31" s="418"/>
      <c r="J31" s="419"/>
    </row>
  </sheetData>
  <mergeCells count="28">
    <mergeCell ref="D12:E12"/>
    <mergeCell ref="H12:I12"/>
    <mergeCell ref="H2:J2"/>
    <mergeCell ref="D10:E10"/>
    <mergeCell ref="H10:I10"/>
    <mergeCell ref="D11:E11"/>
    <mergeCell ref="H11:I11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I24:J24"/>
    <mergeCell ref="F27:G27"/>
    <mergeCell ref="H27:J31"/>
    <mergeCell ref="D19:E19"/>
    <mergeCell ref="H19:I19"/>
    <mergeCell ref="D20:E20"/>
    <mergeCell ref="H20:I20"/>
    <mergeCell ref="I22:J22"/>
    <mergeCell ref="I23:J23"/>
  </mergeCells>
  <hyperlinks>
    <hyperlink ref="C8" r:id="rId1" xr:uid="{EF73E19A-0EB5-413C-9761-5A4A49585666}"/>
  </hyperlinks>
  <pageMargins left="0.7" right="0.7" top="1.3149999999999999" bottom="0.75" header="0.3" footer="0.3"/>
  <pageSetup paperSize="9" scale="88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99AA-F3B3-4CE7-AFD8-DE9B579B9AD1}">
  <sheetPr codeName="Hoja12"/>
  <dimension ref="C2:J31"/>
  <sheetViews>
    <sheetView showGridLines="0" view="pageBreakPreview" zoomScaleNormal="130" zoomScaleSheetLayoutView="100" workbookViewId="0">
      <selection activeCell="D11" sqref="D11:I12"/>
    </sheetView>
  </sheetViews>
  <sheetFormatPr baseColWidth="10" defaultRowHeight="14.4" x14ac:dyDescent="0.3"/>
  <cols>
    <col min="4" max="4" width="16.33203125" customWidth="1"/>
    <col min="5" max="5" width="14.6640625" customWidth="1"/>
    <col min="6" max="6" width="11.21875" customWidth="1"/>
    <col min="7" max="7" width="11.44140625" customWidth="1"/>
    <col min="8" max="8" width="11.77734375" customWidth="1"/>
    <col min="9" max="9" width="9" customWidth="1"/>
    <col min="10" max="10" width="12.77734375" customWidth="1"/>
  </cols>
  <sheetData>
    <row r="2" spans="3:10" ht="36.6" x14ac:dyDescent="0.7">
      <c r="C2" s="67" t="s">
        <v>502</v>
      </c>
      <c r="H2" s="423"/>
      <c r="I2" s="423"/>
      <c r="J2" s="423"/>
    </row>
    <row r="3" spans="3:10" ht="25.8" customHeight="1" x14ac:dyDescent="0.7">
      <c r="C3" s="67"/>
    </row>
    <row r="4" spans="3:10" x14ac:dyDescent="0.3">
      <c r="C4" s="68" t="s">
        <v>470</v>
      </c>
      <c r="F4" s="68" t="s">
        <v>471</v>
      </c>
      <c r="I4" s="69"/>
    </row>
    <row r="5" spans="3:10" x14ac:dyDescent="0.3">
      <c r="C5" t="s">
        <v>472</v>
      </c>
      <c r="F5" t="str">
        <f>+Facturación!A3</f>
        <v>USO INTERNO</v>
      </c>
      <c r="I5" s="69" t="s">
        <v>473</v>
      </c>
      <c r="J5" s="70">
        <f ca="1">TODAY()</f>
        <v>46240</v>
      </c>
    </row>
    <row r="6" spans="3:10" x14ac:dyDescent="0.3">
      <c r="C6" t="s">
        <v>474</v>
      </c>
      <c r="F6">
        <f>+Facturación!B3</f>
        <v>0</v>
      </c>
      <c r="I6" s="69" t="s">
        <v>475</v>
      </c>
      <c r="J6" s="70">
        <f ca="1">J5+30</f>
        <v>46270</v>
      </c>
    </row>
    <row r="7" spans="3:10" x14ac:dyDescent="0.3">
      <c r="C7" t="s">
        <v>476</v>
      </c>
      <c r="F7">
        <f>+Facturación!C3</f>
        <v>0</v>
      </c>
    </row>
    <row r="8" spans="3:10" x14ac:dyDescent="0.3">
      <c r="C8" s="71" t="s">
        <v>477</v>
      </c>
      <c r="F8" s="71"/>
    </row>
    <row r="10" spans="3:10" x14ac:dyDescent="0.3">
      <c r="C10" s="79"/>
      <c r="D10" s="424" t="s">
        <v>478</v>
      </c>
      <c r="E10" s="424"/>
      <c r="F10" s="72" t="s">
        <v>125</v>
      </c>
      <c r="G10" s="72" t="s">
        <v>479</v>
      </c>
      <c r="H10" s="425" t="s">
        <v>480</v>
      </c>
      <c r="I10" s="426"/>
    </row>
    <row r="11" spans="3:10" x14ac:dyDescent="0.3">
      <c r="C11" s="80"/>
      <c r="D11" s="420" t="s">
        <v>1923</v>
      </c>
      <c r="E11" s="420"/>
      <c r="F11" s="15">
        <v>1</v>
      </c>
      <c r="G11" s="73">
        <v>2830.3296</v>
      </c>
      <c r="H11" s="421">
        <v>2830.3296</v>
      </c>
      <c r="I11" s="422"/>
    </row>
    <row r="12" spans="3:10" x14ac:dyDescent="0.3">
      <c r="C12" s="80"/>
      <c r="D12" s="420" t="s">
        <v>1923</v>
      </c>
      <c r="E12" s="420"/>
      <c r="F12" s="15">
        <v>2</v>
      </c>
      <c r="G12" s="73">
        <v>2697.2991360000001</v>
      </c>
      <c r="H12" s="421">
        <v>5394.5982720000002</v>
      </c>
      <c r="I12" s="422"/>
    </row>
    <row r="13" spans="3:10" x14ac:dyDescent="0.3">
      <c r="C13" s="80"/>
      <c r="D13" s="420" t="s">
        <v>1923</v>
      </c>
      <c r="E13" s="420"/>
      <c r="F13" s="15">
        <v>2</v>
      </c>
      <c r="G13" s="73">
        <v>2697.2991360000001</v>
      </c>
      <c r="H13" s="421">
        <v>5394.5982720000002</v>
      </c>
      <c r="I13" s="422"/>
    </row>
    <row r="14" spans="3:10" x14ac:dyDescent="0.3">
      <c r="C14" s="80"/>
      <c r="D14" s="420" t="s">
        <v>1923</v>
      </c>
      <c r="E14" s="420"/>
      <c r="F14" s="15">
        <v>2</v>
      </c>
      <c r="G14" s="73">
        <v>2697.2991360000001</v>
      </c>
      <c r="H14" s="421">
        <v>5394.5982720000002</v>
      </c>
      <c r="I14" s="422"/>
    </row>
    <row r="15" spans="3:10" x14ac:dyDescent="0.3">
      <c r="C15" s="80"/>
      <c r="D15" s="420"/>
      <c r="E15" s="420"/>
      <c r="F15" s="15"/>
      <c r="G15" s="73"/>
      <c r="H15" s="421"/>
      <c r="I15" s="422"/>
    </row>
    <row r="16" spans="3:10" x14ac:dyDescent="0.3">
      <c r="C16" s="80"/>
      <c r="D16" s="420"/>
      <c r="E16" s="420"/>
      <c r="F16" s="15"/>
      <c r="G16" s="73"/>
      <c r="H16" s="421"/>
      <c r="I16" s="422"/>
    </row>
    <row r="17" spans="3:10" x14ac:dyDescent="0.3">
      <c r="C17" s="80"/>
      <c r="D17" s="420"/>
      <c r="E17" s="420"/>
      <c r="F17" s="15"/>
      <c r="G17" s="73"/>
      <c r="H17" s="421"/>
      <c r="I17" s="422"/>
    </row>
    <row r="18" spans="3:10" x14ac:dyDescent="0.3">
      <c r="C18" s="80"/>
      <c r="D18" s="420"/>
      <c r="E18" s="420"/>
      <c r="F18" s="15"/>
      <c r="G18" s="73"/>
      <c r="H18" s="421"/>
      <c r="I18" s="422"/>
    </row>
    <row r="19" spans="3:10" x14ac:dyDescent="0.3">
      <c r="C19" s="80"/>
      <c r="D19" s="420"/>
      <c r="E19" s="420"/>
      <c r="F19" s="15"/>
      <c r="G19" s="73"/>
      <c r="H19" s="421"/>
      <c r="I19" s="422"/>
    </row>
    <row r="20" spans="3:10" x14ac:dyDescent="0.3">
      <c r="C20" s="80"/>
      <c r="D20" s="420"/>
      <c r="E20" s="420"/>
      <c r="F20" s="15"/>
      <c r="G20" s="73"/>
      <c r="H20" s="421"/>
      <c r="I20" s="422"/>
    </row>
    <row r="22" spans="3:10" ht="15.6" x14ac:dyDescent="0.3">
      <c r="H22" s="69"/>
      <c r="I22" s="408">
        <f>SUM(H11:I20)</f>
        <v>19014.124415999999</v>
      </c>
      <c r="J22" s="409"/>
    </row>
    <row r="23" spans="3:10" ht="15.6" x14ac:dyDescent="0.3">
      <c r="H23" s="69"/>
      <c r="I23" s="408">
        <v>0</v>
      </c>
      <c r="J23" s="409"/>
    </row>
    <row r="24" spans="3:10" ht="15.6" x14ac:dyDescent="0.3">
      <c r="H24" s="69"/>
      <c r="I24" s="408">
        <f>I22-I23</f>
        <v>19014.124415999999</v>
      </c>
      <c r="J24" s="409"/>
    </row>
    <row r="25" spans="3:10" ht="15" thickBot="1" x14ac:dyDescent="0.35">
      <c r="C25" s="74"/>
      <c r="D25" s="74"/>
      <c r="E25" s="74"/>
      <c r="F25" s="74"/>
      <c r="G25" s="74"/>
      <c r="H25" s="74"/>
      <c r="I25" s="74"/>
      <c r="J25" s="74"/>
    </row>
    <row r="26" spans="3:10" ht="15" thickBot="1" x14ac:dyDescent="0.35"/>
    <row r="27" spans="3:10" ht="21" x14ac:dyDescent="0.4">
      <c r="C27" s="75" t="s">
        <v>481</v>
      </c>
      <c r="F27" s="410" t="s">
        <v>482</v>
      </c>
      <c r="G27" s="410"/>
      <c r="H27" s="411">
        <f>+Cotización!I22</f>
        <v>0</v>
      </c>
      <c r="I27" s="412"/>
      <c r="J27" s="413"/>
    </row>
    <row r="28" spans="3:10" x14ac:dyDescent="0.3">
      <c r="C28" s="69" t="s">
        <v>483</v>
      </c>
      <c r="D28" s="76" t="s">
        <v>500</v>
      </c>
      <c r="H28" s="414"/>
      <c r="I28" s="415"/>
      <c r="J28" s="416"/>
    </row>
    <row r="29" spans="3:10" x14ac:dyDescent="0.3">
      <c r="C29" s="69" t="s">
        <v>484</v>
      </c>
      <c r="D29" s="76" t="s">
        <v>485</v>
      </c>
      <c r="H29" s="414"/>
      <c r="I29" s="415"/>
      <c r="J29" s="416"/>
    </row>
    <row r="30" spans="3:10" x14ac:dyDescent="0.3">
      <c r="C30" s="69" t="s">
        <v>486</v>
      </c>
      <c r="D30" s="77" t="s">
        <v>487</v>
      </c>
      <c r="H30" s="414"/>
      <c r="I30" s="415"/>
      <c r="J30" s="416"/>
    </row>
    <row r="31" spans="3:10" ht="15" thickBot="1" x14ac:dyDescent="0.35">
      <c r="C31" s="69" t="s">
        <v>488</v>
      </c>
      <c r="D31" s="76">
        <v>3138531583</v>
      </c>
      <c r="H31" s="417"/>
      <c r="I31" s="418"/>
      <c r="J31" s="419"/>
    </row>
  </sheetData>
  <mergeCells count="28">
    <mergeCell ref="D12:E12"/>
    <mergeCell ref="H12:I12"/>
    <mergeCell ref="H2:J2"/>
    <mergeCell ref="D10:E10"/>
    <mergeCell ref="H10:I10"/>
    <mergeCell ref="D11:E11"/>
    <mergeCell ref="H11:I11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H27:J31"/>
    <mergeCell ref="I24:J24"/>
    <mergeCell ref="F27:G27"/>
    <mergeCell ref="D19:E19"/>
    <mergeCell ref="H19:I19"/>
    <mergeCell ref="D20:E20"/>
    <mergeCell ref="H20:I20"/>
    <mergeCell ref="I22:J22"/>
    <mergeCell ref="I23:J23"/>
  </mergeCells>
  <hyperlinks>
    <hyperlink ref="C8" r:id="rId1" xr:uid="{227AE5C7-AF62-4675-9389-2AA8211B8F02}"/>
  </hyperlinks>
  <pageMargins left="0.7" right="0.7" top="1.3149999999999999" bottom="0.75" header="0.3" footer="0.3"/>
  <pageSetup paperSize="9" scale="88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F48F5-5319-49CA-84F0-E1EB837DFF8F}">
  <sheetPr codeName="Hoja13"/>
  <dimension ref="A1:X66"/>
  <sheetViews>
    <sheetView workbookViewId="0">
      <pane ySplit="6" topLeftCell="A7" activePane="bottomLeft" state="frozen"/>
      <selection pane="bottomLeft" activeCell="I5" sqref="I5"/>
    </sheetView>
  </sheetViews>
  <sheetFormatPr baseColWidth="10" defaultColWidth="9.109375" defaultRowHeight="14.4" x14ac:dyDescent="0.3"/>
  <cols>
    <col min="1" max="1" width="15" customWidth="1"/>
    <col min="2" max="2" width="44" bestFit="1" customWidth="1"/>
    <col min="3" max="3" width="13.109375" bestFit="1" customWidth="1"/>
    <col min="4" max="4" width="6.5546875" customWidth="1"/>
    <col min="5" max="5" width="22.109375" customWidth="1"/>
    <col min="6" max="6" width="11.109375" customWidth="1"/>
    <col min="7" max="7" width="10.44140625" customWidth="1"/>
    <col min="8" max="8" width="11.44140625" customWidth="1"/>
    <col min="9" max="9" width="9.6640625" customWidth="1"/>
    <col min="10" max="10" width="12.88671875" customWidth="1"/>
    <col min="11" max="11" width="15" customWidth="1"/>
    <col min="12" max="12" width="16.44140625" customWidth="1"/>
    <col min="13" max="13" width="7.88671875" customWidth="1"/>
    <col min="14" max="14" width="15.109375" customWidth="1"/>
    <col min="15" max="15" width="11" style="64" bestFit="1" customWidth="1"/>
    <col min="16" max="16" width="48.109375" customWidth="1"/>
    <col min="17" max="17" width="14.6640625" bestFit="1" customWidth="1"/>
    <col min="18" max="18" width="6.33203125" bestFit="1" customWidth="1"/>
    <col min="19" max="19" width="7.109375" bestFit="1" customWidth="1"/>
    <col min="20" max="20" width="6.5546875" bestFit="1" customWidth="1"/>
    <col min="21" max="21" width="11.5546875" bestFit="1" customWidth="1"/>
    <col min="22" max="22" width="8" bestFit="1" customWidth="1"/>
    <col min="23" max="23" width="11.5546875" bestFit="1" customWidth="1"/>
    <col min="24" max="24" width="9.33203125" bestFit="1" customWidth="1"/>
  </cols>
  <sheetData>
    <row r="1" spans="1:24" x14ac:dyDescent="0.3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</row>
    <row r="2" spans="1:24" ht="14.4" customHeight="1" x14ac:dyDescent="0.3">
      <c r="A2" s="64"/>
      <c r="B2" s="83" t="s">
        <v>505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</row>
    <row r="3" spans="1:24" ht="14.4" customHeight="1" x14ac:dyDescent="0.3">
      <c r="A3" s="64"/>
      <c r="B3" s="371">
        <f>SUM(L7:L66)</f>
        <v>3600594.8959999997</v>
      </c>
      <c r="C3" s="64"/>
      <c r="D3" s="64"/>
      <c r="E3" s="64"/>
      <c r="F3" s="64"/>
      <c r="G3" s="64">
        <f>+H14-H3</f>
        <v>574.58000000000004</v>
      </c>
      <c r="H3" s="343">
        <v>4.99</v>
      </c>
      <c r="I3" s="343">
        <v>5.08</v>
      </c>
      <c r="J3" s="448">
        <f>+H7-I3</f>
        <v>85.259999999999991</v>
      </c>
      <c r="K3" s="64"/>
      <c r="L3" s="64"/>
      <c r="M3" s="64"/>
      <c r="N3" s="64"/>
    </row>
    <row r="4" spans="1:24" x14ac:dyDescent="0.3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</row>
    <row r="5" spans="1:24" x14ac:dyDescent="0.3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</row>
    <row r="6" spans="1:24" ht="43.2" x14ac:dyDescent="0.3">
      <c r="A6" s="82" t="s">
        <v>503</v>
      </c>
      <c r="B6" s="82" t="s">
        <v>20</v>
      </c>
      <c r="C6" s="82" t="s">
        <v>21</v>
      </c>
      <c r="D6" s="82" t="s">
        <v>162</v>
      </c>
      <c r="E6" s="82" t="s">
        <v>504</v>
      </c>
      <c r="F6" s="82" t="s">
        <v>127</v>
      </c>
      <c r="G6" s="82" t="s">
        <v>22</v>
      </c>
      <c r="H6" s="82" t="s">
        <v>23</v>
      </c>
      <c r="I6" s="82" t="s">
        <v>24</v>
      </c>
      <c r="J6" s="82" t="s">
        <v>187</v>
      </c>
      <c r="K6" s="82" t="s">
        <v>139</v>
      </c>
      <c r="L6" s="82" t="s">
        <v>25</v>
      </c>
      <c r="M6" s="82" t="s">
        <v>26</v>
      </c>
      <c r="N6" s="82" t="s">
        <v>501</v>
      </c>
      <c r="P6" s="81" t="s">
        <v>20</v>
      </c>
      <c r="Q6" s="81" t="s">
        <v>162</v>
      </c>
      <c r="R6" s="81" t="s">
        <v>169</v>
      </c>
      <c r="S6" s="81" t="s">
        <v>170</v>
      </c>
      <c r="T6" s="81" t="s">
        <v>24</v>
      </c>
      <c r="U6" s="81" t="s">
        <v>171</v>
      </c>
      <c r="V6" s="81" t="s">
        <v>139</v>
      </c>
      <c r="W6" s="81" t="s">
        <v>25</v>
      </c>
      <c r="X6" s="81" t="s">
        <v>26</v>
      </c>
    </row>
    <row r="7" spans="1:24" x14ac:dyDescent="0.3">
      <c r="A7" s="347" t="s">
        <v>1245</v>
      </c>
      <c r="B7" t="s">
        <v>133</v>
      </c>
      <c r="C7" t="s">
        <v>1492</v>
      </c>
      <c r="D7" t="s">
        <v>177</v>
      </c>
      <c r="E7" s="347" t="s">
        <v>1493</v>
      </c>
      <c r="F7" s="8">
        <v>60000</v>
      </c>
      <c r="G7">
        <v>1000</v>
      </c>
      <c r="H7">
        <v>90.339999999999989</v>
      </c>
      <c r="I7" s="347">
        <f>G7-H7</f>
        <v>909.66</v>
      </c>
      <c r="J7" s="370">
        <f>F7/G7</f>
        <v>60</v>
      </c>
      <c r="K7" s="9">
        <f>(H7*F7)/G7</f>
        <v>5420.3999999999987</v>
      </c>
      <c r="L7" s="9">
        <f>(I7*F7)/G7</f>
        <v>54579.6</v>
      </c>
      <c r="M7" s="347" t="str">
        <f>IF(I7&lt;200, "REPONER", "OK")</f>
        <v>OK</v>
      </c>
      <c r="P7" t="s">
        <v>160</v>
      </c>
      <c r="Q7" t="s">
        <v>163</v>
      </c>
      <c r="R7">
        <v>1</v>
      </c>
      <c r="S7">
        <v>0</v>
      </c>
      <c r="T7">
        <f>R7-S7</f>
        <v>1</v>
      </c>
      <c r="U7" s="8">
        <v>90000</v>
      </c>
      <c r="V7" s="9">
        <f>S7*U7</f>
        <v>0</v>
      </c>
      <c r="W7" s="9">
        <f>(T7*U7)</f>
        <v>90000</v>
      </c>
      <c r="X7" t="str">
        <f>IF(T7&lt;200, "REPONER", "OK")</f>
        <v>REPONER</v>
      </c>
    </row>
    <row r="8" spans="1:24" hidden="1" x14ac:dyDescent="0.3">
      <c r="A8" s="347" t="s">
        <v>1248</v>
      </c>
      <c r="B8" t="s">
        <v>136</v>
      </c>
      <c r="C8" t="s">
        <v>1496</v>
      </c>
      <c r="D8" t="s">
        <v>177</v>
      </c>
      <c r="E8" s="347" t="s">
        <v>1497</v>
      </c>
      <c r="F8" s="8">
        <v>65000</v>
      </c>
      <c r="G8">
        <v>1000</v>
      </c>
      <c r="H8" s="445">
        <v>999.23000000000013</v>
      </c>
      <c r="I8" s="347">
        <f t="shared" ref="I8:I27" si="0">G8-H8</f>
        <v>0.76999999999986812</v>
      </c>
      <c r="J8" s="370">
        <f t="shared" ref="J8:J27" si="1">F8/G8</f>
        <v>65</v>
      </c>
      <c r="K8" s="9">
        <f t="shared" ref="K8:K27" si="2">(H8*F8)/G8</f>
        <v>64949.950000000004</v>
      </c>
      <c r="L8" s="9">
        <f t="shared" ref="L8:L27" si="3">(I8*F8)/G8</f>
        <v>50.049999999991428</v>
      </c>
      <c r="M8" s="347" t="str">
        <f t="shared" ref="M8:M27" si="4">IF(I8&lt;200, "REPONER", "OK")</f>
        <v>REPONER</v>
      </c>
      <c r="P8" t="s">
        <v>161</v>
      </c>
      <c r="Q8" t="s">
        <v>164</v>
      </c>
      <c r="R8">
        <v>1</v>
      </c>
      <c r="S8">
        <v>0</v>
      </c>
      <c r="T8">
        <f>R8-S8</f>
        <v>1</v>
      </c>
      <c r="U8" s="8">
        <v>100000</v>
      </c>
      <c r="V8" s="9">
        <f>S8*U8</f>
        <v>0</v>
      </c>
      <c r="W8" s="9">
        <f>(T8*U8)</f>
        <v>100000</v>
      </c>
      <c r="X8" t="str">
        <f>IF(T8&lt;200, "REPONER", "OK")</f>
        <v>REPONER</v>
      </c>
    </row>
    <row r="9" spans="1:24" hidden="1" x14ac:dyDescent="0.3">
      <c r="A9" s="347" t="s">
        <v>1249</v>
      </c>
      <c r="B9" t="s">
        <v>136</v>
      </c>
      <c r="C9" t="s">
        <v>1496</v>
      </c>
      <c r="D9" t="s">
        <v>177</v>
      </c>
      <c r="E9" s="347" t="s">
        <v>1497</v>
      </c>
      <c r="F9" s="8">
        <v>65000</v>
      </c>
      <c r="G9">
        <v>1000</v>
      </c>
      <c r="H9">
        <v>521.80000000000007</v>
      </c>
      <c r="I9" s="347">
        <f t="shared" si="0"/>
        <v>478.19999999999993</v>
      </c>
      <c r="J9" s="370">
        <f t="shared" si="1"/>
        <v>65</v>
      </c>
      <c r="K9" s="9">
        <f t="shared" si="2"/>
        <v>33917.000000000007</v>
      </c>
      <c r="L9" s="9">
        <f t="shared" si="3"/>
        <v>31082.999999999996</v>
      </c>
      <c r="M9" s="347" t="str">
        <f t="shared" si="4"/>
        <v>OK</v>
      </c>
      <c r="P9" t="s">
        <v>167</v>
      </c>
      <c r="Q9" t="s">
        <v>168</v>
      </c>
      <c r="R9">
        <v>1</v>
      </c>
      <c r="S9">
        <v>0</v>
      </c>
      <c r="T9">
        <f>R9-S9</f>
        <v>1</v>
      </c>
      <c r="U9" s="8">
        <v>50000</v>
      </c>
      <c r="V9" s="9">
        <f>S9*U9</f>
        <v>0</v>
      </c>
      <c r="W9" s="9">
        <f>(T9*U9)</f>
        <v>50000</v>
      </c>
      <c r="X9" t="str">
        <f>IF(T9&lt;200, "REPONER", "OK")</f>
        <v>REPONER</v>
      </c>
    </row>
    <row r="10" spans="1:24" hidden="1" x14ac:dyDescent="0.3">
      <c r="A10" s="347" t="s">
        <v>1250</v>
      </c>
      <c r="B10" t="s">
        <v>452</v>
      </c>
      <c r="C10" t="s">
        <v>1496</v>
      </c>
      <c r="D10" t="s">
        <v>177</v>
      </c>
      <c r="E10" s="347" t="s">
        <v>1500</v>
      </c>
      <c r="F10" s="8">
        <v>60240</v>
      </c>
      <c r="G10">
        <v>1000</v>
      </c>
      <c r="I10" s="347">
        <f t="shared" si="0"/>
        <v>1000</v>
      </c>
      <c r="J10" s="370">
        <f t="shared" si="1"/>
        <v>60.24</v>
      </c>
      <c r="K10" s="9">
        <f t="shared" si="2"/>
        <v>0</v>
      </c>
      <c r="L10" s="9">
        <f t="shared" si="3"/>
        <v>60240</v>
      </c>
      <c r="M10" s="347" t="str">
        <f t="shared" si="4"/>
        <v>OK</v>
      </c>
    </row>
    <row r="11" spans="1:24" hidden="1" x14ac:dyDescent="0.3">
      <c r="A11" s="347" t="s">
        <v>1251</v>
      </c>
      <c r="B11" t="s">
        <v>452</v>
      </c>
      <c r="C11" t="s">
        <v>1496</v>
      </c>
      <c r="D11" t="s">
        <v>177</v>
      </c>
      <c r="E11" s="347" t="s">
        <v>1500</v>
      </c>
      <c r="F11" s="8">
        <v>60240</v>
      </c>
      <c r="G11">
        <v>1000</v>
      </c>
      <c r="I11" s="347">
        <f t="shared" si="0"/>
        <v>1000</v>
      </c>
      <c r="J11" s="370">
        <f t="shared" si="1"/>
        <v>60.24</v>
      </c>
      <c r="K11" s="9">
        <f t="shared" si="2"/>
        <v>0</v>
      </c>
      <c r="L11" s="9">
        <f t="shared" si="3"/>
        <v>60240</v>
      </c>
      <c r="M11" s="347" t="str">
        <f t="shared" si="4"/>
        <v>OK</v>
      </c>
    </row>
    <row r="12" spans="1:24" hidden="1" x14ac:dyDescent="0.3">
      <c r="A12" s="347" t="s">
        <v>1252</v>
      </c>
      <c r="B12" t="s">
        <v>452</v>
      </c>
      <c r="C12" t="s">
        <v>1496</v>
      </c>
      <c r="D12" t="s">
        <v>177</v>
      </c>
      <c r="E12" s="347" t="s">
        <v>1500</v>
      </c>
      <c r="F12" s="8">
        <v>60240</v>
      </c>
      <c r="G12">
        <v>1000</v>
      </c>
      <c r="I12" s="347">
        <f t="shared" si="0"/>
        <v>1000</v>
      </c>
      <c r="J12" s="370">
        <f t="shared" si="1"/>
        <v>60.24</v>
      </c>
      <c r="K12" s="9">
        <f t="shared" si="2"/>
        <v>0</v>
      </c>
      <c r="L12" s="9">
        <f t="shared" si="3"/>
        <v>60240</v>
      </c>
      <c r="M12" s="347" t="str">
        <f t="shared" si="4"/>
        <v>OK</v>
      </c>
    </row>
    <row r="13" spans="1:24" hidden="1" x14ac:dyDescent="0.3">
      <c r="A13" s="347" t="s">
        <v>1257</v>
      </c>
      <c r="B13" t="s">
        <v>448</v>
      </c>
      <c r="C13" t="s">
        <v>1503</v>
      </c>
      <c r="D13" t="s">
        <v>177</v>
      </c>
      <c r="E13" s="347" t="s">
        <v>1493</v>
      </c>
      <c r="F13" s="8">
        <v>60000</v>
      </c>
      <c r="G13">
        <v>1000</v>
      </c>
      <c r="I13" s="347">
        <f t="shared" si="0"/>
        <v>1000</v>
      </c>
      <c r="J13" s="370">
        <f t="shared" si="1"/>
        <v>60</v>
      </c>
      <c r="K13" s="9">
        <f t="shared" si="2"/>
        <v>0</v>
      </c>
      <c r="L13" s="9">
        <f t="shared" si="3"/>
        <v>60000</v>
      </c>
      <c r="M13" s="347" t="str">
        <f t="shared" si="4"/>
        <v>OK</v>
      </c>
    </row>
    <row r="14" spans="1:24" x14ac:dyDescent="0.3">
      <c r="A14" s="347" t="s">
        <v>1262</v>
      </c>
      <c r="B14" t="s">
        <v>453</v>
      </c>
      <c r="C14" t="s">
        <v>1506</v>
      </c>
      <c r="D14" t="s">
        <v>177</v>
      </c>
      <c r="E14" s="347" t="s">
        <v>1500</v>
      </c>
      <c r="F14" s="8">
        <v>67200</v>
      </c>
      <c r="G14">
        <v>1000</v>
      </c>
      <c r="H14">
        <v>579.57000000000005</v>
      </c>
      <c r="I14" s="347">
        <f t="shared" si="0"/>
        <v>420.42999999999995</v>
      </c>
      <c r="J14" s="370">
        <f t="shared" si="1"/>
        <v>67.2</v>
      </c>
      <c r="K14" s="9">
        <f t="shared" si="2"/>
        <v>38947.103999999999</v>
      </c>
      <c r="L14" s="9">
        <f t="shared" si="3"/>
        <v>28252.895999999997</v>
      </c>
      <c r="M14" s="347" t="str">
        <f t="shared" si="4"/>
        <v>OK</v>
      </c>
    </row>
    <row r="15" spans="1:24" x14ac:dyDescent="0.3">
      <c r="A15" s="347" t="s">
        <v>1263</v>
      </c>
      <c r="B15" t="s">
        <v>453</v>
      </c>
      <c r="C15" t="s">
        <v>1506</v>
      </c>
      <c r="D15" t="s">
        <v>177</v>
      </c>
      <c r="E15" s="347" t="s">
        <v>1500</v>
      </c>
      <c r="F15" s="8">
        <v>67200</v>
      </c>
      <c r="G15">
        <v>1000</v>
      </c>
      <c r="I15" s="347">
        <f t="shared" si="0"/>
        <v>1000</v>
      </c>
      <c r="J15" s="370">
        <f t="shared" si="1"/>
        <v>67.2</v>
      </c>
      <c r="K15" s="9">
        <f t="shared" si="2"/>
        <v>0</v>
      </c>
      <c r="L15" s="9">
        <f t="shared" si="3"/>
        <v>67200</v>
      </c>
      <c r="M15" s="347" t="str">
        <f t="shared" si="4"/>
        <v>OK</v>
      </c>
      <c r="O15" s="84"/>
    </row>
    <row r="16" spans="1:24" x14ac:dyDescent="0.3">
      <c r="A16" s="347" t="s">
        <v>1264</v>
      </c>
      <c r="B16" t="s">
        <v>453</v>
      </c>
      <c r="C16" t="s">
        <v>1506</v>
      </c>
      <c r="D16" t="s">
        <v>177</v>
      </c>
      <c r="E16" s="347" t="s">
        <v>1500</v>
      </c>
      <c r="F16" s="8">
        <v>67200</v>
      </c>
      <c r="G16">
        <v>1000</v>
      </c>
      <c r="I16" s="347">
        <f t="shared" si="0"/>
        <v>1000</v>
      </c>
      <c r="J16" s="370">
        <f t="shared" si="1"/>
        <v>67.2</v>
      </c>
      <c r="K16" s="9">
        <f t="shared" si="2"/>
        <v>0</v>
      </c>
      <c r="L16" s="9">
        <f t="shared" si="3"/>
        <v>67200</v>
      </c>
      <c r="M16" s="347" t="str">
        <f t="shared" si="4"/>
        <v>OK</v>
      </c>
    </row>
    <row r="17" spans="1:14" hidden="1" x14ac:dyDescent="0.3">
      <c r="A17" s="347" t="s">
        <v>1272</v>
      </c>
      <c r="B17" t="s">
        <v>134</v>
      </c>
      <c r="C17" t="s">
        <v>1509</v>
      </c>
      <c r="D17" t="s">
        <v>177</v>
      </c>
      <c r="E17" s="347" t="s">
        <v>1493</v>
      </c>
      <c r="F17" s="8">
        <v>60000</v>
      </c>
      <c r="G17">
        <v>1000</v>
      </c>
      <c r="H17">
        <v>211.14</v>
      </c>
      <c r="I17" s="347">
        <f t="shared" si="0"/>
        <v>788.86</v>
      </c>
      <c r="J17" s="370">
        <f t="shared" si="1"/>
        <v>60</v>
      </c>
      <c r="K17" s="9">
        <f t="shared" si="2"/>
        <v>12668.4</v>
      </c>
      <c r="L17" s="9">
        <f t="shared" si="3"/>
        <v>47331.6</v>
      </c>
      <c r="M17" s="347" t="str">
        <f t="shared" si="4"/>
        <v>OK</v>
      </c>
    </row>
    <row r="18" spans="1:14" hidden="1" x14ac:dyDescent="0.3">
      <c r="A18" s="347" t="s">
        <v>1269</v>
      </c>
      <c r="B18" t="s">
        <v>449</v>
      </c>
      <c r="C18" t="s">
        <v>1509</v>
      </c>
      <c r="D18" t="s">
        <v>177</v>
      </c>
      <c r="E18" s="347" t="s">
        <v>1500</v>
      </c>
      <c r="F18" s="8">
        <v>67200</v>
      </c>
      <c r="G18">
        <v>1000</v>
      </c>
      <c r="I18" s="347">
        <f t="shared" si="0"/>
        <v>1000</v>
      </c>
      <c r="J18" s="370">
        <f t="shared" si="1"/>
        <v>67.2</v>
      </c>
      <c r="K18" s="9">
        <f t="shared" si="2"/>
        <v>0</v>
      </c>
      <c r="L18" s="9">
        <f t="shared" si="3"/>
        <v>67200</v>
      </c>
      <c r="M18" s="347" t="str">
        <f t="shared" si="4"/>
        <v>OK</v>
      </c>
    </row>
    <row r="19" spans="1:14" hidden="1" x14ac:dyDescent="0.3">
      <c r="A19" s="347" t="s">
        <v>1270</v>
      </c>
      <c r="B19" t="s">
        <v>449</v>
      </c>
      <c r="C19" t="s">
        <v>1509</v>
      </c>
      <c r="D19" t="s">
        <v>177</v>
      </c>
      <c r="E19" s="347" t="s">
        <v>1500</v>
      </c>
      <c r="F19" s="8">
        <v>67200</v>
      </c>
      <c r="G19">
        <v>1000</v>
      </c>
      <c r="I19" s="347">
        <f t="shared" si="0"/>
        <v>1000</v>
      </c>
      <c r="J19" s="370">
        <f t="shared" si="1"/>
        <v>67.2</v>
      </c>
      <c r="K19" s="9">
        <f t="shared" si="2"/>
        <v>0</v>
      </c>
      <c r="L19" s="9">
        <f t="shared" si="3"/>
        <v>67200</v>
      </c>
      <c r="M19" s="347" t="str">
        <f t="shared" si="4"/>
        <v>OK</v>
      </c>
    </row>
    <row r="20" spans="1:14" hidden="1" x14ac:dyDescent="0.3">
      <c r="A20" s="347" t="s">
        <v>1271</v>
      </c>
      <c r="B20" t="s">
        <v>449</v>
      </c>
      <c r="C20" t="s">
        <v>1509</v>
      </c>
      <c r="D20" t="s">
        <v>177</v>
      </c>
      <c r="E20" s="347" t="s">
        <v>1500</v>
      </c>
      <c r="F20" s="8">
        <v>67200</v>
      </c>
      <c r="G20">
        <v>1000</v>
      </c>
      <c r="I20" s="347">
        <f t="shared" si="0"/>
        <v>1000</v>
      </c>
      <c r="J20" s="370">
        <f t="shared" si="1"/>
        <v>67.2</v>
      </c>
      <c r="K20" s="9">
        <f t="shared" si="2"/>
        <v>0</v>
      </c>
      <c r="L20" s="9">
        <f t="shared" si="3"/>
        <v>67200</v>
      </c>
      <c r="M20" s="347" t="str">
        <f t="shared" si="4"/>
        <v>OK</v>
      </c>
    </row>
    <row r="21" spans="1:14" hidden="1" x14ac:dyDescent="0.3">
      <c r="A21" s="347" t="s">
        <v>1274</v>
      </c>
      <c r="B21" t="s">
        <v>135</v>
      </c>
      <c r="C21" t="s">
        <v>1514</v>
      </c>
      <c r="D21" t="s">
        <v>177</v>
      </c>
      <c r="E21" s="347" t="s">
        <v>1493</v>
      </c>
      <c r="F21" s="8">
        <v>60000</v>
      </c>
      <c r="G21">
        <v>1000</v>
      </c>
      <c r="H21">
        <v>92.36</v>
      </c>
      <c r="I21" s="347">
        <f t="shared" si="0"/>
        <v>907.64</v>
      </c>
      <c r="J21" s="370">
        <f t="shared" si="1"/>
        <v>60</v>
      </c>
      <c r="K21" s="9">
        <f t="shared" si="2"/>
        <v>5541.6</v>
      </c>
      <c r="L21" s="9">
        <f t="shared" si="3"/>
        <v>54458.400000000001</v>
      </c>
      <c r="M21" s="347" t="str">
        <f t="shared" si="4"/>
        <v>OK</v>
      </c>
    </row>
    <row r="22" spans="1:14" hidden="1" x14ac:dyDescent="0.3">
      <c r="A22" s="347" t="s">
        <v>1246</v>
      </c>
      <c r="B22" t="s">
        <v>141</v>
      </c>
      <c r="C22" t="s">
        <v>1517</v>
      </c>
      <c r="D22" t="s">
        <v>178</v>
      </c>
      <c r="E22" s="347" t="s">
        <v>1497</v>
      </c>
      <c r="F22" s="8">
        <v>65000</v>
      </c>
      <c r="G22">
        <v>1000</v>
      </c>
      <c r="I22" s="347">
        <f t="shared" si="0"/>
        <v>1000</v>
      </c>
      <c r="J22" s="370">
        <f t="shared" si="1"/>
        <v>65</v>
      </c>
      <c r="K22" s="9">
        <f t="shared" si="2"/>
        <v>0</v>
      </c>
      <c r="L22" s="9">
        <f t="shared" si="3"/>
        <v>65000</v>
      </c>
      <c r="M22" s="347" t="str">
        <f t="shared" si="4"/>
        <v>OK</v>
      </c>
    </row>
    <row r="23" spans="1:14" hidden="1" x14ac:dyDescent="0.3">
      <c r="A23" s="347" t="s">
        <v>1247</v>
      </c>
      <c r="B23" t="s">
        <v>146</v>
      </c>
      <c r="C23" t="s">
        <v>1520</v>
      </c>
      <c r="D23" t="s">
        <v>178</v>
      </c>
      <c r="E23" s="347" t="s">
        <v>1497</v>
      </c>
      <c r="F23" s="8">
        <v>65000</v>
      </c>
      <c r="G23">
        <v>1000</v>
      </c>
      <c r="H23">
        <v>326.01</v>
      </c>
      <c r="I23" s="347">
        <f t="shared" si="0"/>
        <v>673.99</v>
      </c>
      <c r="J23" s="370">
        <f t="shared" si="1"/>
        <v>65</v>
      </c>
      <c r="K23" s="9">
        <f t="shared" si="2"/>
        <v>21190.65</v>
      </c>
      <c r="L23" s="9">
        <f t="shared" si="3"/>
        <v>43809.35</v>
      </c>
      <c r="M23" s="347" t="str">
        <f t="shared" si="4"/>
        <v>OK</v>
      </c>
    </row>
    <row r="24" spans="1:14" hidden="1" x14ac:dyDescent="0.3">
      <c r="A24" s="347" t="s">
        <v>1253</v>
      </c>
      <c r="B24" t="s">
        <v>457</v>
      </c>
      <c r="C24" t="s">
        <v>1496</v>
      </c>
      <c r="D24" t="s">
        <v>178</v>
      </c>
      <c r="E24" s="347" t="s">
        <v>1500</v>
      </c>
      <c r="F24" s="8">
        <v>56640</v>
      </c>
      <c r="G24">
        <v>1000</v>
      </c>
      <c r="I24" s="347">
        <f t="shared" si="0"/>
        <v>1000</v>
      </c>
      <c r="J24" s="370">
        <f t="shared" si="1"/>
        <v>56.64</v>
      </c>
      <c r="K24" s="9">
        <f t="shared" si="2"/>
        <v>0</v>
      </c>
      <c r="L24" s="9">
        <f t="shared" si="3"/>
        <v>56640</v>
      </c>
      <c r="M24" s="347" t="str">
        <f t="shared" si="4"/>
        <v>OK</v>
      </c>
      <c r="N24" t="s">
        <v>1525</v>
      </c>
    </row>
    <row r="25" spans="1:14" hidden="1" x14ac:dyDescent="0.3">
      <c r="A25" s="347" t="s">
        <v>1254</v>
      </c>
      <c r="B25" t="s">
        <v>457</v>
      </c>
      <c r="C25" t="s">
        <v>1496</v>
      </c>
      <c r="D25" t="s">
        <v>178</v>
      </c>
      <c r="E25" s="347" t="s">
        <v>1500</v>
      </c>
      <c r="F25" s="8">
        <v>56400</v>
      </c>
      <c r="G25">
        <v>1000</v>
      </c>
      <c r="I25" s="347">
        <f t="shared" si="0"/>
        <v>1000</v>
      </c>
      <c r="J25" s="370">
        <f t="shared" si="1"/>
        <v>56.4</v>
      </c>
      <c r="K25" s="9">
        <f t="shared" si="2"/>
        <v>0</v>
      </c>
      <c r="L25" s="9">
        <f t="shared" si="3"/>
        <v>56400</v>
      </c>
      <c r="M25" s="347" t="str">
        <f t="shared" si="4"/>
        <v>OK</v>
      </c>
      <c r="N25" t="s">
        <v>1525</v>
      </c>
    </row>
    <row r="26" spans="1:14" hidden="1" x14ac:dyDescent="0.3">
      <c r="A26" s="347" t="s">
        <v>1256</v>
      </c>
      <c r="B26" t="s">
        <v>147</v>
      </c>
      <c r="C26" t="s">
        <v>1526</v>
      </c>
      <c r="D26" t="s">
        <v>178</v>
      </c>
      <c r="E26" s="347" t="s">
        <v>1497</v>
      </c>
      <c r="F26" s="8">
        <v>65000</v>
      </c>
      <c r="G26">
        <v>1000</v>
      </c>
      <c r="H26">
        <v>1.66</v>
      </c>
      <c r="I26" s="347">
        <f t="shared" si="0"/>
        <v>998.34</v>
      </c>
      <c r="J26" s="370">
        <f t="shared" si="1"/>
        <v>65</v>
      </c>
      <c r="K26" s="9">
        <f t="shared" si="2"/>
        <v>107.9</v>
      </c>
      <c r="L26" s="9">
        <f t="shared" si="3"/>
        <v>64892.1</v>
      </c>
      <c r="M26" s="347" t="str">
        <f t="shared" si="4"/>
        <v>OK</v>
      </c>
    </row>
    <row r="27" spans="1:14" hidden="1" x14ac:dyDescent="0.3">
      <c r="A27" s="347" t="s">
        <v>1255</v>
      </c>
      <c r="B27" t="s">
        <v>1142</v>
      </c>
      <c r="C27" t="s">
        <v>1529</v>
      </c>
      <c r="D27" t="s">
        <v>178</v>
      </c>
      <c r="E27" s="347" t="s">
        <v>1493</v>
      </c>
      <c r="F27" s="8">
        <v>100000</v>
      </c>
      <c r="G27">
        <v>1000</v>
      </c>
      <c r="H27">
        <v>129.24</v>
      </c>
      <c r="I27" s="347">
        <f t="shared" si="0"/>
        <v>870.76</v>
      </c>
      <c r="J27" s="370">
        <f t="shared" si="1"/>
        <v>100</v>
      </c>
      <c r="K27" s="9">
        <f t="shared" si="2"/>
        <v>12924</v>
      </c>
      <c r="L27" s="9">
        <f t="shared" si="3"/>
        <v>87076</v>
      </c>
      <c r="M27" s="347" t="str">
        <f t="shared" si="4"/>
        <v>OK</v>
      </c>
    </row>
    <row r="28" spans="1:14" hidden="1" x14ac:dyDescent="0.3">
      <c r="A28" s="347" t="s">
        <v>1258</v>
      </c>
      <c r="B28" t="s">
        <v>506</v>
      </c>
      <c r="C28" t="s">
        <v>1533</v>
      </c>
      <c r="D28" t="s">
        <v>178</v>
      </c>
      <c r="E28" s="347" t="s">
        <v>1493</v>
      </c>
      <c r="F28" s="8">
        <v>65000</v>
      </c>
      <c r="G28">
        <v>1000</v>
      </c>
      <c r="H28">
        <v>628.99</v>
      </c>
      <c r="I28" s="347">
        <f t="shared" ref="I28:I34" si="5">G28-H28</f>
        <v>371.01</v>
      </c>
      <c r="J28" s="370">
        <f t="shared" ref="J28:J34" si="6">F28/G28</f>
        <v>65</v>
      </c>
      <c r="K28" s="9">
        <f t="shared" ref="K28:K34" si="7">(H28*F28)/G28</f>
        <v>40884.35</v>
      </c>
      <c r="L28" s="9">
        <f t="shared" ref="L28:L34" si="8">(I28*F28)/G28</f>
        <v>24115.65</v>
      </c>
      <c r="M28" s="347" t="str">
        <f t="shared" ref="M28:M34" si="9">IF(I28&lt;200, "REPONER", "OK")</f>
        <v>OK</v>
      </c>
    </row>
    <row r="29" spans="1:14" hidden="1" x14ac:dyDescent="0.3">
      <c r="A29" s="347" t="s">
        <v>1259</v>
      </c>
      <c r="B29" t="s">
        <v>455</v>
      </c>
      <c r="C29" t="s">
        <v>1536</v>
      </c>
      <c r="D29" t="s">
        <v>178</v>
      </c>
      <c r="E29" s="347" t="s">
        <v>1500</v>
      </c>
      <c r="F29" s="8">
        <v>71040</v>
      </c>
      <c r="G29">
        <v>1000</v>
      </c>
      <c r="I29" s="347">
        <f t="shared" si="5"/>
        <v>1000</v>
      </c>
      <c r="J29" s="370">
        <f t="shared" si="6"/>
        <v>71.040000000000006</v>
      </c>
      <c r="K29" s="9">
        <f t="shared" si="7"/>
        <v>0</v>
      </c>
      <c r="L29" s="9">
        <f t="shared" si="8"/>
        <v>71040</v>
      </c>
      <c r="M29" s="347" t="str">
        <f t="shared" si="9"/>
        <v>OK</v>
      </c>
      <c r="N29" t="s">
        <v>1525</v>
      </c>
    </row>
    <row r="30" spans="1:14" x14ac:dyDescent="0.3">
      <c r="A30" s="347" t="s">
        <v>1265</v>
      </c>
      <c r="B30" t="s">
        <v>458</v>
      </c>
      <c r="C30" t="s">
        <v>1506</v>
      </c>
      <c r="D30" t="s">
        <v>178</v>
      </c>
      <c r="E30" s="347" t="s">
        <v>1500</v>
      </c>
      <c r="F30" s="8">
        <v>56400</v>
      </c>
      <c r="G30">
        <v>1000</v>
      </c>
      <c r="I30" s="347">
        <f t="shared" si="5"/>
        <v>1000</v>
      </c>
      <c r="J30" s="370">
        <f t="shared" si="6"/>
        <v>56.4</v>
      </c>
      <c r="K30" s="9">
        <f t="shared" si="7"/>
        <v>0</v>
      </c>
      <c r="L30" s="9">
        <f t="shared" si="8"/>
        <v>56400</v>
      </c>
      <c r="M30" s="347" t="str">
        <f t="shared" si="9"/>
        <v>OK</v>
      </c>
      <c r="N30" t="s">
        <v>1525</v>
      </c>
    </row>
    <row r="31" spans="1:14" x14ac:dyDescent="0.3">
      <c r="A31" s="347" t="s">
        <v>1266</v>
      </c>
      <c r="B31" t="s">
        <v>458</v>
      </c>
      <c r="C31" t="s">
        <v>1506</v>
      </c>
      <c r="D31" t="s">
        <v>178</v>
      </c>
      <c r="E31" s="347" t="s">
        <v>1500</v>
      </c>
      <c r="F31" s="8">
        <v>56400</v>
      </c>
      <c r="G31">
        <v>1000</v>
      </c>
      <c r="I31" s="347">
        <f t="shared" si="5"/>
        <v>1000</v>
      </c>
      <c r="J31" s="370">
        <f t="shared" si="6"/>
        <v>56.4</v>
      </c>
      <c r="K31" s="9">
        <f t="shared" si="7"/>
        <v>0</v>
      </c>
      <c r="L31" s="9">
        <f t="shared" si="8"/>
        <v>56400</v>
      </c>
      <c r="M31" s="347" t="str">
        <f t="shared" si="9"/>
        <v>OK</v>
      </c>
      <c r="N31" t="s">
        <v>1525</v>
      </c>
    </row>
    <row r="32" spans="1:14" hidden="1" x14ac:dyDescent="0.3">
      <c r="A32" s="347" t="s">
        <v>1260</v>
      </c>
      <c r="B32" t="s">
        <v>143</v>
      </c>
      <c r="C32" t="s">
        <v>1541</v>
      </c>
      <c r="D32" t="s">
        <v>178</v>
      </c>
      <c r="E32" s="347" t="s">
        <v>1497</v>
      </c>
      <c r="F32" s="8">
        <v>65000</v>
      </c>
      <c r="G32">
        <v>1000</v>
      </c>
      <c r="I32" s="347">
        <f t="shared" si="5"/>
        <v>1000</v>
      </c>
      <c r="J32" s="370">
        <f t="shared" si="6"/>
        <v>65</v>
      </c>
      <c r="K32" s="9">
        <f t="shared" si="7"/>
        <v>0</v>
      </c>
      <c r="L32" s="9">
        <f t="shared" si="8"/>
        <v>65000</v>
      </c>
      <c r="M32" s="347" t="str">
        <f t="shared" si="9"/>
        <v>OK</v>
      </c>
    </row>
    <row r="33" spans="1:14" hidden="1" x14ac:dyDescent="0.3">
      <c r="A33" s="347" t="s">
        <v>1261</v>
      </c>
      <c r="B33" t="s">
        <v>140</v>
      </c>
      <c r="C33" t="s">
        <v>1544</v>
      </c>
      <c r="D33" t="s">
        <v>178</v>
      </c>
      <c r="E33" s="347" t="s">
        <v>1497</v>
      </c>
      <c r="F33" s="8">
        <v>65000</v>
      </c>
      <c r="G33">
        <v>1000</v>
      </c>
      <c r="I33" s="347">
        <f t="shared" si="5"/>
        <v>1000</v>
      </c>
      <c r="J33" s="370">
        <f t="shared" si="6"/>
        <v>65</v>
      </c>
      <c r="K33" s="9">
        <f t="shared" si="7"/>
        <v>0</v>
      </c>
      <c r="L33" s="9">
        <f t="shared" si="8"/>
        <v>65000</v>
      </c>
      <c r="M33" s="347" t="str">
        <f t="shared" si="9"/>
        <v>OK</v>
      </c>
    </row>
    <row r="34" spans="1:14" hidden="1" x14ac:dyDescent="0.3">
      <c r="A34" s="347" t="s">
        <v>1267</v>
      </c>
      <c r="B34" t="s">
        <v>1143</v>
      </c>
      <c r="C34" t="s">
        <v>1547</v>
      </c>
      <c r="D34" t="s">
        <v>178</v>
      </c>
      <c r="E34" s="347" t="s">
        <v>1493</v>
      </c>
      <c r="F34" s="8">
        <v>130000</v>
      </c>
      <c r="G34">
        <v>1000</v>
      </c>
      <c r="H34">
        <v>49.45</v>
      </c>
      <c r="I34" s="347">
        <f t="shared" si="5"/>
        <v>950.55</v>
      </c>
      <c r="J34" s="370">
        <f t="shared" si="6"/>
        <v>130</v>
      </c>
      <c r="K34" s="9">
        <f t="shared" si="7"/>
        <v>6428.5</v>
      </c>
      <c r="L34" s="9">
        <f t="shared" si="8"/>
        <v>123571.5</v>
      </c>
      <c r="M34" s="347" t="str">
        <f t="shared" si="9"/>
        <v>OK</v>
      </c>
      <c r="N34" t="s">
        <v>1548</v>
      </c>
    </row>
    <row r="35" spans="1:14" hidden="1" x14ac:dyDescent="0.3">
      <c r="A35" s="347" t="s">
        <v>1268</v>
      </c>
      <c r="B35" t="s">
        <v>456</v>
      </c>
      <c r="C35" t="s">
        <v>1509</v>
      </c>
      <c r="D35" t="s">
        <v>178</v>
      </c>
      <c r="E35" s="347" t="s">
        <v>1500</v>
      </c>
      <c r="F35" s="8">
        <v>71040</v>
      </c>
      <c r="G35">
        <v>1000</v>
      </c>
      <c r="I35" s="347">
        <f t="shared" ref="I35:I65" si="10">G35-H35</f>
        <v>1000</v>
      </c>
      <c r="J35" s="370">
        <f t="shared" ref="J35:J65" si="11">F35/G35</f>
        <v>71.040000000000006</v>
      </c>
      <c r="K35" s="9">
        <f t="shared" ref="K35:K65" si="12">(H35*F35)/G35</f>
        <v>0</v>
      </c>
      <c r="L35" s="9">
        <f t="shared" ref="L35:L65" si="13">(I35*F35)/G35</f>
        <v>71040</v>
      </c>
      <c r="M35" s="347" t="str">
        <f t="shared" ref="M35:M65" si="14">IF(I35&lt;200, "REPONER", "OK")</f>
        <v>OK</v>
      </c>
      <c r="N35" t="s">
        <v>1525</v>
      </c>
    </row>
    <row r="36" spans="1:14" hidden="1" x14ac:dyDescent="0.3">
      <c r="A36" s="347" t="s">
        <v>1273</v>
      </c>
      <c r="B36" t="s">
        <v>144</v>
      </c>
      <c r="C36" t="s">
        <v>1553</v>
      </c>
      <c r="D36" t="s">
        <v>178</v>
      </c>
      <c r="E36" s="347" t="s">
        <v>1497</v>
      </c>
      <c r="F36" s="8">
        <v>65000</v>
      </c>
      <c r="G36">
        <v>1000</v>
      </c>
      <c r="I36" s="347">
        <f t="shared" si="10"/>
        <v>1000</v>
      </c>
      <c r="J36" s="370">
        <f t="shared" si="11"/>
        <v>65</v>
      </c>
      <c r="K36" s="9">
        <f t="shared" si="12"/>
        <v>0</v>
      </c>
      <c r="L36" s="9">
        <f t="shared" si="13"/>
        <v>65000</v>
      </c>
      <c r="M36" s="347" t="str">
        <f t="shared" si="14"/>
        <v>OK</v>
      </c>
    </row>
    <row r="37" spans="1:14" hidden="1" x14ac:dyDescent="0.3">
      <c r="A37" s="347" t="s">
        <v>1275</v>
      </c>
      <c r="B37" t="s">
        <v>145</v>
      </c>
      <c r="C37" t="s">
        <v>1556</v>
      </c>
      <c r="D37" t="s">
        <v>178</v>
      </c>
      <c r="E37" s="347" t="s">
        <v>1497</v>
      </c>
      <c r="F37" s="8">
        <v>65000</v>
      </c>
      <c r="G37">
        <v>1000</v>
      </c>
      <c r="H37">
        <v>290.64999999999998</v>
      </c>
      <c r="I37" s="347">
        <f t="shared" si="10"/>
        <v>709.35</v>
      </c>
      <c r="J37" s="370">
        <f t="shared" si="11"/>
        <v>65</v>
      </c>
      <c r="K37" s="9">
        <f t="shared" si="12"/>
        <v>18892.25</v>
      </c>
      <c r="L37" s="9">
        <f t="shared" si="13"/>
        <v>46107.75</v>
      </c>
      <c r="M37" s="347" t="str">
        <f t="shared" si="14"/>
        <v>OK</v>
      </c>
    </row>
    <row r="38" spans="1:14" hidden="1" x14ac:dyDescent="0.3">
      <c r="A38" s="347" t="s">
        <v>1562</v>
      </c>
      <c r="B38" t="s">
        <v>1559</v>
      </c>
      <c r="C38" t="s">
        <v>1560</v>
      </c>
      <c r="D38" t="s">
        <v>178</v>
      </c>
      <c r="E38" s="347" t="s">
        <v>1561</v>
      </c>
      <c r="F38" s="8">
        <v>85000</v>
      </c>
      <c r="G38">
        <v>1000</v>
      </c>
      <c r="I38" s="347">
        <f t="shared" si="10"/>
        <v>1000</v>
      </c>
      <c r="J38" s="370">
        <f t="shared" si="11"/>
        <v>85</v>
      </c>
      <c r="K38" s="9">
        <f t="shared" si="12"/>
        <v>0</v>
      </c>
      <c r="L38" s="9">
        <f t="shared" si="13"/>
        <v>85000</v>
      </c>
      <c r="M38" s="347" t="str">
        <f t="shared" si="14"/>
        <v>OK</v>
      </c>
    </row>
    <row r="39" spans="1:14" hidden="1" x14ac:dyDescent="0.3">
      <c r="A39" s="347" t="s">
        <v>1566</v>
      </c>
      <c r="B39" t="s">
        <v>1563</v>
      </c>
      <c r="C39" t="s">
        <v>1564</v>
      </c>
      <c r="D39" t="s">
        <v>178</v>
      </c>
      <c r="E39" s="347" t="s">
        <v>1561</v>
      </c>
      <c r="F39" s="8">
        <v>85000</v>
      </c>
      <c r="G39">
        <v>1000</v>
      </c>
      <c r="I39" s="347">
        <f t="shared" si="10"/>
        <v>1000</v>
      </c>
      <c r="J39" s="370">
        <f t="shared" si="11"/>
        <v>85</v>
      </c>
      <c r="K39" s="9">
        <f t="shared" si="12"/>
        <v>0</v>
      </c>
      <c r="L39" s="9">
        <f t="shared" si="13"/>
        <v>85000</v>
      </c>
      <c r="M39" s="347" t="str">
        <f t="shared" si="14"/>
        <v>OK</v>
      </c>
      <c r="N39" t="s">
        <v>1565</v>
      </c>
    </row>
    <row r="40" spans="1:14" hidden="1" x14ac:dyDescent="0.3">
      <c r="A40" s="347" t="s">
        <v>1569</v>
      </c>
      <c r="B40" t="s">
        <v>1567</v>
      </c>
      <c r="C40" t="s">
        <v>1568</v>
      </c>
      <c r="D40" t="s">
        <v>177</v>
      </c>
      <c r="E40" s="347" t="s">
        <v>1561</v>
      </c>
      <c r="F40" s="8">
        <v>85000</v>
      </c>
      <c r="G40">
        <v>1000</v>
      </c>
      <c r="I40" s="347">
        <f t="shared" si="10"/>
        <v>1000</v>
      </c>
      <c r="J40" s="370">
        <f t="shared" si="11"/>
        <v>85</v>
      </c>
      <c r="K40" s="9">
        <f t="shared" si="12"/>
        <v>0</v>
      </c>
      <c r="L40" s="9">
        <f t="shared" si="13"/>
        <v>85000</v>
      </c>
      <c r="M40" s="347" t="str">
        <f t="shared" si="14"/>
        <v>OK</v>
      </c>
    </row>
    <row r="41" spans="1:14" hidden="1" x14ac:dyDescent="0.3">
      <c r="A41" s="347" t="s">
        <v>1573</v>
      </c>
      <c r="B41" t="s">
        <v>1570</v>
      </c>
      <c r="C41" t="s">
        <v>1571</v>
      </c>
      <c r="D41" t="s">
        <v>178</v>
      </c>
      <c r="E41" s="347" t="s">
        <v>1561</v>
      </c>
      <c r="F41" s="8">
        <v>85000</v>
      </c>
      <c r="G41">
        <v>1000</v>
      </c>
      <c r="I41" s="347">
        <f t="shared" si="10"/>
        <v>1000</v>
      </c>
      <c r="J41" s="370">
        <f t="shared" si="11"/>
        <v>85</v>
      </c>
      <c r="K41" s="9">
        <f t="shared" si="12"/>
        <v>0</v>
      </c>
      <c r="L41" s="9">
        <f t="shared" si="13"/>
        <v>85000</v>
      </c>
      <c r="M41" s="347" t="str">
        <f t="shared" si="14"/>
        <v>OK</v>
      </c>
    </row>
    <row r="42" spans="1:14" hidden="1" x14ac:dyDescent="0.3">
      <c r="A42" s="347" t="s">
        <v>1576</v>
      </c>
      <c r="B42" t="s">
        <v>1574</v>
      </c>
      <c r="C42" t="s">
        <v>1503</v>
      </c>
      <c r="D42" t="s">
        <v>178</v>
      </c>
      <c r="E42" s="347" t="s">
        <v>1575</v>
      </c>
      <c r="F42" s="8">
        <v>58025</v>
      </c>
      <c r="G42">
        <v>1000</v>
      </c>
      <c r="I42" s="347">
        <f t="shared" si="10"/>
        <v>1000</v>
      </c>
      <c r="J42" s="370">
        <f t="shared" si="11"/>
        <v>58.024999999999999</v>
      </c>
      <c r="K42" s="9">
        <f t="shared" si="12"/>
        <v>0</v>
      </c>
      <c r="L42" s="9">
        <f t="shared" si="13"/>
        <v>58025</v>
      </c>
      <c r="M42" s="347" t="str">
        <f t="shared" si="14"/>
        <v>OK</v>
      </c>
    </row>
    <row r="43" spans="1:14" hidden="1" x14ac:dyDescent="0.3">
      <c r="A43" s="347" t="s">
        <v>1276</v>
      </c>
      <c r="B43" t="s">
        <v>1577</v>
      </c>
      <c r="C43" t="s">
        <v>1509</v>
      </c>
      <c r="D43" t="s">
        <v>178</v>
      </c>
      <c r="E43" s="347" t="s">
        <v>1575</v>
      </c>
      <c r="F43" s="8">
        <v>58025</v>
      </c>
      <c r="G43">
        <v>1000</v>
      </c>
      <c r="I43" s="347">
        <f t="shared" si="10"/>
        <v>1000</v>
      </c>
      <c r="J43" s="370">
        <f t="shared" si="11"/>
        <v>58.024999999999999</v>
      </c>
      <c r="K43" s="9">
        <f t="shared" si="12"/>
        <v>0</v>
      </c>
      <c r="L43" s="9">
        <f t="shared" si="13"/>
        <v>58025</v>
      </c>
      <c r="M43" s="347" t="str">
        <f t="shared" si="14"/>
        <v>OK</v>
      </c>
    </row>
    <row r="44" spans="1:14" hidden="1" x14ac:dyDescent="0.3">
      <c r="A44" s="347" t="s">
        <v>1581</v>
      </c>
      <c r="B44" t="s">
        <v>1579</v>
      </c>
      <c r="C44" t="s">
        <v>1580</v>
      </c>
      <c r="D44" t="s">
        <v>178</v>
      </c>
      <c r="E44" s="347" t="s">
        <v>1575</v>
      </c>
      <c r="F44" s="8">
        <v>58025</v>
      </c>
      <c r="G44">
        <v>1000</v>
      </c>
      <c r="I44" s="347">
        <f t="shared" si="10"/>
        <v>1000</v>
      </c>
      <c r="J44" s="370">
        <f t="shared" si="11"/>
        <v>58.024999999999999</v>
      </c>
      <c r="K44" s="9">
        <f t="shared" si="12"/>
        <v>0</v>
      </c>
      <c r="L44" s="9">
        <f t="shared" si="13"/>
        <v>58025</v>
      </c>
      <c r="M44" s="347" t="str">
        <f t="shared" si="14"/>
        <v>OK</v>
      </c>
    </row>
    <row r="45" spans="1:14" hidden="1" x14ac:dyDescent="0.3">
      <c r="A45" s="347" t="s">
        <v>1588</v>
      </c>
      <c r="B45" t="s">
        <v>1586</v>
      </c>
      <c r="C45" t="s">
        <v>1587</v>
      </c>
      <c r="D45" t="s">
        <v>178</v>
      </c>
      <c r="E45" s="347" t="s">
        <v>1575</v>
      </c>
      <c r="F45" s="8">
        <v>58025</v>
      </c>
      <c r="G45">
        <v>1000</v>
      </c>
      <c r="I45" s="347">
        <f t="shared" si="10"/>
        <v>1000</v>
      </c>
      <c r="J45" s="370">
        <f t="shared" si="11"/>
        <v>58.024999999999999</v>
      </c>
      <c r="K45" s="9">
        <f t="shared" si="12"/>
        <v>0</v>
      </c>
      <c r="L45" s="9">
        <f t="shared" si="13"/>
        <v>58025</v>
      </c>
      <c r="M45" s="347" t="str">
        <f t="shared" si="14"/>
        <v>OK</v>
      </c>
    </row>
    <row r="46" spans="1:14" hidden="1" x14ac:dyDescent="0.3">
      <c r="A46" s="347" t="s">
        <v>1592</v>
      </c>
      <c r="B46" t="s">
        <v>1591</v>
      </c>
      <c r="C46" t="s">
        <v>1496</v>
      </c>
      <c r="D46" t="s">
        <v>178</v>
      </c>
      <c r="E46" s="347" t="s">
        <v>1575</v>
      </c>
      <c r="F46" s="8">
        <v>58025</v>
      </c>
      <c r="G46">
        <v>1000</v>
      </c>
      <c r="I46" s="347">
        <f t="shared" si="10"/>
        <v>1000</v>
      </c>
      <c r="J46" s="370">
        <f t="shared" si="11"/>
        <v>58.024999999999999</v>
      </c>
      <c r="K46" s="9">
        <f t="shared" si="12"/>
        <v>0</v>
      </c>
      <c r="L46" s="9">
        <f t="shared" si="13"/>
        <v>58025</v>
      </c>
      <c r="M46" s="347" t="str">
        <f t="shared" si="14"/>
        <v>OK</v>
      </c>
    </row>
    <row r="47" spans="1:14" x14ac:dyDescent="0.3">
      <c r="A47" s="347" t="s">
        <v>1596</v>
      </c>
      <c r="B47" t="s">
        <v>1595</v>
      </c>
      <c r="C47" t="s">
        <v>1506</v>
      </c>
      <c r="D47" t="s">
        <v>178</v>
      </c>
      <c r="E47" s="347" t="s">
        <v>1575</v>
      </c>
      <c r="F47" s="8">
        <v>58025</v>
      </c>
      <c r="G47">
        <v>1000</v>
      </c>
      <c r="I47" s="347">
        <f t="shared" si="10"/>
        <v>1000</v>
      </c>
      <c r="J47" s="370">
        <f t="shared" si="11"/>
        <v>58.024999999999999</v>
      </c>
      <c r="K47" s="9">
        <f t="shared" si="12"/>
        <v>0</v>
      </c>
      <c r="L47" s="9">
        <f t="shared" si="13"/>
        <v>58025</v>
      </c>
      <c r="M47" s="347" t="str">
        <f t="shared" si="14"/>
        <v>OK</v>
      </c>
    </row>
    <row r="48" spans="1:14" x14ac:dyDescent="0.3">
      <c r="A48" s="347" t="s">
        <v>1600</v>
      </c>
      <c r="B48" t="s">
        <v>1599</v>
      </c>
      <c r="C48" t="s">
        <v>1492</v>
      </c>
      <c r="D48" t="s">
        <v>178</v>
      </c>
      <c r="E48" s="347" t="s">
        <v>1575</v>
      </c>
      <c r="F48" s="8">
        <v>58025</v>
      </c>
      <c r="G48">
        <v>1000</v>
      </c>
      <c r="I48" s="347">
        <f t="shared" si="10"/>
        <v>1000</v>
      </c>
      <c r="J48" s="370">
        <f t="shared" si="11"/>
        <v>58.024999999999999</v>
      </c>
      <c r="K48" s="9">
        <f t="shared" si="12"/>
        <v>0</v>
      </c>
      <c r="L48" s="9">
        <f t="shared" si="13"/>
        <v>58025</v>
      </c>
      <c r="M48" s="347" t="str">
        <f t="shared" si="14"/>
        <v>OK</v>
      </c>
    </row>
    <row r="49" spans="1:14" hidden="1" x14ac:dyDescent="0.3">
      <c r="A49" s="347" t="s">
        <v>1605</v>
      </c>
      <c r="B49" t="s">
        <v>1603</v>
      </c>
      <c r="C49" t="s">
        <v>1604</v>
      </c>
      <c r="D49" t="s">
        <v>178</v>
      </c>
      <c r="E49" s="347" t="s">
        <v>1575</v>
      </c>
      <c r="F49" s="8">
        <v>58025</v>
      </c>
      <c r="G49">
        <v>1000</v>
      </c>
      <c r="I49" s="347">
        <f t="shared" si="10"/>
        <v>1000</v>
      </c>
      <c r="J49" s="370">
        <f t="shared" si="11"/>
        <v>58.024999999999999</v>
      </c>
      <c r="K49" s="9">
        <f t="shared" si="12"/>
        <v>0</v>
      </c>
      <c r="L49" s="9">
        <f t="shared" si="13"/>
        <v>58025</v>
      </c>
      <c r="M49" s="347" t="str">
        <f t="shared" si="14"/>
        <v>OK</v>
      </c>
    </row>
    <row r="50" spans="1:14" hidden="1" x14ac:dyDescent="0.3">
      <c r="A50" s="347" t="s">
        <v>1609</v>
      </c>
      <c r="B50" t="s">
        <v>1608</v>
      </c>
      <c r="C50" t="s">
        <v>1520</v>
      </c>
      <c r="D50" t="s">
        <v>178</v>
      </c>
      <c r="E50" s="347" t="s">
        <v>1575</v>
      </c>
      <c r="F50" s="8">
        <v>58025</v>
      </c>
      <c r="G50">
        <v>1000</v>
      </c>
      <c r="I50" s="347">
        <f t="shared" si="10"/>
        <v>1000</v>
      </c>
      <c r="J50" s="370">
        <f t="shared" si="11"/>
        <v>58.024999999999999</v>
      </c>
      <c r="K50" s="9">
        <f t="shared" si="12"/>
        <v>0</v>
      </c>
      <c r="L50" s="9">
        <f t="shared" si="13"/>
        <v>58025</v>
      </c>
      <c r="M50" s="347" t="str">
        <f t="shared" si="14"/>
        <v>OK</v>
      </c>
    </row>
    <row r="51" spans="1:14" hidden="1" x14ac:dyDescent="0.3">
      <c r="A51" s="347" t="s">
        <v>1613</v>
      </c>
      <c r="B51" t="s">
        <v>1612</v>
      </c>
      <c r="C51" t="s">
        <v>1514</v>
      </c>
      <c r="D51" t="s">
        <v>178</v>
      </c>
      <c r="E51" s="347" t="s">
        <v>1575</v>
      </c>
      <c r="F51" s="8">
        <v>58025</v>
      </c>
      <c r="G51">
        <v>1000</v>
      </c>
      <c r="I51" s="347">
        <f t="shared" si="10"/>
        <v>1000</v>
      </c>
      <c r="J51" s="370">
        <f t="shared" si="11"/>
        <v>58.024999999999999</v>
      </c>
      <c r="K51" s="9">
        <f t="shared" si="12"/>
        <v>0</v>
      </c>
      <c r="L51" s="9">
        <f t="shared" si="13"/>
        <v>58025</v>
      </c>
      <c r="M51" s="347" t="str">
        <f t="shared" si="14"/>
        <v>OK</v>
      </c>
    </row>
    <row r="52" spans="1:14" x14ac:dyDescent="0.3">
      <c r="A52" s="347" t="s">
        <v>1617</v>
      </c>
      <c r="B52" t="s">
        <v>1616</v>
      </c>
      <c r="C52" t="s">
        <v>1506</v>
      </c>
      <c r="D52" t="s">
        <v>177</v>
      </c>
      <c r="E52" s="347" t="s">
        <v>1575</v>
      </c>
      <c r="F52" s="8">
        <v>58025</v>
      </c>
      <c r="G52">
        <v>1000</v>
      </c>
      <c r="I52" s="347">
        <f t="shared" si="10"/>
        <v>1000</v>
      </c>
      <c r="J52" s="370">
        <f t="shared" si="11"/>
        <v>58.024999999999999</v>
      </c>
      <c r="K52" s="9">
        <f t="shared" si="12"/>
        <v>0</v>
      </c>
      <c r="L52" s="9">
        <f t="shared" si="13"/>
        <v>58025</v>
      </c>
      <c r="M52" s="347" t="str">
        <f t="shared" si="14"/>
        <v>OK</v>
      </c>
    </row>
    <row r="53" spans="1:14" hidden="1" x14ac:dyDescent="0.3">
      <c r="A53" s="347" t="s">
        <v>1621</v>
      </c>
      <c r="B53" t="s">
        <v>1620</v>
      </c>
      <c r="C53" t="s">
        <v>1514</v>
      </c>
      <c r="D53" t="s">
        <v>177</v>
      </c>
      <c r="E53" s="347" t="s">
        <v>1575</v>
      </c>
      <c r="F53" s="8">
        <v>58025</v>
      </c>
      <c r="G53">
        <v>1000</v>
      </c>
      <c r="I53" s="347">
        <f t="shared" si="10"/>
        <v>1000</v>
      </c>
      <c r="J53" s="370">
        <f t="shared" si="11"/>
        <v>58.024999999999999</v>
      </c>
      <c r="K53" s="9">
        <f t="shared" si="12"/>
        <v>0</v>
      </c>
      <c r="L53" s="9">
        <f t="shared" si="13"/>
        <v>58025</v>
      </c>
      <c r="M53" s="347" t="str">
        <f t="shared" si="14"/>
        <v>OK</v>
      </c>
    </row>
    <row r="54" spans="1:14" hidden="1" x14ac:dyDescent="0.3">
      <c r="A54" s="347" t="s">
        <v>1625</v>
      </c>
      <c r="B54" t="s">
        <v>1624</v>
      </c>
      <c r="C54" t="s">
        <v>1604</v>
      </c>
      <c r="D54" t="s">
        <v>177</v>
      </c>
      <c r="E54" s="347" t="s">
        <v>1575</v>
      </c>
      <c r="F54" s="8">
        <v>58025</v>
      </c>
      <c r="G54">
        <v>1000</v>
      </c>
      <c r="I54" s="347">
        <f t="shared" si="10"/>
        <v>1000</v>
      </c>
      <c r="J54" s="370">
        <f t="shared" si="11"/>
        <v>58.024999999999999</v>
      </c>
      <c r="K54" s="9">
        <f t="shared" si="12"/>
        <v>0</v>
      </c>
      <c r="L54" s="9">
        <f t="shared" si="13"/>
        <v>58025</v>
      </c>
      <c r="M54" s="347" t="str">
        <f t="shared" si="14"/>
        <v>OK</v>
      </c>
    </row>
    <row r="55" spans="1:14" hidden="1" x14ac:dyDescent="0.3">
      <c r="A55" s="347" t="s">
        <v>1629</v>
      </c>
      <c r="B55" t="s">
        <v>1628</v>
      </c>
      <c r="C55" t="s">
        <v>1580</v>
      </c>
      <c r="D55" t="s">
        <v>177</v>
      </c>
      <c r="E55" s="347" t="s">
        <v>1575</v>
      </c>
      <c r="F55" s="8">
        <v>58025</v>
      </c>
      <c r="G55">
        <v>1000</v>
      </c>
      <c r="I55" s="347">
        <f t="shared" si="10"/>
        <v>1000</v>
      </c>
      <c r="J55" s="370">
        <f t="shared" si="11"/>
        <v>58.024999999999999</v>
      </c>
      <c r="K55" s="9">
        <f t="shared" si="12"/>
        <v>0</v>
      </c>
      <c r="L55" s="9">
        <f t="shared" si="13"/>
        <v>58025</v>
      </c>
      <c r="M55" s="347" t="str">
        <f t="shared" si="14"/>
        <v>OK</v>
      </c>
    </row>
    <row r="56" spans="1:14" x14ac:dyDescent="0.3">
      <c r="A56" s="347" t="s">
        <v>1633</v>
      </c>
      <c r="B56" t="s">
        <v>1632</v>
      </c>
      <c r="C56" t="s">
        <v>1492</v>
      </c>
      <c r="D56" t="s">
        <v>177</v>
      </c>
      <c r="E56" s="347" t="s">
        <v>1575</v>
      </c>
      <c r="F56" s="8">
        <v>58025</v>
      </c>
      <c r="G56">
        <v>1000</v>
      </c>
      <c r="I56" s="347">
        <f t="shared" si="10"/>
        <v>1000</v>
      </c>
      <c r="J56" s="370">
        <f t="shared" si="11"/>
        <v>58.024999999999999</v>
      </c>
      <c r="K56" s="9">
        <f t="shared" si="12"/>
        <v>0</v>
      </c>
      <c r="L56" s="9">
        <f t="shared" si="13"/>
        <v>58025</v>
      </c>
      <c r="M56" s="347" t="str">
        <f t="shared" si="14"/>
        <v>OK</v>
      </c>
    </row>
    <row r="57" spans="1:14" hidden="1" x14ac:dyDescent="0.3">
      <c r="A57" s="347" t="s">
        <v>1638</v>
      </c>
      <c r="B57" t="s">
        <v>1636</v>
      </c>
      <c r="C57" t="s">
        <v>1637</v>
      </c>
      <c r="D57" t="s">
        <v>177</v>
      </c>
      <c r="E57" s="347" t="s">
        <v>1575</v>
      </c>
      <c r="F57" s="8">
        <v>58025</v>
      </c>
      <c r="G57">
        <v>1000</v>
      </c>
      <c r="I57" s="347">
        <f t="shared" si="10"/>
        <v>1000</v>
      </c>
      <c r="J57" s="370">
        <f t="shared" si="11"/>
        <v>58.024999999999999</v>
      </c>
      <c r="K57" s="9">
        <f t="shared" si="12"/>
        <v>0</v>
      </c>
      <c r="L57" s="9">
        <f t="shared" si="13"/>
        <v>58025</v>
      </c>
      <c r="M57" s="347" t="str">
        <f t="shared" si="14"/>
        <v>OK</v>
      </c>
    </row>
    <row r="58" spans="1:14" hidden="1" x14ac:dyDescent="0.3">
      <c r="A58" s="347" t="s">
        <v>1642</v>
      </c>
      <c r="B58" t="s">
        <v>1641</v>
      </c>
      <c r="C58" t="s">
        <v>1503</v>
      </c>
      <c r="D58" t="s">
        <v>177</v>
      </c>
      <c r="E58" s="347" t="s">
        <v>1575</v>
      </c>
      <c r="F58" s="8">
        <v>58025</v>
      </c>
      <c r="G58">
        <v>1000</v>
      </c>
      <c r="I58" s="347">
        <f t="shared" si="10"/>
        <v>1000</v>
      </c>
      <c r="J58" s="370">
        <f t="shared" si="11"/>
        <v>58.024999999999999</v>
      </c>
      <c r="K58" s="9">
        <f t="shared" si="12"/>
        <v>0</v>
      </c>
      <c r="L58" s="9">
        <f t="shared" si="13"/>
        <v>58025</v>
      </c>
      <c r="M58" s="347" t="str">
        <f t="shared" si="14"/>
        <v>OK</v>
      </c>
    </row>
    <row r="59" spans="1:14" hidden="1" x14ac:dyDescent="0.3">
      <c r="A59" s="347" t="s">
        <v>1649</v>
      </c>
      <c r="B59" t="s">
        <v>1645</v>
      </c>
      <c r="C59" t="s">
        <v>1646</v>
      </c>
      <c r="D59" t="s">
        <v>177</v>
      </c>
      <c r="E59" s="347" t="s">
        <v>1575</v>
      </c>
      <c r="F59" s="8">
        <v>58025</v>
      </c>
      <c r="G59">
        <v>1000</v>
      </c>
      <c r="I59" s="347">
        <f t="shared" si="10"/>
        <v>1000</v>
      </c>
      <c r="J59" s="370">
        <f t="shared" si="11"/>
        <v>58.024999999999999</v>
      </c>
      <c r="K59" s="9">
        <f t="shared" si="12"/>
        <v>0</v>
      </c>
      <c r="L59" s="9">
        <f t="shared" si="13"/>
        <v>58025</v>
      </c>
      <c r="M59" s="347" t="str">
        <f t="shared" si="14"/>
        <v>OK</v>
      </c>
    </row>
    <row r="60" spans="1:14" hidden="1" x14ac:dyDescent="0.3">
      <c r="A60" s="347" t="s">
        <v>1651</v>
      </c>
      <c r="B60" t="s">
        <v>1650</v>
      </c>
      <c r="C60" t="s">
        <v>1509</v>
      </c>
      <c r="D60" t="s">
        <v>177</v>
      </c>
      <c r="E60" s="347" t="s">
        <v>1575</v>
      </c>
      <c r="F60" s="8">
        <v>58025</v>
      </c>
      <c r="G60">
        <v>1000</v>
      </c>
      <c r="I60" s="347">
        <f t="shared" si="10"/>
        <v>1000</v>
      </c>
      <c r="J60" s="370">
        <f t="shared" si="11"/>
        <v>58.024999999999999</v>
      </c>
      <c r="K60" s="9">
        <f t="shared" si="12"/>
        <v>0</v>
      </c>
      <c r="L60" s="9">
        <f t="shared" si="13"/>
        <v>58025</v>
      </c>
      <c r="M60" s="347" t="str">
        <f t="shared" si="14"/>
        <v>OK</v>
      </c>
    </row>
    <row r="61" spans="1:14" hidden="1" x14ac:dyDescent="0.3">
      <c r="A61" s="347" t="s">
        <v>1655</v>
      </c>
      <c r="B61" t="s">
        <v>1654</v>
      </c>
      <c r="C61" t="s">
        <v>1496</v>
      </c>
      <c r="D61" t="s">
        <v>177</v>
      </c>
      <c r="E61" s="347" t="s">
        <v>1575</v>
      </c>
      <c r="F61" s="8">
        <v>58025</v>
      </c>
      <c r="G61">
        <v>1000</v>
      </c>
      <c r="I61" s="347">
        <f t="shared" si="10"/>
        <v>1000</v>
      </c>
      <c r="J61" s="370">
        <f t="shared" si="11"/>
        <v>58.024999999999999</v>
      </c>
      <c r="K61" s="9">
        <f t="shared" si="12"/>
        <v>0</v>
      </c>
      <c r="L61" s="9">
        <f t="shared" si="13"/>
        <v>58025</v>
      </c>
      <c r="M61" s="347" t="str">
        <f t="shared" si="14"/>
        <v>OK</v>
      </c>
    </row>
    <row r="62" spans="1:14" hidden="1" x14ac:dyDescent="0.3">
      <c r="A62" s="347" t="s">
        <v>1661</v>
      </c>
      <c r="B62" t="s">
        <v>1659</v>
      </c>
      <c r="C62" t="s">
        <v>1660</v>
      </c>
      <c r="D62" t="s">
        <v>178</v>
      </c>
      <c r="E62" s="347" t="s">
        <v>1575</v>
      </c>
      <c r="F62" s="8">
        <v>58025</v>
      </c>
      <c r="G62">
        <v>1000</v>
      </c>
      <c r="I62" s="347">
        <f t="shared" si="10"/>
        <v>1000</v>
      </c>
      <c r="J62" s="370">
        <f t="shared" si="11"/>
        <v>58.024999999999999</v>
      </c>
      <c r="K62" s="9">
        <f t="shared" si="12"/>
        <v>0</v>
      </c>
      <c r="L62" s="9">
        <f t="shared" si="13"/>
        <v>58025</v>
      </c>
      <c r="M62" s="347" t="str">
        <f t="shared" si="14"/>
        <v>OK</v>
      </c>
      <c r="N62" t="s">
        <v>1525</v>
      </c>
    </row>
    <row r="63" spans="1:14" hidden="1" x14ac:dyDescent="0.3">
      <c r="A63" s="347" t="s">
        <v>1666</v>
      </c>
      <c r="B63" t="s">
        <v>1664</v>
      </c>
      <c r="C63" t="s">
        <v>1665</v>
      </c>
      <c r="D63" t="s">
        <v>178</v>
      </c>
      <c r="E63" s="347" t="s">
        <v>1575</v>
      </c>
      <c r="F63" s="8">
        <v>58025</v>
      </c>
      <c r="G63">
        <v>1000</v>
      </c>
      <c r="I63" s="347">
        <f t="shared" si="10"/>
        <v>1000</v>
      </c>
      <c r="J63" s="370">
        <f t="shared" si="11"/>
        <v>58.024999999999999</v>
      </c>
      <c r="K63" s="9">
        <f t="shared" si="12"/>
        <v>0</v>
      </c>
      <c r="L63" s="9">
        <f t="shared" si="13"/>
        <v>58025</v>
      </c>
      <c r="M63" s="347" t="str">
        <f t="shared" si="14"/>
        <v>OK</v>
      </c>
      <c r="N63" t="s">
        <v>1525</v>
      </c>
    </row>
    <row r="64" spans="1:14" hidden="1" x14ac:dyDescent="0.3">
      <c r="A64" s="347" t="s">
        <v>1670</v>
      </c>
      <c r="B64" t="s">
        <v>1669</v>
      </c>
      <c r="C64" t="s">
        <v>1533</v>
      </c>
      <c r="D64" t="s">
        <v>178</v>
      </c>
      <c r="E64" s="347" t="s">
        <v>1575</v>
      </c>
      <c r="F64" s="8">
        <v>58025</v>
      </c>
      <c r="G64">
        <v>1000</v>
      </c>
      <c r="I64" s="347">
        <f t="shared" si="10"/>
        <v>1000</v>
      </c>
      <c r="J64" s="370">
        <f t="shared" si="11"/>
        <v>58.024999999999999</v>
      </c>
      <c r="K64" s="9">
        <f t="shared" si="12"/>
        <v>0</v>
      </c>
      <c r="L64" s="9">
        <f t="shared" si="13"/>
        <v>58025</v>
      </c>
      <c r="M64" s="347" t="str">
        <f t="shared" si="14"/>
        <v>OK</v>
      </c>
      <c r="N64" t="s">
        <v>1525</v>
      </c>
    </row>
    <row r="65" spans="1:13" hidden="1" x14ac:dyDescent="0.3">
      <c r="A65" s="347" t="s">
        <v>1675</v>
      </c>
      <c r="B65" t="s">
        <v>1673</v>
      </c>
      <c r="C65" t="s">
        <v>1674</v>
      </c>
      <c r="D65" t="s">
        <v>178</v>
      </c>
      <c r="E65" s="347" t="s">
        <v>1575</v>
      </c>
      <c r="F65" s="8">
        <v>58025</v>
      </c>
      <c r="G65">
        <v>1000</v>
      </c>
      <c r="I65" s="347">
        <f t="shared" si="10"/>
        <v>1000</v>
      </c>
      <c r="J65" s="370">
        <f t="shared" si="11"/>
        <v>58.024999999999999</v>
      </c>
      <c r="K65" s="9">
        <f t="shared" si="12"/>
        <v>0</v>
      </c>
      <c r="L65" s="9">
        <f t="shared" si="13"/>
        <v>58025</v>
      </c>
      <c r="M65" s="347" t="str">
        <f t="shared" si="14"/>
        <v>OK</v>
      </c>
    </row>
    <row r="66" spans="1:13" x14ac:dyDescent="0.3">
      <c r="A66" s="347" t="s">
        <v>1687</v>
      </c>
      <c r="B66" t="s">
        <v>1684</v>
      </c>
      <c r="C66" t="s">
        <v>1506</v>
      </c>
      <c r="D66" t="s">
        <v>1678</v>
      </c>
      <c r="E66" s="347" t="s">
        <v>1575</v>
      </c>
      <c r="F66" s="8">
        <v>58027</v>
      </c>
      <c r="G66">
        <v>1000</v>
      </c>
      <c r="I66" s="347">
        <f>G66-H66</f>
        <v>1000</v>
      </c>
      <c r="J66" s="370">
        <f>F66/G66</f>
        <v>58.027000000000001</v>
      </c>
      <c r="K66" s="9">
        <f>(H66*F66)/G66</f>
        <v>0</v>
      </c>
      <c r="L66" s="9">
        <f>(I66*F66)/G66</f>
        <v>58027</v>
      </c>
      <c r="M66" s="347" t="str">
        <f>IF(I66&lt;200, "REPONER", "OK")</f>
        <v>OK</v>
      </c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G8"/>
  <sheetViews>
    <sheetView workbookViewId="0">
      <pane ySplit="1" topLeftCell="A2" activePane="bottomLeft" state="frozen"/>
      <selection pane="bottomLeft" activeCell="B7" sqref="B7"/>
    </sheetView>
  </sheetViews>
  <sheetFormatPr baseColWidth="10" defaultColWidth="9.109375" defaultRowHeight="14.4" x14ac:dyDescent="0.3"/>
  <cols>
    <col min="1" max="1" width="28.6640625" customWidth="1"/>
    <col min="2" max="2" width="13.109375" bestFit="1" customWidth="1"/>
    <col min="4" max="4" width="35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7" x14ac:dyDescent="0.3">
      <c r="A2" t="s">
        <v>4</v>
      </c>
      <c r="B2" s="8">
        <v>5000</v>
      </c>
      <c r="C2" t="s">
        <v>5</v>
      </c>
      <c r="D2" t="s">
        <v>6</v>
      </c>
    </row>
    <row r="3" spans="1:7" x14ac:dyDescent="0.3">
      <c r="A3" t="s">
        <v>129</v>
      </c>
      <c r="B3" s="8">
        <v>3390000</v>
      </c>
      <c r="C3" t="s">
        <v>128</v>
      </c>
      <c r="D3" t="s">
        <v>7</v>
      </c>
    </row>
    <row r="4" spans="1:7" x14ac:dyDescent="0.3">
      <c r="A4" t="s">
        <v>8</v>
      </c>
      <c r="B4" s="8">
        <v>763.2</v>
      </c>
      <c r="C4" t="s">
        <v>130</v>
      </c>
      <c r="D4" t="s">
        <v>10</v>
      </c>
    </row>
    <row r="5" spans="1:7" x14ac:dyDescent="0.3">
      <c r="A5" t="s">
        <v>131</v>
      </c>
      <c r="B5" s="8">
        <v>0.15</v>
      </c>
      <c r="C5" t="s">
        <v>11</v>
      </c>
      <c r="D5" t="s">
        <v>12</v>
      </c>
    </row>
    <row r="6" spans="1:7" x14ac:dyDescent="0.3">
      <c r="A6" t="s">
        <v>13</v>
      </c>
      <c r="B6" s="8">
        <v>1.9</v>
      </c>
      <c r="C6" t="s">
        <v>132</v>
      </c>
      <c r="D6" t="s">
        <v>14</v>
      </c>
      <c r="G6" s="10"/>
    </row>
    <row r="7" spans="1:7" x14ac:dyDescent="0.3">
      <c r="A7" t="s">
        <v>15</v>
      </c>
      <c r="B7" s="8">
        <v>1.8</v>
      </c>
      <c r="C7" t="s">
        <v>16</v>
      </c>
      <c r="D7" t="s">
        <v>17</v>
      </c>
    </row>
    <row r="8" spans="1:7" x14ac:dyDescent="0.3">
      <c r="A8" t="s">
        <v>18</v>
      </c>
      <c r="B8" s="8">
        <f>B3/B2</f>
        <v>678</v>
      </c>
      <c r="C8" t="s">
        <v>179</v>
      </c>
      <c r="D8" t="s">
        <v>19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V33"/>
  <sheetViews>
    <sheetView workbookViewId="0">
      <pane ySplit="1" topLeftCell="A20" activePane="bottomLeft" state="frozen"/>
      <selection pane="bottomLeft" activeCell="C41" sqref="C41"/>
    </sheetView>
  </sheetViews>
  <sheetFormatPr baseColWidth="10" defaultColWidth="9.109375" defaultRowHeight="14.4" x14ac:dyDescent="0.3"/>
  <cols>
    <col min="1" max="1" width="44" bestFit="1" customWidth="1"/>
    <col min="2" max="2" width="14.33203125" bestFit="1" customWidth="1"/>
    <col min="3" max="3" width="5.44140625" bestFit="1" customWidth="1"/>
    <col min="4" max="4" width="11.44140625" customWidth="1"/>
    <col min="5" max="5" width="7.109375" bestFit="1" customWidth="1"/>
    <col min="6" max="6" width="9.44140625" bestFit="1" customWidth="1"/>
    <col min="7" max="7" width="11.5546875" bestFit="1" customWidth="1"/>
    <col min="8" max="8" width="11.5546875" customWidth="1"/>
    <col min="9" max="9" width="13.109375" bestFit="1" customWidth="1"/>
    <col min="10" max="10" width="11.5546875" bestFit="1" customWidth="1"/>
    <col min="11" max="11" width="6.44140625" bestFit="1" customWidth="1"/>
    <col min="13" max="13" width="11" bestFit="1" customWidth="1"/>
    <col min="14" max="14" width="48.109375" customWidth="1"/>
    <col min="15" max="15" width="14.6640625" bestFit="1" customWidth="1"/>
    <col min="16" max="16" width="6.33203125" bestFit="1" customWidth="1"/>
    <col min="17" max="17" width="7.109375" bestFit="1" customWidth="1"/>
    <col min="18" max="18" width="6.5546875" bestFit="1" customWidth="1"/>
    <col min="19" max="19" width="11.5546875" bestFit="1" customWidth="1"/>
    <col min="20" max="20" width="8" bestFit="1" customWidth="1"/>
    <col min="21" max="21" width="11.5546875" bestFit="1" customWidth="1"/>
    <col min="22" max="22" width="9.33203125" bestFit="1" customWidth="1"/>
  </cols>
  <sheetData>
    <row r="1" spans="1:22" ht="43.2" x14ac:dyDescent="0.3">
      <c r="A1" s="2" t="s">
        <v>20</v>
      </c>
      <c r="B1" s="2" t="s">
        <v>21</v>
      </c>
      <c r="C1" s="2" t="s">
        <v>162</v>
      </c>
      <c r="D1" s="2" t="s">
        <v>22</v>
      </c>
      <c r="E1" s="2" t="s">
        <v>23</v>
      </c>
      <c r="F1" s="2" t="s">
        <v>24</v>
      </c>
      <c r="G1" s="2" t="s">
        <v>127</v>
      </c>
      <c r="H1" s="2" t="s">
        <v>187</v>
      </c>
      <c r="I1" s="2" t="s">
        <v>139</v>
      </c>
      <c r="J1" s="2" t="s">
        <v>25</v>
      </c>
      <c r="K1" s="2" t="s">
        <v>26</v>
      </c>
      <c r="N1" s="2" t="s">
        <v>20</v>
      </c>
      <c r="O1" s="2" t="s">
        <v>162</v>
      </c>
      <c r="P1" s="2" t="s">
        <v>169</v>
      </c>
      <c r="Q1" s="2" t="s">
        <v>170</v>
      </c>
      <c r="R1" s="2" t="s">
        <v>24</v>
      </c>
      <c r="S1" s="2" t="s">
        <v>171</v>
      </c>
      <c r="T1" s="2" t="s">
        <v>139</v>
      </c>
      <c r="U1" s="2" t="s">
        <v>25</v>
      </c>
      <c r="V1" s="2" t="s">
        <v>26</v>
      </c>
    </row>
    <row r="2" spans="1:22" x14ac:dyDescent="0.3">
      <c r="A2" t="s">
        <v>133</v>
      </c>
      <c r="B2" t="s">
        <v>137</v>
      </c>
      <c r="C2" t="s">
        <v>177</v>
      </c>
      <c r="D2">
        <v>1000</v>
      </c>
      <c r="E2">
        <v>3669</v>
      </c>
      <c r="F2">
        <f>D2-E2</f>
        <v>-2669</v>
      </c>
      <c r="G2" s="8">
        <v>60000</v>
      </c>
      <c r="H2" s="12">
        <f>G2/D2</f>
        <v>60</v>
      </c>
      <c r="I2" s="9">
        <f>(E2*G2)/D2</f>
        <v>220140</v>
      </c>
      <c r="J2" s="9">
        <f>(F2*G2)/D2</f>
        <v>-160140</v>
      </c>
      <c r="K2" t="str">
        <f>IF(F2&lt;200, "REPONER", "OK")</f>
        <v>REPONER</v>
      </c>
      <c r="N2" t="s">
        <v>160</v>
      </c>
      <c r="O2" t="s">
        <v>163</v>
      </c>
      <c r="P2">
        <v>1</v>
      </c>
      <c r="Q2">
        <v>0</v>
      </c>
      <c r="R2">
        <f>P2-Q2</f>
        <v>1</v>
      </c>
      <c r="S2" s="8">
        <v>90000</v>
      </c>
      <c r="T2" s="9">
        <f>Q2*S2</f>
        <v>0</v>
      </c>
      <c r="U2" s="9">
        <f>(R2*S2)</f>
        <v>90000</v>
      </c>
      <c r="V2" t="str">
        <f>IF(R2&lt;200, "REPONER", "OK")</f>
        <v>REPONER</v>
      </c>
    </row>
    <row r="3" spans="1:22" x14ac:dyDescent="0.3">
      <c r="A3" t="s">
        <v>134</v>
      </c>
      <c r="B3" t="s">
        <v>29</v>
      </c>
      <c r="C3" t="s">
        <v>177</v>
      </c>
      <c r="D3">
        <v>1000</v>
      </c>
      <c r="E3">
        <v>369</v>
      </c>
      <c r="F3">
        <f>D3-E3</f>
        <v>631</v>
      </c>
      <c r="G3" s="8">
        <v>60000</v>
      </c>
      <c r="H3" s="12">
        <f t="shared" ref="H3:H33" si="0">G3/D3</f>
        <v>60</v>
      </c>
      <c r="I3" s="9">
        <f>(E3*G3)/D3</f>
        <v>22140</v>
      </c>
      <c r="J3" s="9">
        <f>(F3*G3)/1000</f>
        <v>37860</v>
      </c>
      <c r="K3" t="str">
        <f>IF(F3&lt;200, "REPONER", "OK")</f>
        <v>OK</v>
      </c>
      <c r="N3" t="s">
        <v>161</v>
      </c>
      <c r="O3" t="s">
        <v>164</v>
      </c>
      <c r="P3">
        <v>1</v>
      </c>
      <c r="Q3">
        <v>0</v>
      </c>
      <c r="R3">
        <f>P3-Q3</f>
        <v>1</v>
      </c>
      <c r="S3" s="8">
        <v>100000</v>
      </c>
      <c r="T3" s="9">
        <f>Q3*S3</f>
        <v>0</v>
      </c>
      <c r="U3" s="9">
        <f>(R3*S3)</f>
        <v>100000</v>
      </c>
      <c r="V3" t="str">
        <f>IF(R3&lt;200, "REPONER", "OK")</f>
        <v>REPONER</v>
      </c>
    </row>
    <row r="4" spans="1:22" x14ac:dyDescent="0.3">
      <c r="A4" t="s">
        <v>135</v>
      </c>
      <c r="B4" t="s">
        <v>194</v>
      </c>
      <c r="C4" t="s">
        <v>177</v>
      </c>
      <c r="D4">
        <v>1000</v>
      </c>
      <c r="E4">
        <v>369</v>
      </c>
      <c r="F4">
        <f>D4-E4</f>
        <v>631</v>
      </c>
      <c r="G4" s="8">
        <v>60000</v>
      </c>
      <c r="H4" s="12">
        <f t="shared" si="0"/>
        <v>60</v>
      </c>
      <c r="I4" s="9">
        <f>(E4*G4)/D4</f>
        <v>22140</v>
      </c>
      <c r="J4" s="9">
        <f>(F4*G4)/1000</f>
        <v>37860</v>
      </c>
      <c r="K4" t="str">
        <f>IF(F4&lt;200, "REPONER", "OK")</f>
        <v>OK</v>
      </c>
      <c r="N4" t="s">
        <v>167</v>
      </c>
      <c r="O4" t="s">
        <v>168</v>
      </c>
      <c r="P4">
        <v>1</v>
      </c>
      <c r="Q4">
        <v>0</v>
      </c>
      <c r="R4">
        <f>P4-Q4</f>
        <v>1</v>
      </c>
      <c r="S4" s="8">
        <v>50000</v>
      </c>
      <c r="T4" s="9">
        <f>Q4*S4</f>
        <v>0</v>
      </c>
      <c r="U4" s="9">
        <f>(R4*S4)</f>
        <v>50000</v>
      </c>
      <c r="V4" t="str">
        <f>IF(R4&lt;200, "REPONER", "OK")</f>
        <v>REPONER</v>
      </c>
    </row>
    <row r="5" spans="1:22" x14ac:dyDescent="0.3">
      <c r="A5" t="s">
        <v>448</v>
      </c>
      <c r="B5" t="s">
        <v>196</v>
      </c>
      <c r="C5" t="s">
        <v>177</v>
      </c>
      <c r="D5">
        <v>1000</v>
      </c>
      <c r="E5">
        <v>0</v>
      </c>
      <c r="F5">
        <f>D5-E5</f>
        <v>1000</v>
      </c>
      <c r="G5" s="8">
        <v>60000</v>
      </c>
      <c r="H5" s="12">
        <f t="shared" si="0"/>
        <v>60</v>
      </c>
      <c r="I5" s="9">
        <f>(E5*G5)/D5</f>
        <v>0</v>
      </c>
      <c r="J5" s="9">
        <f>(F5*G5)/1000</f>
        <v>60000</v>
      </c>
      <c r="K5" t="str">
        <f>IF(F5&lt;200, "REPONER", "OK")</f>
        <v>OK</v>
      </c>
    </row>
    <row r="6" spans="1:22" x14ac:dyDescent="0.3">
      <c r="A6" t="s">
        <v>136</v>
      </c>
      <c r="B6" t="s">
        <v>27</v>
      </c>
      <c r="C6" t="s">
        <v>177</v>
      </c>
      <c r="D6">
        <v>1000</v>
      </c>
      <c r="E6">
        <v>796</v>
      </c>
      <c r="F6">
        <f>D6-E6</f>
        <v>204</v>
      </c>
      <c r="G6" s="8">
        <v>65000</v>
      </c>
      <c r="H6" s="12">
        <f t="shared" si="0"/>
        <v>65</v>
      </c>
      <c r="I6" s="9">
        <f>(E6*G6)/D6</f>
        <v>51740</v>
      </c>
      <c r="J6" s="9">
        <f>(F6*G6)/1000</f>
        <v>13260</v>
      </c>
      <c r="K6" t="str">
        <f>IF(F6&lt;200, "REPONER", "OK")</f>
        <v>OK</v>
      </c>
    </row>
    <row r="7" spans="1:22" x14ac:dyDescent="0.3">
      <c r="A7" t="s">
        <v>136</v>
      </c>
      <c r="B7" t="s">
        <v>27</v>
      </c>
      <c r="C7" t="s">
        <v>177</v>
      </c>
      <c r="D7">
        <v>1000</v>
      </c>
      <c r="E7">
        <v>175</v>
      </c>
      <c r="F7">
        <v>204</v>
      </c>
      <c r="G7" s="8">
        <v>65000</v>
      </c>
      <c r="H7" s="12">
        <f t="shared" si="0"/>
        <v>65</v>
      </c>
      <c r="I7" s="9">
        <v>51740</v>
      </c>
      <c r="J7" s="9">
        <v>13260</v>
      </c>
      <c r="K7" t="s">
        <v>450</v>
      </c>
    </row>
    <row r="8" spans="1:22" x14ac:dyDescent="0.3">
      <c r="A8" t="s">
        <v>449</v>
      </c>
      <c r="B8" t="s">
        <v>29</v>
      </c>
      <c r="C8" t="s">
        <v>177</v>
      </c>
      <c r="D8">
        <v>1000</v>
      </c>
      <c r="E8">
        <v>0</v>
      </c>
      <c r="F8">
        <f t="shared" ref="F8:F15" si="1">D8-E8</f>
        <v>1000</v>
      </c>
      <c r="G8" s="8">
        <v>67200</v>
      </c>
      <c r="H8" s="12">
        <f t="shared" si="0"/>
        <v>67.2</v>
      </c>
      <c r="I8" s="9">
        <f t="shared" ref="I8:I15" si="2">(E8*G8)/D8</f>
        <v>0</v>
      </c>
      <c r="J8" s="9">
        <f t="shared" ref="J8:J23" si="3">(F8*G8)/1000</f>
        <v>67200</v>
      </c>
      <c r="K8" t="str">
        <f t="shared" ref="K8:K15" si="4">IF(F8&lt;200, "REPONER", "OK")</f>
        <v>OK</v>
      </c>
    </row>
    <row r="9" spans="1:22" x14ac:dyDescent="0.3">
      <c r="A9" t="s">
        <v>449</v>
      </c>
      <c r="B9" t="s">
        <v>29</v>
      </c>
      <c r="C9" t="s">
        <v>177</v>
      </c>
      <c r="D9">
        <v>1000</v>
      </c>
      <c r="E9">
        <v>0</v>
      </c>
      <c r="F9">
        <f t="shared" si="1"/>
        <v>1000</v>
      </c>
      <c r="G9" s="8">
        <v>67200</v>
      </c>
      <c r="H9" s="12">
        <f t="shared" ref="H9:H15" si="5">G9/D9</f>
        <v>67.2</v>
      </c>
      <c r="I9" s="9">
        <f t="shared" si="2"/>
        <v>0</v>
      </c>
      <c r="J9" s="9">
        <f t="shared" si="3"/>
        <v>67200</v>
      </c>
      <c r="K9" t="str">
        <f t="shared" si="4"/>
        <v>OK</v>
      </c>
    </row>
    <row r="10" spans="1:22" x14ac:dyDescent="0.3">
      <c r="A10" t="s">
        <v>449</v>
      </c>
      <c r="B10" t="s">
        <v>29</v>
      </c>
      <c r="C10" t="s">
        <v>177</v>
      </c>
      <c r="D10">
        <v>1000</v>
      </c>
      <c r="E10">
        <v>0</v>
      </c>
      <c r="F10">
        <f t="shared" si="1"/>
        <v>1000</v>
      </c>
      <c r="G10" s="8">
        <v>67200</v>
      </c>
      <c r="H10" s="12">
        <f t="shared" si="5"/>
        <v>67.2</v>
      </c>
      <c r="I10" s="9">
        <f t="shared" si="2"/>
        <v>0</v>
      </c>
      <c r="J10" s="9">
        <f t="shared" si="3"/>
        <v>67200</v>
      </c>
      <c r="K10" t="str">
        <f t="shared" si="4"/>
        <v>OK</v>
      </c>
      <c r="M10" s="8"/>
    </row>
    <row r="11" spans="1:22" x14ac:dyDescent="0.3">
      <c r="A11" t="s">
        <v>452</v>
      </c>
      <c r="B11" t="s">
        <v>27</v>
      </c>
      <c r="C11" t="s">
        <v>177</v>
      </c>
      <c r="D11">
        <v>1000</v>
      </c>
      <c r="E11">
        <v>0</v>
      </c>
      <c r="F11">
        <f t="shared" si="1"/>
        <v>1000</v>
      </c>
      <c r="G11" s="8">
        <v>60240</v>
      </c>
      <c r="H11" s="12">
        <f t="shared" si="5"/>
        <v>60.24</v>
      </c>
      <c r="I11" s="9">
        <f t="shared" si="2"/>
        <v>0</v>
      </c>
      <c r="J11" s="9">
        <f t="shared" si="3"/>
        <v>60240</v>
      </c>
      <c r="K11" t="str">
        <f t="shared" si="4"/>
        <v>OK</v>
      </c>
    </row>
    <row r="12" spans="1:22" x14ac:dyDescent="0.3">
      <c r="A12" t="s">
        <v>452</v>
      </c>
      <c r="B12" t="s">
        <v>27</v>
      </c>
      <c r="C12" t="s">
        <v>177</v>
      </c>
      <c r="D12">
        <v>1000</v>
      </c>
      <c r="E12">
        <v>0</v>
      </c>
      <c r="F12">
        <f t="shared" si="1"/>
        <v>1000</v>
      </c>
      <c r="G12" s="8">
        <v>60240</v>
      </c>
      <c r="H12" s="12">
        <f t="shared" si="5"/>
        <v>60.24</v>
      </c>
      <c r="I12" s="9">
        <f t="shared" si="2"/>
        <v>0</v>
      </c>
      <c r="J12" s="9">
        <f t="shared" si="3"/>
        <v>60240</v>
      </c>
      <c r="K12" t="str">
        <f t="shared" si="4"/>
        <v>OK</v>
      </c>
    </row>
    <row r="13" spans="1:22" x14ac:dyDescent="0.3">
      <c r="A13" t="s">
        <v>452</v>
      </c>
      <c r="B13" t="s">
        <v>27</v>
      </c>
      <c r="C13" t="s">
        <v>177</v>
      </c>
      <c r="D13">
        <v>1000</v>
      </c>
      <c r="E13">
        <v>536</v>
      </c>
      <c r="F13">
        <f t="shared" si="1"/>
        <v>464</v>
      </c>
      <c r="G13" s="8">
        <v>60240</v>
      </c>
      <c r="H13" s="12">
        <f t="shared" si="5"/>
        <v>60.24</v>
      </c>
      <c r="I13" s="9">
        <f t="shared" si="2"/>
        <v>32288.639999999999</v>
      </c>
      <c r="J13" s="9">
        <f t="shared" si="3"/>
        <v>27951.360000000001</v>
      </c>
      <c r="K13" t="str">
        <f t="shared" si="4"/>
        <v>OK</v>
      </c>
    </row>
    <row r="14" spans="1:22" x14ac:dyDescent="0.3">
      <c r="A14" t="s">
        <v>453</v>
      </c>
      <c r="B14" t="s">
        <v>28</v>
      </c>
      <c r="C14" t="s">
        <v>177</v>
      </c>
      <c r="D14">
        <v>1000</v>
      </c>
      <c r="E14">
        <v>0</v>
      </c>
      <c r="F14">
        <f t="shared" si="1"/>
        <v>1000</v>
      </c>
      <c r="G14" s="8">
        <v>67200</v>
      </c>
      <c r="H14" s="12">
        <f t="shared" si="5"/>
        <v>67.2</v>
      </c>
      <c r="I14" s="9">
        <f t="shared" si="2"/>
        <v>0</v>
      </c>
      <c r="J14" s="9">
        <f t="shared" si="3"/>
        <v>67200</v>
      </c>
      <c r="K14" t="str">
        <f t="shared" si="4"/>
        <v>OK</v>
      </c>
    </row>
    <row r="15" spans="1:22" x14ac:dyDescent="0.3">
      <c r="A15" t="s">
        <v>453</v>
      </c>
      <c r="B15" t="s">
        <v>28</v>
      </c>
      <c r="C15" t="s">
        <v>177</v>
      </c>
      <c r="D15">
        <v>1000</v>
      </c>
      <c r="E15">
        <v>0</v>
      </c>
      <c r="F15">
        <f t="shared" si="1"/>
        <v>1000</v>
      </c>
      <c r="G15" s="8">
        <v>67200</v>
      </c>
      <c r="H15" s="12">
        <f t="shared" si="5"/>
        <v>67.2</v>
      </c>
      <c r="I15" s="9">
        <f t="shared" si="2"/>
        <v>0</v>
      </c>
      <c r="J15" s="9">
        <f t="shared" si="3"/>
        <v>67200</v>
      </c>
      <c r="K15" t="str">
        <f t="shared" si="4"/>
        <v>OK</v>
      </c>
    </row>
    <row r="16" spans="1:22" x14ac:dyDescent="0.3">
      <c r="A16" t="s">
        <v>453</v>
      </c>
      <c r="B16" t="s">
        <v>28</v>
      </c>
      <c r="C16" t="s">
        <v>177</v>
      </c>
      <c r="D16">
        <v>1000</v>
      </c>
      <c r="E16">
        <v>676</v>
      </c>
      <c r="F16">
        <f t="shared" ref="F16:F21" si="6">D16-E16</f>
        <v>324</v>
      </c>
      <c r="G16" s="8">
        <v>67200</v>
      </c>
      <c r="H16" s="12">
        <f t="shared" ref="H16:H21" si="7">G16/D16</f>
        <v>67.2</v>
      </c>
      <c r="I16" s="9">
        <f t="shared" ref="I16:I21" si="8">(E16*G16)/D16</f>
        <v>45427.199999999997</v>
      </c>
      <c r="J16" s="9">
        <f t="shared" si="3"/>
        <v>21772.799999999999</v>
      </c>
      <c r="K16" t="str">
        <f t="shared" ref="K16:K21" si="9">IF(F16&lt;200, "REPONER", "OK")</f>
        <v>OK</v>
      </c>
    </row>
    <row r="17" spans="1:11" x14ac:dyDescent="0.3">
      <c r="A17" t="s">
        <v>454</v>
      </c>
      <c r="B17" t="s">
        <v>29</v>
      </c>
      <c r="C17" t="s">
        <v>178</v>
      </c>
      <c r="D17">
        <v>1000</v>
      </c>
      <c r="E17">
        <v>0</v>
      </c>
      <c r="F17">
        <f t="shared" si="6"/>
        <v>1000</v>
      </c>
      <c r="G17" s="8">
        <v>65000</v>
      </c>
      <c r="H17" s="12">
        <f t="shared" si="7"/>
        <v>65</v>
      </c>
      <c r="I17" s="9">
        <f t="shared" si="8"/>
        <v>0</v>
      </c>
      <c r="J17" s="9">
        <f t="shared" si="3"/>
        <v>65000</v>
      </c>
      <c r="K17" t="str">
        <f t="shared" si="9"/>
        <v>OK</v>
      </c>
    </row>
    <row r="18" spans="1:11" x14ac:dyDescent="0.3">
      <c r="A18" t="s">
        <v>458</v>
      </c>
      <c r="B18" t="s">
        <v>28</v>
      </c>
      <c r="C18" t="s">
        <v>178</v>
      </c>
      <c r="D18">
        <v>1000</v>
      </c>
      <c r="E18">
        <v>0</v>
      </c>
      <c r="F18">
        <f t="shared" si="6"/>
        <v>1000</v>
      </c>
      <c r="G18" s="8">
        <v>56640</v>
      </c>
      <c r="H18" s="12">
        <f t="shared" si="7"/>
        <v>56.64</v>
      </c>
      <c r="I18" s="9">
        <f t="shared" si="8"/>
        <v>0</v>
      </c>
      <c r="J18" s="9">
        <f t="shared" si="3"/>
        <v>56640</v>
      </c>
      <c r="K18" t="str">
        <f t="shared" si="9"/>
        <v>OK</v>
      </c>
    </row>
    <row r="19" spans="1:11" x14ac:dyDescent="0.3">
      <c r="A19" t="s">
        <v>458</v>
      </c>
      <c r="B19" t="s">
        <v>28</v>
      </c>
      <c r="C19" t="s">
        <v>178</v>
      </c>
      <c r="D19">
        <v>1000</v>
      </c>
      <c r="E19">
        <v>14</v>
      </c>
      <c r="F19">
        <f>D19-E19</f>
        <v>986</v>
      </c>
      <c r="G19" s="8">
        <v>56640</v>
      </c>
      <c r="H19" s="12">
        <f>G19/D19</f>
        <v>56.64</v>
      </c>
      <c r="I19" s="9">
        <f>(E19*G19)/D19</f>
        <v>792.96</v>
      </c>
      <c r="J19" s="9">
        <f t="shared" si="3"/>
        <v>55847.040000000001</v>
      </c>
      <c r="K19" t="str">
        <f>IF(F19&lt;200, "REPONER", "OK")</f>
        <v>OK</v>
      </c>
    </row>
    <row r="20" spans="1:11" x14ac:dyDescent="0.3">
      <c r="A20" t="s">
        <v>457</v>
      </c>
      <c r="B20" t="s">
        <v>27</v>
      </c>
      <c r="C20" t="s">
        <v>178</v>
      </c>
      <c r="D20">
        <v>1000</v>
      </c>
      <c r="E20">
        <v>0</v>
      </c>
      <c r="F20">
        <f t="shared" si="6"/>
        <v>1000</v>
      </c>
      <c r="G20" s="8">
        <v>56640</v>
      </c>
      <c r="H20" s="12">
        <f t="shared" si="7"/>
        <v>56.64</v>
      </c>
      <c r="I20" s="9">
        <f t="shared" si="8"/>
        <v>0</v>
      </c>
      <c r="J20" s="9">
        <f t="shared" si="3"/>
        <v>56640</v>
      </c>
      <c r="K20" t="str">
        <f t="shared" si="9"/>
        <v>OK</v>
      </c>
    </row>
    <row r="21" spans="1:11" x14ac:dyDescent="0.3">
      <c r="A21" t="s">
        <v>457</v>
      </c>
      <c r="B21" t="s">
        <v>27</v>
      </c>
      <c r="C21" t="s">
        <v>178</v>
      </c>
      <c r="D21">
        <v>1000</v>
      </c>
      <c r="E21">
        <v>14</v>
      </c>
      <c r="F21">
        <f t="shared" si="6"/>
        <v>986</v>
      </c>
      <c r="G21" s="8">
        <v>56640</v>
      </c>
      <c r="H21" s="12">
        <f t="shared" si="7"/>
        <v>56.64</v>
      </c>
      <c r="I21" s="9">
        <f t="shared" si="8"/>
        <v>792.96</v>
      </c>
      <c r="J21" s="9">
        <f t="shared" si="3"/>
        <v>55847.040000000001</v>
      </c>
      <c r="K21" t="str">
        <f t="shared" si="9"/>
        <v>OK</v>
      </c>
    </row>
    <row r="22" spans="1:11" x14ac:dyDescent="0.3">
      <c r="A22" t="s">
        <v>456</v>
      </c>
      <c r="B22" t="s">
        <v>29</v>
      </c>
      <c r="C22" t="s">
        <v>178</v>
      </c>
      <c r="D22">
        <v>1000</v>
      </c>
      <c r="E22">
        <v>0</v>
      </c>
      <c r="F22">
        <f>D22-E22</f>
        <v>1000</v>
      </c>
      <c r="G22" s="8">
        <v>71040</v>
      </c>
      <c r="H22" s="12">
        <f>G22/D22</f>
        <v>71.040000000000006</v>
      </c>
      <c r="I22" s="9">
        <f>(E22*G22)/D22</f>
        <v>0</v>
      </c>
      <c r="J22" s="9">
        <f t="shared" si="3"/>
        <v>71040</v>
      </c>
      <c r="K22" t="str">
        <f t="shared" ref="K22:K33" si="10">IF(F22&lt;200, "REPONER", "OK")</f>
        <v>OK</v>
      </c>
    </row>
    <row r="23" spans="1:11" x14ac:dyDescent="0.3">
      <c r="A23" t="s">
        <v>455</v>
      </c>
      <c r="B23" t="s">
        <v>451</v>
      </c>
      <c r="C23" t="s">
        <v>178</v>
      </c>
      <c r="D23">
        <v>1000</v>
      </c>
      <c r="E23">
        <v>0</v>
      </c>
      <c r="F23">
        <f>D23-E23</f>
        <v>1000</v>
      </c>
      <c r="G23" s="8">
        <v>71040</v>
      </c>
      <c r="H23" s="12">
        <f>G23/D23</f>
        <v>71.040000000000006</v>
      </c>
      <c r="I23" s="9">
        <f>(E23*G23)/D23</f>
        <v>0</v>
      </c>
      <c r="J23" s="9">
        <f t="shared" si="3"/>
        <v>71040</v>
      </c>
      <c r="K23" t="str">
        <f t="shared" si="10"/>
        <v>OK</v>
      </c>
    </row>
    <row r="24" spans="1:11" x14ac:dyDescent="0.3">
      <c r="A24" t="s">
        <v>140</v>
      </c>
      <c r="B24" t="s">
        <v>152</v>
      </c>
      <c r="C24" t="s">
        <v>178</v>
      </c>
      <c r="D24">
        <v>1000</v>
      </c>
      <c r="E24">
        <v>20</v>
      </c>
      <c r="F24">
        <f t="shared" ref="F24:F33" si="11">D24-E24</f>
        <v>980</v>
      </c>
      <c r="G24" s="8">
        <v>65000</v>
      </c>
      <c r="H24" s="12">
        <f t="shared" si="0"/>
        <v>65</v>
      </c>
      <c r="I24" s="9">
        <f t="shared" ref="I24:I33" si="12">(E24*G24)/D24</f>
        <v>1300</v>
      </c>
      <c r="J24" s="9">
        <f t="shared" ref="J24:J33" si="13">(F24*G24)/1000</f>
        <v>63700</v>
      </c>
      <c r="K24" t="str">
        <f t="shared" si="10"/>
        <v>OK</v>
      </c>
    </row>
    <row r="25" spans="1:11" x14ac:dyDescent="0.3">
      <c r="A25" t="s">
        <v>141</v>
      </c>
      <c r="B25" t="s">
        <v>150</v>
      </c>
      <c r="C25" t="s">
        <v>178</v>
      </c>
      <c r="D25">
        <v>1000</v>
      </c>
      <c r="E25">
        <v>212</v>
      </c>
      <c r="F25">
        <f t="shared" si="11"/>
        <v>788</v>
      </c>
      <c r="G25" s="8">
        <v>65000</v>
      </c>
      <c r="H25" s="12">
        <f t="shared" si="0"/>
        <v>65</v>
      </c>
      <c r="I25" s="9">
        <f t="shared" si="12"/>
        <v>13780</v>
      </c>
      <c r="J25" s="9">
        <f t="shared" si="13"/>
        <v>51220</v>
      </c>
      <c r="K25" t="str">
        <f t="shared" si="10"/>
        <v>OK</v>
      </c>
    </row>
    <row r="26" spans="1:11" x14ac:dyDescent="0.3">
      <c r="A26" t="s">
        <v>142</v>
      </c>
      <c r="B26" t="s">
        <v>151</v>
      </c>
      <c r="C26" t="s">
        <v>178</v>
      </c>
      <c r="D26">
        <v>1000</v>
      </c>
      <c r="E26">
        <v>544</v>
      </c>
      <c r="F26">
        <f t="shared" si="11"/>
        <v>456</v>
      </c>
      <c r="G26" s="8">
        <v>65000</v>
      </c>
      <c r="H26" s="12">
        <f t="shared" si="0"/>
        <v>65</v>
      </c>
      <c r="I26" s="9">
        <f t="shared" si="12"/>
        <v>35360</v>
      </c>
      <c r="J26" s="9">
        <f t="shared" si="13"/>
        <v>29640</v>
      </c>
      <c r="K26" t="str">
        <f t="shared" si="10"/>
        <v>OK</v>
      </c>
    </row>
    <row r="27" spans="1:11" x14ac:dyDescent="0.3">
      <c r="A27" t="s">
        <v>143</v>
      </c>
      <c r="B27" t="s">
        <v>153</v>
      </c>
      <c r="C27" t="s">
        <v>178</v>
      </c>
      <c r="D27">
        <v>1000</v>
      </c>
      <c r="E27">
        <v>20</v>
      </c>
      <c r="F27">
        <f t="shared" si="11"/>
        <v>980</v>
      </c>
      <c r="G27" s="8">
        <v>65000</v>
      </c>
      <c r="H27" s="12">
        <f t="shared" si="0"/>
        <v>65</v>
      </c>
      <c r="I27" s="9">
        <f t="shared" si="12"/>
        <v>1300</v>
      </c>
      <c r="J27" s="9">
        <f t="shared" si="13"/>
        <v>63700</v>
      </c>
      <c r="K27" t="str">
        <f t="shared" si="10"/>
        <v>OK</v>
      </c>
    </row>
    <row r="28" spans="1:11" x14ac:dyDescent="0.3">
      <c r="A28" t="s">
        <v>144</v>
      </c>
      <c r="B28" t="s">
        <v>154</v>
      </c>
      <c r="C28" t="s">
        <v>178</v>
      </c>
      <c r="D28">
        <v>1000</v>
      </c>
      <c r="E28">
        <v>70</v>
      </c>
      <c r="F28">
        <f t="shared" si="11"/>
        <v>930</v>
      </c>
      <c r="G28" s="8">
        <v>65000</v>
      </c>
      <c r="H28" s="12">
        <f t="shared" si="0"/>
        <v>65</v>
      </c>
      <c r="I28" s="9">
        <f t="shared" si="12"/>
        <v>4550</v>
      </c>
      <c r="J28" s="9">
        <f t="shared" si="13"/>
        <v>60450</v>
      </c>
      <c r="K28" t="str">
        <f t="shared" si="10"/>
        <v>OK</v>
      </c>
    </row>
    <row r="29" spans="1:11" x14ac:dyDescent="0.3">
      <c r="A29" t="s">
        <v>145</v>
      </c>
      <c r="B29" t="s">
        <v>155</v>
      </c>
      <c r="C29" t="s">
        <v>178</v>
      </c>
      <c r="D29">
        <v>1000</v>
      </c>
      <c r="E29">
        <v>464</v>
      </c>
      <c r="F29">
        <f t="shared" si="11"/>
        <v>536</v>
      </c>
      <c r="G29" s="8">
        <v>65000</v>
      </c>
      <c r="H29" s="12">
        <f t="shared" si="0"/>
        <v>65</v>
      </c>
      <c r="I29" s="9">
        <f t="shared" si="12"/>
        <v>30160</v>
      </c>
      <c r="J29" s="9">
        <f t="shared" si="13"/>
        <v>34840</v>
      </c>
      <c r="K29" t="str">
        <f t="shared" si="10"/>
        <v>OK</v>
      </c>
    </row>
    <row r="30" spans="1:11" x14ac:dyDescent="0.3">
      <c r="A30" t="s">
        <v>146</v>
      </c>
      <c r="B30" t="s">
        <v>156</v>
      </c>
      <c r="C30" t="s">
        <v>178</v>
      </c>
      <c r="D30">
        <v>1000</v>
      </c>
      <c r="E30">
        <v>76</v>
      </c>
      <c r="F30">
        <f t="shared" si="11"/>
        <v>924</v>
      </c>
      <c r="G30" s="8">
        <v>65000</v>
      </c>
      <c r="H30" s="12">
        <f t="shared" si="0"/>
        <v>65</v>
      </c>
      <c r="I30" s="9">
        <f t="shared" si="12"/>
        <v>4940</v>
      </c>
      <c r="J30" s="9">
        <f t="shared" si="13"/>
        <v>60060</v>
      </c>
      <c r="K30" t="str">
        <f t="shared" si="10"/>
        <v>OK</v>
      </c>
    </row>
    <row r="31" spans="1:11" x14ac:dyDescent="0.3">
      <c r="A31" t="s">
        <v>147</v>
      </c>
      <c r="B31" t="s">
        <v>157</v>
      </c>
      <c r="C31" t="s">
        <v>178</v>
      </c>
      <c r="D31">
        <v>1000</v>
      </c>
      <c r="E31">
        <v>0.65</v>
      </c>
      <c r="F31">
        <f t="shared" si="11"/>
        <v>999.35</v>
      </c>
      <c r="G31" s="8">
        <v>65000</v>
      </c>
      <c r="H31" s="12">
        <f t="shared" si="0"/>
        <v>65</v>
      </c>
      <c r="I31" s="9">
        <f t="shared" si="12"/>
        <v>42.25</v>
      </c>
      <c r="J31" s="9">
        <f t="shared" si="13"/>
        <v>64957.75</v>
      </c>
      <c r="K31" t="str">
        <f t="shared" si="10"/>
        <v>OK</v>
      </c>
    </row>
    <row r="32" spans="1:11" x14ac:dyDescent="0.3">
      <c r="A32" t="s">
        <v>148</v>
      </c>
      <c r="B32" t="s">
        <v>158</v>
      </c>
      <c r="C32" t="s">
        <v>178</v>
      </c>
      <c r="D32">
        <v>1000</v>
      </c>
      <c r="E32">
        <v>392</v>
      </c>
      <c r="F32">
        <f t="shared" si="11"/>
        <v>608</v>
      </c>
      <c r="G32" s="8">
        <v>100000</v>
      </c>
      <c r="H32" s="12">
        <f t="shared" si="0"/>
        <v>100</v>
      </c>
      <c r="I32" s="9">
        <f t="shared" si="12"/>
        <v>39200</v>
      </c>
      <c r="J32" s="9">
        <f t="shared" si="13"/>
        <v>60800</v>
      </c>
      <c r="K32" t="str">
        <f t="shared" si="10"/>
        <v>OK</v>
      </c>
    </row>
    <row r="33" spans="1:11" x14ac:dyDescent="0.3">
      <c r="A33" t="s">
        <v>149</v>
      </c>
      <c r="B33" t="s">
        <v>159</v>
      </c>
      <c r="C33" t="s">
        <v>178</v>
      </c>
      <c r="D33">
        <v>1000</v>
      </c>
      <c r="E33">
        <v>48</v>
      </c>
      <c r="F33">
        <f t="shared" si="11"/>
        <v>952</v>
      </c>
      <c r="G33" s="8">
        <v>130000</v>
      </c>
      <c r="H33" s="12">
        <f t="shared" si="0"/>
        <v>130</v>
      </c>
      <c r="I33" s="9">
        <f t="shared" si="12"/>
        <v>6240</v>
      </c>
      <c r="J33" s="9">
        <f t="shared" si="13"/>
        <v>123760</v>
      </c>
      <c r="K33" t="str">
        <f t="shared" si="10"/>
        <v>OK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004E7-5A4A-4E6B-9378-B92E5262D003}">
  <sheetPr codeName="Hoja11"/>
  <dimension ref="A2:L33"/>
  <sheetViews>
    <sheetView topLeftCell="A16" workbookViewId="0">
      <selection activeCell="B32" sqref="B32"/>
    </sheetView>
  </sheetViews>
  <sheetFormatPr baseColWidth="10" defaultRowHeight="14.4" x14ac:dyDescent="0.3"/>
  <cols>
    <col min="2" max="2" width="51.88671875" customWidth="1"/>
    <col min="5" max="5" width="9.88671875" customWidth="1"/>
    <col min="7" max="7" width="10.88671875" customWidth="1"/>
    <col min="8" max="8" width="12.21875" bestFit="1" customWidth="1"/>
    <col min="9" max="9" width="14.109375" bestFit="1" customWidth="1"/>
    <col min="10" max="10" width="14.109375" customWidth="1"/>
    <col min="12" max="12" width="11.77734375" bestFit="1" customWidth="1"/>
  </cols>
  <sheetData>
    <row r="2" spans="1:12" ht="28.8" x14ac:dyDescent="0.3">
      <c r="A2" s="85" t="s">
        <v>1354</v>
      </c>
      <c r="B2" s="85" t="s">
        <v>20</v>
      </c>
      <c r="C2" s="85" t="s">
        <v>21</v>
      </c>
      <c r="D2" s="85" t="s">
        <v>162</v>
      </c>
      <c r="E2" s="85" t="s">
        <v>22</v>
      </c>
      <c r="F2" s="85" t="s">
        <v>23</v>
      </c>
      <c r="G2" s="85" t="s">
        <v>24</v>
      </c>
      <c r="H2" s="85" t="s">
        <v>127</v>
      </c>
      <c r="I2" s="85" t="s">
        <v>25</v>
      </c>
      <c r="J2" s="354" t="s">
        <v>38</v>
      </c>
      <c r="K2" s="85" t="s">
        <v>26</v>
      </c>
      <c r="L2" s="368" t="s">
        <v>1244</v>
      </c>
    </row>
    <row r="3" spans="1:12" x14ac:dyDescent="0.3">
      <c r="A3" t="s">
        <v>1748</v>
      </c>
      <c r="B3" t="s">
        <v>1747</v>
      </c>
      <c r="C3" t="s">
        <v>27</v>
      </c>
      <c r="D3" t="s">
        <v>177</v>
      </c>
      <c r="E3">
        <v>0</v>
      </c>
      <c r="F3">
        <v>1</v>
      </c>
      <c r="G3" s="347">
        <f>E3-F3</f>
        <v>-1</v>
      </c>
      <c r="H3" s="12">
        <v>719.3725714285714</v>
      </c>
      <c r="I3" s="12">
        <f t="shared" ref="I3:I30" si="0">G3*H3</f>
        <v>-719.3725714285714</v>
      </c>
      <c r="J3" s="12">
        <v>2014.2431999999999</v>
      </c>
      <c r="K3" s="347" t="str">
        <f t="shared" ref="K3:K30" si="1">IF(G3&lt;=2, "Bajo Stock", "OK")</f>
        <v>Bajo Stock</v>
      </c>
      <c r="L3" s="12">
        <f>+Tabla9[[#This Row],[Costo (COP/g)]]*3</f>
        <v>2158.1177142857141</v>
      </c>
    </row>
    <row r="4" spans="1:12" x14ac:dyDescent="0.3">
      <c r="A4" t="s">
        <v>1758</v>
      </c>
      <c r="B4" t="s">
        <v>229</v>
      </c>
      <c r="C4" t="s">
        <v>151</v>
      </c>
      <c r="D4" t="s">
        <v>178</v>
      </c>
      <c r="E4">
        <v>2</v>
      </c>
      <c r="F4">
        <v>0</v>
      </c>
      <c r="G4" s="347">
        <f>E4-F4</f>
        <v>2</v>
      </c>
      <c r="H4" s="12">
        <v>9960.1839999999993</v>
      </c>
      <c r="I4" s="12">
        <f t="shared" si="0"/>
        <v>19920.367999999999</v>
      </c>
      <c r="J4" s="12">
        <v>27888.515199999998</v>
      </c>
      <c r="K4" s="347" t="str">
        <f t="shared" si="1"/>
        <v>Bajo Stock</v>
      </c>
      <c r="L4" s="12">
        <f>+Tabla9[[#This Row],[Costo (COP/g)]]*3</f>
        <v>29880.551999999996</v>
      </c>
    </row>
    <row r="5" spans="1:12" x14ac:dyDescent="0.3">
      <c r="A5" t="s">
        <v>1774</v>
      </c>
      <c r="B5" t="s">
        <v>258</v>
      </c>
      <c r="C5" t="s">
        <v>28</v>
      </c>
      <c r="D5" t="s">
        <v>177</v>
      </c>
      <c r="E5">
        <v>1</v>
      </c>
      <c r="F5">
        <v>0</v>
      </c>
      <c r="G5" s="347">
        <f>E5-F5</f>
        <v>1</v>
      </c>
      <c r="H5" s="12">
        <v>20116.793226666665</v>
      </c>
      <c r="I5" s="12">
        <f t="shared" si="0"/>
        <v>20116.793226666665</v>
      </c>
      <c r="J5" s="12">
        <v>56327.021034666657</v>
      </c>
      <c r="K5" s="347" t="str">
        <f t="shared" si="1"/>
        <v>Bajo Stock</v>
      </c>
      <c r="L5" s="12">
        <f>+Tabla9[[#This Row],[Costo (COP/g)]]*3</f>
        <v>60350.379679999998</v>
      </c>
    </row>
    <row r="6" spans="1:12" x14ac:dyDescent="0.3">
      <c r="A6" t="s">
        <v>1750</v>
      </c>
      <c r="B6" t="s">
        <v>1749</v>
      </c>
      <c r="C6" t="s">
        <v>28</v>
      </c>
      <c r="D6" t="s">
        <v>177</v>
      </c>
      <c r="E6">
        <v>1</v>
      </c>
      <c r="F6">
        <v>3</v>
      </c>
      <c r="G6" s="347">
        <v>0</v>
      </c>
      <c r="H6" s="12">
        <v>5184.4439999999995</v>
      </c>
      <c r="I6" s="12">
        <f t="shared" si="0"/>
        <v>0</v>
      </c>
      <c r="J6" s="12">
        <v>11000</v>
      </c>
      <c r="K6" s="347" t="str">
        <f t="shared" si="1"/>
        <v>Bajo Stock</v>
      </c>
      <c r="L6" s="12">
        <f>+Tabla9[[#This Row],[Costo (COP/g)]]*3</f>
        <v>15553.331999999999</v>
      </c>
    </row>
    <row r="7" spans="1:12" x14ac:dyDescent="0.3">
      <c r="A7" t="s">
        <v>1455</v>
      </c>
      <c r="B7" t="s">
        <v>256</v>
      </c>
      <c r="C7" t="s">
        <v>151</v>
      </c>
      <c r="D7" t="s">
        <v>178</v>
      </c>
      <c r="E7">
        <v>3</v>
      </c>
      <c r="F7">
        <v>3</v>
      </c>
      <c r="G7" s="347">
        <v>0</v>
      </c>
      <c r="H7" s="12">
        <v>16559.580480000001</v>
      </c>
      <c r="I7" s="12">
        <f t="shared" si="0"/>
        <v>0</v>
      </c>
      <c r="J7" s="12">
        <v>40000</v>
      </c>
      <c r="K7" s="347" t="str">
        <f t="shared" si="1"/>
        <v>Bajo Stock</v>
      </c>
      <c r="L7" s="12">
        <f>+Tabla9[[#This Row],[Costo (COP/g)]]*3</f>
        <v>49678.741439999998</v>
      </c>
    </row>
    <row r="8" spans="1:12" x14ac:dyDescent="0.3">
      <c r="A8" t="s">
        <v>1431</v>
      </c>
      <c r="B8" t="s">
        <v>252</v>
      </c>
      <c r="C8" t="s">
        <v>1432</v>
      </c>
      <c r="D8" t="s">
        <v>177</v>
      </c>
      <c r="E8">
        <v>1</v>
      </c>
      <c r="F8">
        <v>2</v>
      </c>
      <c r="G8" s="347">
        <v>0</v>
      </c>
      <c r="H8" s="12">
        <v>15034.385508571431</v>
      </c>
      <c r="I8" s="12">
        <f t="shared" si="0"/>
        <v>0</v>
      </c>
      <c r="J8" s="12">
        <v>30000</v>
      </c>
      <c r="K8" s="347" t="str">
        <f t="shared" si="1"/>
        <v>Bajo Stock</v>
      </c>
      <c r="L8" s="12">
        <f>+Tabla9[[#This Row],[Costo (COP/g)]]*3</f>
        <v>45103.156525714294</v>
      </c>
    </row>
    <row r="9" spans="1:12" x14ac:dyDescent="0.3">
      <c r="A9" t="s">
        <v>1433</v>
      </c>
      <c r="B9" t="s">
        <v>253</v>
      </c>
      <c r="C9" t="s">
        <v>1432</v>
      </c>
      <c r="D9" t="s">
        <v>177</v>
      </c>
      <c r="E9">
        <v>1</v>
      </c>
      <c r="F9">
        <v>2</v>
      </c>
      <c r="G9" s="347">
        <v>0</v>
      </c>
      <c r="H9" s="12">
        <v>14802.751588571427</v>
      </c>
      <c r="I9" s="12">
        <f t="shared" si="0"/>
        <v>0</v>
      </c>
      <c r="J9" s="12">
        <v>45000</v>
      </c>
      <c r="K9" s="347" t="str">
        <f t="shared" si="1"/>
        <v>Bajo Stock</v>
      </c>
      <c r="L9" s="12">
        <f>+Tabla9[[#This Row],[Costo (COP/g)]]*3</f>
        <v>44408.254765714286</v>
      </c>
    </row>
    <row r="10" spans="1:12" x14ac:dyDescent="0.3">
      <c r="A10" t="s">
        <v>1491</v>
      </c>
      <c r="B10" t="s">
        <v>1710</v>
      </c>
      <c r="C10" t="s">
        <v>27</v>
      </c>
      <c r="D10" t="s">
        <v>177</v>
      </c>
      <c r="E10">
        <v>2</v>
      </c>
      <c r="F10">
        <v>0</v>
      </c>
      <c r="G10" s="347">
        <f>E10-F10</f>
        <v>2</v>
      </c>
      <c r="H10" s="12">
        <v>3082.2920000000004</v>
      </c>
      <c r="I10" s="12">
        <f t="shared" si="0"/>
        <v>6164.5840000000007</v>
      </c>
      <c r="J10" s="12">
        <v>8630.4176000000007</v>
      </c>
      <c r="K10" s="347" t="str">
        <f t="shared" si="1"/>
        <v>Bajo Stock</v>
      </c>
      <c r="L10" s="12">
        <f>+Tabla9[[#This Row],[Costo (COP/g)]]*3</f>
        <v>9246.8760000000002</v>
      </c>
    </row>
    <row r="11" spans="1:12" x14ac:dyDescent="0.3">
      <c r="A11" t="s">
        <v>1728</v>
      </c>
      <c r="B11" t="s">
        <v>1727</v>
      </c>
      <c r="C11" t="s">
        <v>27</v>
      </c>
      <c r="D11" t="s">
        <v>177</v>
      </c>
      <c r="E11">
        <v>2</v>
      </c>
      <c r="F11">
        <v>1</v>
      </c>
      <c r="G11" s="347">
        <v>1</v>
      </c>
      <c r="H11" s="12">
        <v>3117.5828571428569</v>
      </c>
      <c r="I11" s="12">
        <f t="shared" si="0"/>
        <v>3117.5828571428569</v>
      </c>
      <c r="J11" s="12">
        <v>10000</v>
      </c>
      <c r="K11" s="347" t="str">
        <f t="shared" si="1"/>
        <v>Bajo Stock</v>
      </c>
      <c r="L11" s="12">
        <f>+Tabla9[[#This Row],[Costo (COP/g)]]*3</f>
        <v>9352.7485714285704</v>
      </c>
    </row>
    <row r="12" spans="1:12" x14ac:dyDescent="0.3">
      <c r="A12" t="s">
        <v>1719</v>
      </c>
      <c r="B12" t="s">
        <v>1718</v>
      </c>
      <c r="C12" t="s">
        <v>28</v>
      </c>
      <c r="D12" t="s">
        <v>177</v>
      </c>
      <c r="E12">
        <v>2</v>
      </c>
      <c r="F12">
        <v>1</v>
      </c>
      <c r="G12" s="347">
        <v>1</v>
      </c>
      <c r="H12" s="12">
        <v>3305.0623999999998</v>
      </c>
      <c r="I12" s="12">
        <f t="shared" si="0"/>
        <v>3305.0623999999998</v>
      </c>
      <c r="J12" s="12">
        <v>10000</v>
      </c>
      <c r="K12" s="347" t="str">
        <f t="shared" si="1"/>
        <v>Bajo Stock</v>
      </c>
      <c r="L12" s="12">
        <f>+Tabla9[[#This Row],[Costo (COP/g)]]*3</f>
        <v>9915.1872000000003</v>
      </c>
    </row>
    <row r="13" spans="1:12" x14ac:dyDescent="0.3">
      <c r="A13" t="s">
        <v>1737</v>
      </c>
      <c r="B13" t="s">
        <v>1736</v>
      </c>
      <c r="C13" t="s">
        <v>1532</v>
      </c>
      <c r="D13" t="s">
        <v>178</v>
      </c>
      <c r="E13">
        <v>13</v>
      </c>
      <c r="F13">
        <v>0</v>
      </c>
      <c r="G13" s="347">
        <f>E13-F13</f>
        <v>13</v>
      </c>
      <c r="H13" s="12">
        <v>329.15999999999997</v>
      </c>
      <c r="I13" s="12">
        <f t="shared" si="0"/>
        <v>4279.08</v>
      </c>
      <c r="J13" s="12">
        <v>544.78059999999994</v>
      </c>
      <c r="K13" s="347" t="str">
        <f t="shared" si="1"/>
        <v>OK</v>
      </c>
      <c r="L13" s="12">
        <f>+Tabla9[[#This Row],[Costo (COP/g)]]*3</f>
        <v>987.4799999999999</v>
      </c>
    </row>
    <row r="14" spans="1:12" x14ac:dyDescent="0.3">
      <c r="A14" t="s">
        <v>1433</v>
      </c>
      <c r="B14" t="s">
        <v>251</v>
      </c>
      <c r="C14" t="s">
        <v>27</v>
      </c>
      <c r="D14" t="s">
        <v>177</v>
      </c>
      <c r="E14">
        <v>0</v>
      </c>
      <c r="F14">
        <v>1</v>
      </c>
      <c r="G14" s="347">
        <f>E14-F14</f>
        <v>-1</v>
      </c>
      <c r="H14" s="12">
        <v>10702.602285714285</v>
      </c>
      <c r="I14" s="12">
        <f t="shared" si="0"/>
        <v>-10702.602285714285</v>
      </c>
      <c r="J14" s="12">
        <v>-29967.286399999997</v>
      </c>
      <c r="K14" s="347" t="str">
        <f t="shared" si="1"/>
        <v>Bajo Stock</v>
      </c>
      <c r="L14" s="12">
        <f>+Tabla9[[#This Row],[Costo (COP/g)]]*3</f>
        <v>32107.806857142856</v>
      </c>
    </row>
    <row r="15" spans="1:12" x14ac:dyDescent="0.3">
      <c r="A15" t="s">
        <v>1473</v>
      </c>
      <c r="B15" t="s">
        <v>1465</v>
      </c>
      <c r="C15" t="s">
        <v>27</v>
      </c>
      <c r="D15" t="s">
        <v>177</v>
      </c>
      <c r="E15">
        <v>0</v>
      </c>
      <c r="F15">
        <v>1</v>
      </c>
      <c r="G15" s="347">
        <f>E15-F15</f>
        <v>-1</v>
      </c>
      <c r="H15" s="12">
        <v>26977.996571428568</v>
      </c>
      <c r="I15" s="12">
        <f t="shared" si="0"/>
        <v>-26977.996571428568</v>
      </c>
      <c r="J15" s="12">
        <v>75538.390399999989</v>
      </c>
      <c r="K15" s="347" t="str">
        <f t="shared" si="1"/>
        <v>Bajo Stock</v>
      </c>
      <c r="L15" s="12">
        <f>+Tabla9[[#This Row],[Costo (COP/g)]]*3</f>
        <v>80933.989714285708</v>
      </c>
    </row>
    <row r="16" spans="1:12" x14ac:dyDescent="0.3">
      <c r="A16" t="s">
        <v>1773</v>
      </c>
      <c r="B16" t="s">
        <v>199</v>
      </c>
      <c r="C16" t="s">
        <v>1532</v>
      </c>
      <c r="D16" t="s">
        <v>178</v>
      </c>
      <c r="E16">
        <v>0</v>
      </c>
      <c r="F16">
        <v>1</v>
      </c>
      <c r="G16" s="347">
        <f>E16-F16</f>
        <v>-1</v>
      </c>
      <c r="H16" s="12">
        <v>12315.732</v>
      </c>
      <c r="I16" s="12">
        <f t="shared" si="0"/>
        <v>-12315.732</v>
      </c>
      <c r="J16" s="12">
        <v>34484.049599999998</v>
      </c>
      <c r="K16" s="347" t="str">
        <f t="shared" si="1"/>
        <v>Bajo Stock</v>
      </c>
      <c r="L16" s="12">
        <f>+Tabla9[[#This Row],[Costo (COP/g)]]*3</f>
        <v>36947.195999999996</v>
      </c>
    </row>
    <row r="17" spans="1:12" x14ac:dyDescent="0.3">
      <c r="A17" t="s">
        <v>1746</v>
      </c>
      <c r="B17" t="s">
        <v>1745</v>
      </c>
      <c r="C17" t="s">
        <v>27</v>
      </c>
      <c r="D17" t="s">
        <v>177</v>
      </c>
      <c r="E17">
        <v>0</v>
      </c>
      <c r="F17">
        <v>1</v>
      </c>
      <c r="G17" s="347">
        <f>E17-F17</f>
        <v>-1</v>
      </c>
      <c r="H17" s="12">
        <v>2625.9794285714288</v>
      </c>
      <c r="I17" s="12">
        <f t="shared" si="0"/>
        <v>-2625.9794285714288</v>
      </c>
      <c r="J17" s="12">
        <v>7352.7424000000001</v>
      </c>
      <c r="K17" s="347" t="str">
        <f t="shared" si="1"/>
        <v>Bajo Stock</v>
      </c>
      <c r="L17" s="12">
        <f>+Tabla9[[#This Row],[Costo (COP/g)]]*3</f>
        <v>7877.9382857142864</v>
      </c>
    </row>
    <row r="18" spans="1:12" x14ac:dyDescent="0.3">
      <c r="A18" t="s">
        <v>1482</v>
      </c>
      <c r="B18" t="s">
        <v>1474</v>
      </c>
      <c r="C18" t="s">
        <v>1432</v>
      </c>
      <c r="D18" t="s">
        <v>177</v>
      </c>
      <c r="E18">
        <v>0</v>
      </c>
      <c r="F18">
        <v>8</v>
      </c>
      <c r="G18" s="347">
        <v>-3</v>
      </c>
      <c r="H18" s="12">
        <v>364.79228152380949</v>
      </c>
      <c r="I18" s="12">
        <f t="shared" si="0"/>
        <v>-1094.3768445714286</v>
      </c>
      <c r="J18" s="12">
        <v>5000</v>
      </c>
      <c r="K18" s="347" t="str">
        <f t="shared" si="1"/>
        <v>Bajo Stock</v>
      </c>
      <c r="L18" s="12">
        <f>+Tabla9[[#This Row],[Costo (COP/g)]]*3</f>
        <v>1094.3768445714286</v>
      </c>
    </row>
    <row r="19" spans="1:12" x14ac:dyDescent="0.3">
      <c r="A19" t="s">
        <v>1491</v>
      </c>
      <c r="B19" t="s">
        <v>1483</v>
      </c>
      <c r="C19" t="s">
        <v>28</v>
      </c>
      <c r="D19" t="s">
        <v>177</v>
      </c>
      <c r="E19">
        <v>1</v>
      </c>
      <c r="F19">
        <v>1</v>
      </c>
      <c r="G19" s="347">
        <v>0</v>
      </c>
      <c r="H19" s="12">
        <v>26655.92577142857</v>
      </c>
      <c r="I19" s="12">
        <f t="shared" si="0"/>
        <v>0</v>
      </c>
      <c r="J19" s="12">
        <v>55000</v>
      </c>
      <c r="K19" s="347" t="str">
        <f t="shared" si="1"/>
        <v>Bajo Stock</v>
      </c>
      <c r="L19" s="12">
        <f>+Tabla9[[#This Row],[Costo (COP/g)]]*3</f>
        <v>79967.777314285719</v>
      </c>
    </row>
    <row r="20" spans="1:12" x14ac:dyDescent="0.3">
      <c r="A20" t="s">
        <v>1464</v>
      </c>
      <c r="B20" t="s">
        <v>1456</v>
      </c>
      <c r="C20" t="s">
        <v>28</v>
      </c>
      <c r="D20" t="s">
        <v>177</v>
      </c>
      <c r="E20">
        <v>1</v>
      </c>
      <c r="F20">
        <v>1</v>
      </c>
      <c r="G20" s="347">
        <f>E20-F20</f>
        <v>0</v>
      </c>
      <c r="H20" s="12">
        <v>688.49952000000008</v>
      </c>
      <c r="I20" s="12">
        <f t="shared" si="0"/>
        <v>0</v>
      </c>
      <c r="J20" s="12">
        <v>1927.7986560000002</v>
      </c>
      <c r="K20" s="347" t="str">
        <f t="shared" si="1"/>
        <v>Bajo Stock</v>
      </c>
      <c r="L20" s="12">
        <f>+Tabla9[[#This Row],[Costo (COP/g)]]*3</f>
        <v>2065.49856</v>
      </c>
    </row>
    <row r="21" spans="1:12" x14ac:dyDescent="0.3">
      <c r="A21" t="s">
        <v>1782</v>
      </c>
      <c r="B21" t="s">
        <v>259</v>
      </c>
      <c r="C21" t="s">
        <v>27</v>
      </c>
      <c r="D21" t="s">
        <v>177</v>
      </c>
      <c r="E21">
        <v>0</v>
      </c>
      <c r="F21">
        <v>1</v>
      </c>
      <c r="G21" s="347">
        <f>E21-F21</f>
        <v>-1</v>
      </c>
      <c r="H21" s="12">
        <v>462.61600000000004</v>
      </c>
      <c r="I21" s="12">
        <f t="shared" si="0"/>
        <v>-462.61600000000004</v>
      </c>
      <c r="J21" s="12">
        <v>1295.3248000000001</v>
      </c>
      <c r="K21" s="347" t="str">
        <f t="shared" si="1"/>
        <v>Bajo Stock</v>
      </c>
      <c r="L21" s="12">
        <f>+Tabla9[[#This Row],[Costo (COP/g)]]*3</f>
        <v>1387.8480000000002</v>
      </c>
    </row>
    <row r="22" spans="1:12" x14ac:dyDescent="0.3">
      <c r="A22" t="s">
        <v>1447</v>
      </c>
      <c r="B22" t="s">
        <v>255</v>
      </c>
      <c r="C22" t="s">
        <v>29</v>
      </c>
      <c r="D22" t="s">
        <v>177</v>
      </c>
      <c r="E22">
        <v>3</v>
      </c>
      <c r="F22">
        <v>33</v>
      </c>
      <c r="G22" s="347">
        <v>3</v>
      </c>
      <c r="H22" s="12">
        <v>556.70320000000004</v>
      </c>
      <c r="I22" s="12">
        <f t="shared" si="0"/>
        <v>1670.1096000000002</v>
      </c>
      <c r="J22" s="12">
        <v>4000</v>
      </c>
      <c r="K22" s="347" t="str">
        <f t="shared" si="1"/>
        <v>OK</v>
      </c>
      <c r="L22" s="12">
        <f>+Tabla9[[#This Row],[Costo (COP/g)]]*3</f>
        <v>1670.1096000000002</v>
      </c>
    </row>
    <row r="23" spans="1:12" x14ac:dyDescent="0.3">
      <c r="A23" t="s">
        <v>1424</v>
      </c>
      <c r="B23" t="s">
        <v>250</v>
      </c>
      <c r="C23" t="s">
        <v>28</v>
      </c>
      <c r="D23" t="s">
        <v>177</v>
      </c>
      <c r="E23">
        <v>0</v>
      </c>
      <c r="F23">
        <v>1</v>
      </c>
      <c r="G23" s="347">
        <f t="shared" ref="G23" si="2">E23-F23</f>
        <v>-1</v>
      </c>
      <c r="H23" s="12">
        <v>13693.436800000001</v>
      </c>
      <c r="I23" s="12">
        <f t="shared" si="0"/>
        <v>-13693.436800000001</v>
      </c>
      <c r="J23" s="12">
        <v>-38341.623039999999</v>
      </c>
      <c r="K23" s="347" t="str">
        <f t="shared" si="1"/>
        <v>Bajo Stock</v>
      </c>
      <c r="L23" s="12">
        <f>+Tabla9[[#This Row],[Costo (COP/g)]]*3</f>
        <v>41080.310400000002</v>
      </c>
    </row>
    <row r="24" spans="1:12" x14ac:dyDescent="0.3">
      <c r="A24" t="s">
        <v>1784</v>
      </c>
      <c r="B24" t="s">
        <v>1783</v>
      </c>
      <c r="C24" t="s">
        <v>194</v>
      </c>
      <c r="D24" t="s">
        <v>177</v>
      </c>
      <c r="E24">
        <v>6</v>
      </c>
      <c r="F24">
        <v>12</v>
      </c>
      <c r="G24" s="347">
        <v>4</v>
      </c>
      <c r="H24" s="12">
        <v>721.12699999999995</v>
      </c>
      <c r="I24" s="12">
        <f t="shared" si="0"/>
        <v>2884.5079999999998</v>
      </c>
      <c r="J24" s="12">
        <v>1000</v>
      </c>
      <c r="K24" s="347" t="str">
        <f t="shared" si="1"/>
        <v>OK</v>
      </c>
      <c r="L24" s="12">
        <f>+Tabla9[[#This Row],[Costo (COP/g)]]*3</f>
        <v>2163.3809999999999</v>
      </c>
    </row>
    <row r="25" spans="1:12" x14ac:dyDescent="0.3">
      <c r="A25" t="s">
        <v>1793</v>
      </c>
      <c r="B25" t="s">
        <v>1792</v>
      </c>
      <c r="C25" t="s">
        <v>28</v>
      </c>
      <c r="D25" t="s">
        <v>177</v>
      </c>
      <c r="E25">
        <v>5</v>
      </c>
      <c r="F25">
        <v>0</v>
      </c>
      <c r="G25" s="347">
        <f>E25-F25</f>
        <v>5</v>
      </c>
      <c r="H25" s="12">
        <v>808.50954666666667</v>
      </c>
      <c r="I25" s="12">
        <f t="shared" si="0"/>
        <v>4042.5477333333333</v>
      </c>
      <c r="J25" s="12">
        <v>2026.7130879999997</v>
      </c>
      <c r="K25" s="347" t="str">
        <f t="shared" si="1"/>
        <v>OK</v>
      </c>
      <c r="L25" s="12">
        <f>+Tabla9[[#This Row],[Costo (COP/g)]]*3</f>
        <v>2425.52864</v>
      </c>
    </row>
    <row r="26" spans="1:12" x14ac:dyDescent="0.3">
      <c r="A26" t="s">
        <v>1802</v>
      </c>
      <c r="B26" t="s">
        <v>1801</v>
      </c>
      <c r="C26" t="s">
        <v>27</v>
      </c>
      <c r="D26" t="s">
        <v>177</v>
      </c>
      <c r="E26">
        <v>15</v>
      </c>
      <c r="F26">
        <v>12</v>
      </c>
      <c r="G26" s="347" t="s">
        <v>191</v>
      </c>
      <c r="H26" s="12">
        <v>292.57983999999999</v>
      </c>
      <c r="I26" s="12" t="e">
        <f t="shared" si="0"/>
        <v>#VALUE!</v>
      </c>
      <c r="J26" s="12">
        <v>1000</v>
      </c>
      <c r="K26" s="347" t="str">
        <f t="shared" si="1"/>
        <v>OK</v>
      </c>
      <c r="L26" s="12">
        <f>+Tabla9[[#This Row],[Costo (COP/g)]]*3</f>
        <v>877.73951999999997</v>
      </c>
    </row>
    <row r="27" spans="1:12" x14ac:dyDescent="0.3">
      <c r="A27" t="s">
        <v>1826</v>
      </c>
      <c r="B27" t="s">
        <v>1825</v>
      </c>
      <c r="C27" t="s">
        <v>155</v>
      </c>
      <c r="D27" t="s">
        <v>178</v>
      </c>
      <c r="E27">
        <v>15</v>
      </c>
      <c r="F27">
        <v>0</v>
      </c>
      <c r="G27" s="347">
        <f>E27-F27</f>
        <v>15</v>
      </c>
      <c r="H27" s="12">
        <v>234.40213333333335</v>
      </c>
      <c r="I27" s="12">
        <f t="shared" si="0"/>
        <v>3516.0320000000002</v>
      </c>
      <c r="J27" s="12">
        <v>656.32597333333331</v>
      </c>
      <c r="K27" s="347" t="str">
        <f t="shared" si="1"/>
        <v>OK</v>
      </c>
      <c r="L27" s="12">
        <f>+Tabla9[[#This Row],[Costo (COP/g)]]*3</f>
        <v>703.20640000000003</v>
      </c>
    </row>
    <row r="28" spans="1:12" x14ac:dyDescent="0.3">
      <c r="A28" t="s">
        <v>1835</v>
      </c>
      <c r="B28" t="s">
        <v>1834</v>
      </c>
      <c r="C28" t="s">
        <v>29</v>
      </c>
      <c r="D28" t="s">
        <v>177</v>
      </c>
      <c r="E28">
        <v>15</v>
      </c>
      <c r="F28">
        <v>11</v>
      </c>
      <c r="G28" s="347">
        <v>14</v>
      </c>
      <c r="H28" s="12">
        <v>364.67213866666668</v>
      </c>
      <c r="I28" s="12">
        <f t="shared" si="0"/>
        <v>5105.4099413333333</v>
      </c>
      <c r="J28" s="12">
        <v>1000</v>
      </c>
      <c r="K28" s="347" t="str">
        <f t="shared" si="1"/>
        <v>OK</v>
      </c>
      <c r="L28" s="12">
        <f>+Tabla9[[#This Row],[Costo (COP/g)]]*3</f>
        <v>1094.0164159999999</v>
      </c>
    </row>
    <row r="29" spans="1:12" x14ac:dyDescent="0.3">
      <c r="A29" t="s">
        <v>1844</v>
      </c>
      <c r="B29" t="s">
        <v>1843</v>
      </c>
      <c r="C29" t="s">
        <v>151</v>
      </c>
      <c r="D29" t="s">
        <v>178</v>
      </c>
      <c r="E29">
        <v>15</v>
      </c>
      <c r="F29">
        <v>10</v>
      </c>
      <c r="G29" s="347">
        <v>5</v>
      </c>
      <c r="H29" s="12">
        <v>442.52173333333332</v>
      </c>
      <c r="I29" s="12">
        <f t="shared" si="0"/>
        <v>2212.6086666666665</v>
      </c>
      <c r="J29" s="12">
        <v>1000</v>
      </c>
      <c r="K29" s="347" t="str">
        <f t="shared" si="1"/>
        <v>OK</v>
      </c>
      <c r="L29" s="12">
        <f>+Tabla9[[#This Row],[Costo (COP/g)]]*3</f>
        <v>1327.5652</v>
      </c>
    </row>
    <row r="30" spans="1:12" x14ac:dyDescent="0.3">
      <c r="A30" t="s">
        <v>1853</v>
      </c>
      <c r="B30" t="s">
        <v>1852</v>
      </c>
      <c r="C30" t="s">
        <v>27</v>
      </c>
      <c r="D30" t="s">
        <v>177</v>
      </c>
      <c r="E30">
        <v>5</v>
      </c>
      <c r="F30">
        <v>12</v>
      </c>
      <c r="G30" s="347">
        <v>3</v>
      </c>
      <c r="H30">
        <v>416.29714285714283</v>
      </c>
      <c r="I30" s="373">
        <f t="shared" si="0"/>
        <v>1248.8914285714286</v>
      </c>
      <c r="J30" s="366">
        <v>1000</v>
      </c>
      <c r="K30" s="347" t="str">
        <f t="shared" si="1"/>
        <v>OK</v>
      </c>
      <c r="L30" s="12">
        <f>+Tabla9[[#This Row],[Costo (COP/g)]]*3</f>
        <v>1248.8914285714286</v>
      </c>
    </row>
    <row r="31" spans="1:12" x14ac:dyDescent="0.3">
      <c r="A31" t="s">
        <v>1915</v>
      </c>
      <c r="B31" t="s">
        <v>1914</v>
      </c>
      <c r="C31" t="s">
        <v>155</v>
      </c>
      <c r="D31" t="s">
        <v>178</v>
      </c>
      <c r="E31">
        <v>1</v>
      </c>
      <c r="F31">
        <v>0</v>
      </c>
      <c r="G31" s="347">
        <f>E31-F31</f>
        <v>1</v>
      </c>
      <c r="H31">
        <v>22327.510857142857</v>
      </c>
      <c r="I31" s="373">
        <f>G31*H31</f>
        <v>22327.510857142857</v>
      </c>
      <c r="J31" s="366">
        <v>62517.030399999996</v>
      </c>
      <c r="K31" s="347" t="str">
        <f>IF(G31&lt;=2, "Bajo Stock", "OK")</f>
        <v>Bajo Stock</v>
      </c>
      <c r="L31" s="12">
        <f>+Tabla9[[#This Row],[Costo (COP/g)]]*3</f>
        <v>66982.532571428572</v>
      </c>
    </row>
    <row r="32" spans="1:12" x14ac:dyDescent="0.3">
      <c r="A32" t="s">
        <v>1924</v>
      </c>
      <c r="B32" t="s">
        <v>1923</v>
      </c>
      <c r="C32" t="s">
        <v>27</v>
      </c>
      <c r="D32" t="s">
        <v>178</v>
      </c>
      <c r="E32">
        <v>0</v>
      </c>
      <c r="F32">
        <v>4</v>
      </c>
      <c r="G32" s="347">
        <f>E32-F32</f>
        <v>-4</v>
      </c>
      <c r="H32">
        <v>987.25028571428572</v>
      </c>
      <c r="I32" s="373">
        <f>G32*H32</f>
        <v>-3949.0011428571429</v>
      </c>
      <c r="J32" s="366">
        <v>2764.3008</v>
      </c>
      <c r="K32" s="347" t="str">
        <f>IF(G32&lt;=2, "Bajo Stock", "OK")</f>
        <v>Bajo Stock</v>
      </c>
      <c r="L32" s="12">
        <f>+Tabla9[[#This Row],[Costo (COP/g)]]*3</f>
        <v>2961.7508571428571</v>
      </c>
    </row>
    <row r="33" spans="1:12" x14ac:dyDescent="0.3">
      <c r="A33" t="s">
        <v>1926</v>
      </c>
      <c r="B33" t="s">
        <v>1925</v>
      </c>
      <c r="C33" t="s">
        <v>1432</v>
      </c>
      <c r="D33" t="s">
        <v>177</v>
      </c>
      <c r="E33">
        <v>24</v>
      </c>
      <c r="F33">
        <v>0</v>
      </c>
      <c r="G33" s="347">
        <f>E33-F33</f>
        <v>24</v>
      </c>
      <c r="H33">
        <v>476.7339167460317</v>
      </c>
      <c r="I33" s="373">
        <f>G33*H33</f>
        <v>11441.61400190476</v>
      </c>
      <c r="J33" s="366">
        <v>1334.8549668888886</v>
      </c>
      <c r="K33" s="347" t="str">
        <f>IF(G33&lt;=2, "Bajo Stock", "OK")</f>
        <v>OK</v>
      </c>
      <c r="L33" s="12">
        <f>+Tabla9[[#This Row],[Costo (COP/g)]]*3</f>
        <v>1430.201750238095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A45D6-AB80-49FB-94A2-2A06BEAE7BB0}">
  <sheetPr codeName="Hoja7">
    <outlinePr summaryBelow="0" summaryRight="0"/>
  </sheetPr>
  <dimension ref="A1:J24"/>
  <sheetViews>
    <sheetView workbookViewId="0">
      <selection activeCell="D28" sqref="D28"/>
    </sheetView>
  </sheetViews>
  <sheetFormatPr baseColWidth="10" defaultColWidth="12.5546875" defaultRowHeight="15.75" customHeight="1" x14ac:dyDescent="0.3"/>
  <cols>
    <col min="1" max="1" width="35.33203125" style="3" customWidth="1"/>
    <col min="2" max="2" width="12.5546875" style="3"/>
    <col min="3" max="3" width="19.5546875" style="3" customWidth="1"/>
    <col min="4" max="16384" width="12.5546875" style="3"/>
  </cols>
  <sheetData>
    <row r="1" spans="1:10" ht="15.75" customHeight="1" x14ac:dyDescent="0.3">
      <c r="A1" s="4" t="s">
        <v>126</v>
      </c>
      <c r="B1" s="4" t="s">
        <v>125</v>
      </c>
      <c r="C1" s="4" t="s">
        <v>2</v>
      </c>
      <c r="D1" s="4" t="s">
        <v>124</v>
      </c>
      <c r="E1" s="4" t="s">
        <v>37</v>
      </c>
      <c r="F1" s="4" t="s">
        <v>123</v>
      </c>
    </row>
    <row r="2" spans="1:10" ht="15.75" customHeight="1" x14ac:dyDescent="0.3">
      <c r="A2" s="4" t="s">
        <v>122</v>
      </c>
      <c r="B2" s="4">
        <v>5</v>
      </c>
      <c r="C2" s="4" t="s">
        <v>119</v>
      </c>
      <c r="D2" s="4" t="s">
        <v>118</v>
      </c>
      <c r="E2" s="4" t="s">
        <v>121</v>
      </c>
      <c r="F2" s="4" t="s">
        <v>116</v>
      </c>
    </row>
    <row r="3" spans="1:10" ht="15.75" customHeight="1" x14ac:dyDescent="0.3">
      <c r="A3" s="4" t="s">
        <v>120</v>
      </c>
      <c r="B3" s="4">
        <v>3</v>
      </c>
      <c r="C3" s="4" t="s">
        <v>119</v>
      </c>
      <c r="D3" s="4" t="s">
        <v>118</v>
      </c>
      <c r="E3" s="4" t="s">
        <v>117</v>
      </c>
      <c r="F3" s="4" t="s">
        <v>116</v>
      </c>
    </row>
    <row r="4" spans="1:10" ht="15.75" customHeight="1" x14ac:dyDescent="0.3">
      <c r="A4" s="4" t="s">
        <v>115</v>
      </c>
      <c r="B4" s="4">
        <v>2</v>
      </c>
      <c r="C4" s="4" t="s">
        <v>2</v>
      </c>
      <c r="D4" s="4" t="s">
        <v>67</v>
      </c>
      <c r="E4" s="4" t="s">
        <v>114</v>
      </c>
      <c r="F4" s="4" t="s">
        <v>113</v>
      </c>
    </row>
    <row r="5" spans="1:10" ht="15.75" customHeight="1" x14ac:dyDescent="0.3">
      <c r="A5" s="4" t="s">
        <v>112</v>
      </c>
      <c r="B5" s="4">
        <v>10</v>
      </c>
      <c r="C5" s="4" t="s">
        <v>2</v>
      </c>
      <c r="D5" s="4" t="s">
        <v>63</v>
      </c>
      <c r="E5" s="4" t="s">
        <v>111</v>
      </c>
      <c r="F5" s="4" t="s">
        <v>110</v>
      </c>
    </row>
    <row r="6" spans="1:10" ht="15.75" customHeight="1" x14ac:dyDescent="0.3">
      <c r="A6" s="4" t="s">
        <v>109</v>
      </c>
      <c r="B6" s="4">
        <v>1</v>
      </c>
      <c r="C6" s="4" t="s">
        <v>2</v>
      </c>
      <c r="D6" s="4" t="s">
        <v>108</v>
      </c>
      <c r="E6" s="4" t="s">
        <v>108</v>
      </c>
      <c r="F6" s="4" t="s">
        <v>107</v>
      </c>
    </row>
    <row r="7" spans="1:10" ht="15.75" customHeight="1" x14ac:dyDescent="0.3">
      <c r="A7" s="4" t="s">
        <v>106</v>
      </c>
      <c r="B7" s="4">
        <v>200</v>
      </c>
      <c r="C7" s="4" t="s">
        <v>105</v>
      </c>
      <c r="D7" s="4" t="s">
        <v>58</v>
      </c>
      <c r="E7" s="4" t="s">
        <v>104</v>
      </c>
      <c r="F7" s="4" t="s">
        <v>103</v>
      </c>
    </row>
    <row r="8" spans="1:10" ht="15.75" customHeight="1" x14ac:dyDescent="0.3">
      <c r="D8" s="4" t="s">
        <v>102</v>
      </c>
      <c r="E8" s="4" t="s">
        <v>101</v>
      </c>
    </row>
    <row r="10" spans="1:10" ht="15.75" customHeight="1" x14ac:dyDescent="0.3">
      <c r="A10" s="4" t="s">
        <v>100</v>
      </c>
      <c r="B10" s="4" t="s">
        <v>99</v>
      </c>
      <c r="C10" s="4" t="s">
        <v>98</v>
      </c>
      <c r="D10" s="4" t="s">
        <v>97</v>
      </c>
      <c r="E10" s="4" t="s">
        <v>96</v>
      </c>
      <c r="F10" s="4" t="s">
        <v>95</v>
      </c>
      <c r="G10" s="4" t="s">
        <v>94</v>
      </c>
      <c r="H10" s="4" t="s">
        <v>93</v>
      </c>
      <c r="I10" s="4" t="s">
        <v>92</v>
      </c>
      <c r="J10" s="4" t="s">
        <v>91</v>
      </c>
    </row>
    <row r="11" spans="1:10" ht="15.75" customHeight="1" x14ac:dyDescent="0.3">
      <c r="A11" s="4" t="s">
        <v>90</v>
      </c>
      <c r="B11" s="4" t="s">
        <v>89</v>
      </c>
      <c r="C11" s="4" t="s">
        <v>76</v>
      </c>
      <c r="D11" s="4" t="s">
        <v>88</v>
      </c>
      <c r="E11" s="4" t="s">
        <v>87</v>
      </c>
      <c r="F11" s="4">
        <v>8</v>
      </c>
      <c r="G11" s="4">
        <v>12</v>
      </c>
      <c r="H11" s="4" t="s">
        <v>86</v>
      </c>
      <c r="I11" s="4" t="s">
        <v>75</v>
      </c>
      <c r="J11" s="4" t="s">
        <v>85</v>
      </c>
    </row>
    <row r="12" spans="1:10" ht="15.75" customHeight="1" x14ac:dyDescent="0.3">
      <c r="A12" s="4" t="s">
        <v>84</v>
      </c>
      <c r="B12" s="4" t="s">
        <v>83</v>
      </c>
      <c r="C12" s="4" t="s">
        <v>82</v>
      </c>
      <c r="F12" s="4">
        <v>5</v>
      </c>
      <c r="G12" s="4">
        <v>1</v>
      </c>
      <c r="H12" s="4" t="s">
        <v>81</v>
      </c>
      <c r="I12" s="4" t="s">
        <v>58</v>
      </c>
      <c r="J12" s="4" t="s">
        <v>80</v>
      </c>
    </row>
    <row r="13" spans="1:10" ht="15.75" customHeight="1" x14ac:dyDescent="0.3">
      <c r="A13" s="4" t="s">
        <v>79</v>
      </c>
      <c r="B13" s="4" t="s">
        <v>78</v>
      </c>
      <c r="C13" s="4" t="s">
        <v>77</v>
      </c>
      <c r="D13" s="4" t="s">
        <v>76</v>
      </c>
      <c r="F13" s="4">
        <v>12</v>
      </c>
      <c r="G13" s="4">
        <v>8</v>
      </c>
      <c r="H13" s="5">
        <v>46054</v>
      </c>
      <c r="I13" s="4" t="s">
        <v>75</v>
      </c>
      <c r="J13" s="4" t="s">
        <v>74</v>
      </c>
    </row>
    <row r="15" spans="1:10" ht="15.75" customHeight="1" x14ac:dyDescent="0.3">
      <c r="A15" s="4" t="s">
        <v>73</v>
      </c>
      <c r="B15" s="4" t="s">
        <v>72</v>
      </c>
      <c r="C15" s="4" t="s">
        <v>71</v>
      </c>
      <c r="D15" s="4" t="s">
        <v>70</v>
      </c>
      <c r="E15" s="4" t="s">
        <v>13</v>
      </c>
      <c r="F15" s="4" t="s">
        <v>37</v>
      </c>
    </row>
    <row r="16" spans="1:10" ht="15.75" customHeight="1" x14ac:dyDescent="0.3">
      <c r="A16" s="7">
        <v>46127</v>
      </c>
      <c r="B16" s="4" t="s">
        <v>69</v>
      </c>
      <c r="C16" s="4" t="s">
        <v>68</v>
      </c>
      <c r="D16" s="4" t="s">
        <v>67</v>
      </c>
      <c r="E16" s="4" t="s">
        <v>64</v>
      </c>
      <c r="F16" s="4" t="s">
        <v>67</v>
      </c>
    </row>
    <row r="17" spans="1:6" ht="15.75" customHeight="1" x14ac:dyDescent="0.3">
      <c r="A17" s="7">
        <v>46127</v>
      </c>
      <c r="B17" s="4" t="s">
        <v>66</v>
      </c>
      <c r="C17" s="4" t="s">
        <v>65</v>
      </c>
      <c r="D17" s="4" t="s">
        <v>63</v>
      </c>
      <c r="E17" s="4" t="s">
        <v>64</v>
      </c>
      <c r="F17" s="4" t="s">
        <v>63</v>
      </c>
    </row>
    <row r="19" spans="1:6" ht="15.75" customHeight="1" x14ac:dyDescent="0.3">
      <c r="A19" s="4" t="s">
        <v>62</v>
      </c>
      <c r="B19" s="4" t="s">
        <v>1</v>
      </c>
      <c r="C19" s="4" t="s">
        <v>2</v>
      </c>
    </row>
    <row r="20" spans="1:6" ht="15.75" customHeight="1" x14ac:dyDescent="0.3">
      <c r="A20" s="4" t="s">
        <v>61</v>
      </c>
      <c r="B20" s="6">
        <v>25</v>
      </c>
      <c r="C20" s="4" t="s">
        <v>60</v>
      </c>
    </row>
    <row r="21" spans="1:6" ht="15.75" customHeight="1" x14ac:dyDescent="0.3">
      <c r="A21" s="4" t="s">
        <v>59</v>
      </c>
      <c r="B21" s="4" t="s">
        <v>58</v>
      </c>
      <c r="C21" s="4" t="s">
        <v>9</v>
      </c>
    </row>
    <row r="22" spans="1:6" ht="15.75" customHeight="1" x14ac:dyDescent="0.3">
      <c r="A22" s="4" t="s">
        <v>57</v>
      </c>
      <c r="B22" s="4" t="s">
        <v>56</v>
      </c>
      <c r="C22" s="4" t="s">
        <v>11</v>
      </c>
    </row>
    <row r="23" spans="1:6" ht="15.75" customHeight="1" x14ac:dyDescent="0.3">
      <c r="A23" s="4" t="s">
        <v>55</v>
      </c>
      <c r="B23" s="5">
        <v>46143</v>
      </c>
      <c r="C23" s="4" t="s">
        <v>54</v>
      </c>
    </row>
    <row r="24" spans="1:6" ht="15.75" customHeight="1" x14ac:dyDescent="0.3">
      <c r="A24" s="4" t="s">
        <v>53</v>
      </c>
      <c r="B24" s="4">
        <v>60</v>
      </c>
      <c r="C24" s="4" t="s">
        <v>16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B5"/>
  <sheetViews>
    <sheetView workbookViewId="0">
      <pane ySplit="1" topLeftCell="A2" activePane="bottomLeft" state="frozen"/>
      <selection pane="bottomLeft" activeCell="B4" sqref="B4"/>
    </sheetView>
  </sheetViews>
  <sheetFormatPr baseColWidth="10" defaultColWidth="9.109375" defaultRowHeight="14.4" x14ac:dyDescent="0.3"/>
  <cols>
    <col min="1" max="1" width="32.33203125" customWidth="1"/>
    <col min="2" max="2" width="12" bestFit="1" customWidth="1"/>
  </cols>
  <sheetData>
    <row r="1" spans="1:2" x14ac:dyDescent="0.3">
      <c r="A1" s="1" t="s">
        <v>40</v>
      </c>
      <c r="B1" s="1" t="s">
        <v>1</v>
      </c>
    </row>
    <row r="2" spans="1:2" x14ac:dyDescent="0.3">
      <c r="A2" t="s">
        <v>41</v>
      </c>
      <c r="B2" s="8" t="e">
        <f>SUM(Calculadora_Produccion!T:T)</f>
        <v>#DIV/0!</v>
      </c>
    </row>
    <row r="3" spans="1:2" x14ac:dyDescent="0.3">
      <c r="A3" t="s">
        <v>42</v>
      </c>
      <c r="B3" s="8" t="e">
        <f>SUM(Calculadora_Produccion!U:U)</f>
        <v>#DIV/0!</v>
      </c>
    </row>
    <row r="4" spans="1:2" x14ac:dyDescent="0.3">
      <c r="A4" t="s">
        <v>43</v>
      </c>
      <c r="B4" s="8" t="e">
        <f>SUM(Calculadora_Produccion!N:N)</f>
        <v>#DIV/0!</v>
      </c>
    </row>
    <row r="5" spans="1:2" x14ac:dyDescent="0.3">
      <c r="A5" t="s">
        <v>44</v>
      </c>
      <c r="B5" s="8">
        <f>SUM(Calculadora_Produccion!M:M)</f>
        <v>4317.7799839696818</v>
      </c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3378F-BE9E-460E-8673-C551C6FF8B09}">
  <sheetPr codeName="Hoja9"/>
  <dimension ref="A1:D5"/>
  <sheetViews>
    <sheetView workbookViewId="0">
      <selection activeCell="F16" sqref="F16"/>
    </sheetView>
  </sheetViews>
  <sheetFormatPr baseColWidth="10" defaultRowHeight="14.4" x14ac:dyDescent="0.3"/>
  <sheetData>
    <row r="1" spans="1:4" ht="28.8" x14ac:dyDescent="0.3">
      <c r="A1" s="2" t="s">
        <v>45</v>
      </c>
      <c r="B1" s="2" t="s">
        <v>46</v>
      </c>
      <c r="C1" s="2" t="s">
        <v>47</v>
      </c>
      <c r="D1" s="2" t="s">
        <v>48</v>
      </c>
    </row>
    <row r="2" spans="1:4" x14ac:dyDescent="0.3">
      <c r="A2">
        <v>1</v>
      </c>
      <c r="B2">
        <v>10</v>
      </c>
      <c r="C2" t="s">
        <v>49</v>
      </c>
      <c r="D2">
        <v>5</v>
      </c>
    </row>
    <row r="3" spans="1:4" x14ac:dyDescent="0.3">
      <c r="A3">
        <v>11</v>
      </c>
      <c r="B3">
        <v>50</v>
      </c>
      <c r="C3" t="s">
        <v>50</v>
      </c>
      <c r="D3">
        <v>4.5</v>
      </c>
    </row>
    <row r="4" spans="1:4" x14ac:dyDescent="0.3">
      <c r="A4">
        <v>51</v>
      </c>
      <c r="B4">
        <v>100</v>
      </c>
      <c r="C4" t="s">
        <v>51</v>
      </c>
      <c r="D4">
        <v>4</v>
      </c>
    </row>
    <row r="5" spans="1:4" x14ac:dyDescent="0.3">
      <c r="A5">
        <v>101</v>
      </c>
      <c r="B5">
        <v>500</v>
      </c>
      <c r="C5" t="s">
        <v>52</v>
      </c>
      <c r="D5">
        <v>3.5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54B6E-46A9-4835-BA68-FB3ED0D8C2AD}">
  <sheetPr codeName="Hoja20"/>
  <dimension ref="A1:L1000"/>
  <sheetViews>
    <sheetView showGridLines="0" workbookViewId="0">
      <pane ySplit="7" topLeftCell="A11" activePane="bottomLeft" state="frozen"/>
      <selection activeCell="C15" sqref="C15"/>
      <selection pane="bottomLeft" activeCell="C15" sqref="C15"/>
    </sheetView>
  </sheetViews>
  <sheetFormatPr baseColWidth="10" defaultColWidth="14.44140625" defaultRowHeight="15" customHeight="1" x14ac:dyDescent="0.3"/>
  <cols>
    <col min="1" max="2" width="10.6640625" customWidth="1"/>
    <col min="3" max="3" width="38.109375" customWidth="1"/>
    <col min="4" max="7" width="10.6640625" customWidth="1"/>
    <col min="8" max="8" width="29.109375" customWidth="1"/>
    <col min="9" max="26" width="10.6640625" customWidth="1"/>
  </cols>
  <sheetData>
    <row r="1" spans="1:12" ht="14.25" customHeight="1" x14ac:dyDescent="0.3">
      <c r="A1" s="271" t="s">
        <v>632</v>
      </c>
      <c r="B1" s="272"/>
    </row>
    <row r="2" spans="1:12" ht="14.25" customHeight="1" x14ac:dyDescent="0.3">
      <c r="A2" s="273" t="s">
        <v>633</v>
      </c>
      <c r="B2" s="274" t="s">
        <v>634</v>
      </c>
      <c r="C2" s="275"/>
      <c r="D2" s="276"/>
      <c r="E2" s="277"/>
    </row>
    <row r="3" spans="1:12" ht="14.25" customHeight="1" x14ac:dyDescent="0.3">
      <c r="A3" s="273" t="s">
        <v>635</v>
      </c>
      <c r="B3" s="271"/>
      <c r="C3" s="278"/>
      <c r="D3" s="276"/>
      <c r="E3" s="279"/>
      <c r="F3" s="280"/>
      <c r="G3" s="280"/>
      <c r="H3" s="280"/>
      <c r="I3" s="281"/>
    </row>
    <row r="4" spans="1:12" ht="14.25" customHeight="1" x14ac:dyDescent="0.3">
      <c r="D4" s="280"/>
      <c r="E4" s="280"/>
      <c r="F4" s="282"/>
      <c r="G4" s="282"/>
      <c r="H4" s="282"/>
      <c r="I4" s="282"/>
    </row>
    <row r="5" spans="1:12" ht="14.25" customHeight="1" x14ac:dyDescent="0.3">
      <c r="A5" s="283"/>
      <c r="B5" s="271"/>
      <c r="J5" s="284"/>
    </row>
    <row r="6" spans="1:12" ht="14.25" customHeight="1" x14ac:dyDescent="0.3">
      <c r="A6" s="285"/>
      <c r="B6" s="285"/>
      <c r="C6" s="285"/>
      <c r="D6" s="427" t="s">
        <v>636</v>
      </c>
      <c r="E6" s="428"/>
      <c r="F6" s="429"/>
      <c r="G6" s="430" t="s">
        <v>637</v>
      </c>
      <c r="H6" s="429"/>
      <c r="I6" s="285"/>
      <c r="J6" s="285"/>
    </row>
    <row r="7" spans="1:12" ht="14.25" customHeight="1" x14ac:dyDescent="0.3">
      <c r="A7" s="286" t="s">
        <v>638</v>
      </c>
      <c r="B7" s="286" t="s">
        <v>631</v>
      </c>
      <c r="C7" s="286" t="s">
        <v>639</v>
      </c>
      <c r="D7" s="285" t="s">
        <v>640</v>
      </c>
      <c r="E7" s="285" t="s">
        <v>641</v>
      </c>
      <c r="F7" s="285" t="s">
        <v>642</v>
      </c>
      <c r="G7" s="287" t="s">
        <v>643</v>
      </c>
      <c r="H7" s="287" t="s">
        <v>644</v>
      </c>
      <c r="I7" s="286" t="s">
        <v>645</v>
      </c>
      <c r="J7" s="286" t="s">
        <v>646</v>
      </c>
      <c r="L7" s="287" t="s">
        <v>643</v>
      </c>
    </row>
    <row r="8" spans="1:12" ht="14.25" customHeight="1" x14ac:dyDescent="0.3">
      <c r="A8" s="288">
        <v>1</v>
      </c>
      <c r="B8" s="289">
        <v>45456</v>
      </c>
      <c r="C8" s="278" t="s">
        <v>647</v>
      </c>
      <c r="D8" s="288">
        <v>3</v>
      </c>
      <c r="E8" s="288"/>
      <c r="F8" s="288"/>
      <c r="G8" s="278">
        <v>1011</v>
      </c>
      <c r="H8" s="278" t="s">
        <v>648</v>
      </c>
      <c r="I8" s="290">
        <v>100</v>
      </c>
      <c r="J8" s="278"/>
      <c r="L8" s="278">
        <v>1011</v>
      </c>
    </row>
    <row r="9" spans="1:12" ht="14.25" customHeight="1" x14ac:dyDescent="0.3">
      <c r="A9" s="288">
        <v>1</v>
      </c>
      <c r="B9" s="289">
        <v>45456</v>
      </c>
      <c r="C9" s="278" t="s">
        <v>647</v>
      </c>
      <c r="D9" s="288">
        <v>3</v>
      </c>
      <c r="E9" s="288"/>
      <c r="F9" s="288"/>
      <c r="G9" s="278">
        <v>1211</v>
      </c>
      <c r="H9" s="278" t="s">
        <v>649</v>
      </c>
      <c r="I9" s="290">
        <v>200</v>
      </c>
      <c r="J9" s="290"/>
      <c r="L9" s="278">
        <v>1211</v>
      </c>
    </row>
    <row r="10" spans="1:12" ht="14.25" customHeight="1" x14ac:dyDescent="0.3">
      <c r="A10" s="288">
        <v>1</v>
      </c>
      <c r="B10" s="289">
        <v>45456</v>
      </c>
      <c r="C10" s="278" t="s">
        <v>647</v>
      </c>
      <c r="D10" s="288">
        <v>3</v>
      </c>
      <c r="E10" s="288"/>
      <c r="F10" s="288"/>
      <c r="G10" s="278">
        <v>2011</v>
      </c>
      <c r="H10" s="278" t="s">
        <v>650</v>
      </c>
      <c r="I10" s="290">
        <v>500</v>
      </c>
      <c r="J10" s="290"/>
      <c r="L10" s="278">
        <v>2011</v>
      </c>
    </row>
    <row r="11" spans="1:12" ht="14.25" customHeight="1" x14ac:dyDescent="0.3">
      <c r="A11" s="288">
        <v>1</v>
      </c>
      <c r="B11" s="289">
        <v>45456</v>
      </c>
      <c r="C11" s="278" t="s">
        <v>647</v>
      </c>
      <c r="D11" s="288">
        <v>3</v>
      </c>
      <c r="E11" s="288"/>
      <c r="F11" s="288"/>
      <c r="G11" s="278">
        <v>3361</v>
      </c>
      <c r="H11" s="278" t="s">
        <v>651</v>
      </c>
      <c r="I11" s="290">
        <v>300</v>
      </c>
      <c r="J11" s="278"/>
      <c r="L11" s="278">
        <v>3361</v>
      </c>
    </row>
    <row r="12" spans="1:12" ht="14.25" customHeight="1" x14ac:dyDescent="0.3">
      <c r="A12" s="288">
        <v>1</v>
      </c>
      <c r="B12" s="289">
        <v>45456</v>
      </c>
      <c r="C12" s="278" t="s">
        <v>652</v>
      </c>
      <c r="D12" s="288">
        <v>3</v>
      </c>
      <c r="E12" s="288"/>
      <c r="F12" s="288"/>
      <c r="G12" s="278">
        <v>5011</v>
      </c>
      <c r="H12" s="278" t="s">
        <v>653</v>
      </c>
      <c r="I12" s="290"/>
      <c r="J12" s="290">
        <v>1100</v>
      </c>
      <c r="L12" s="278">
        <v>5011</v>
      </c>
    </row>
    <row r="13" spans="1:12" ht="14.25" customHeight="1" x14ac:dyDescent="0.3">
      <c r="A13" s="288">
        <v>1</v>
      </c>
      <c r="B13" s="289">
        <v>45456</v>
      </c>
      <c r="C13" s="278" t="s">
        <v>654</v>
      </c>
      <c r="D13" s="288">
        <v>14</v>
      </c>
      <c r="E13" s="288" t="s">
        <v>655</v>
      </c>
      <c r="F13" s="288" t="s">
        <v>656</v>
      </c>
      <c r="G13" s="278">
        <v>1011</v>
      </c>
      <c r="H13" s="278" t="s">
        <v>648</v>
      </c>
      <c r="I13" s="290">
        <v>100</v>
      </c>
      <c r="J13" s="290"/>
      <c r="L13" s="278">
        <v>4011</v>
      </c>
    </row>
    <row r="14" spans="1:12" ht="14.25" customHeight="1" x14ac:dyDescent="0.3">
      <c r="A14" s="288">
        <v>1</v>
      </c>
      <c r="B14" s="289">
        <v>45456</v>
      </c>
      <c r="C14" s="278" t="s">
        <v>654</v>
      </c>
      <c r="D14" s="288">
        <v>14</v>
      </c>
      <c r="E14" s="288" t="s">
        <v>655</v>
      </c>
      <c r="F14" s="288" t="s">
        <v>656</v>
      </c>
      <c r="G14" s="278">
        <v>4011</v>
      </c>
      <c r="H14" s="278" t="s">
        <v>657</v>
      </c>
      <c r="I14" s="290"/>
      <c r="J14" s="290">
        <v>15.97</v>
      </c>
      <c r="L14" s="291">
        <v>7011</v>
      </c>
    </row>
    <row r="15" spans="1:12" ht="14.25" customHeight="1" x14ac:dyDescent="0.3">
      <c r="A15" s="288">
        <v>1</v>
      </c>
      <c r="B15" s="289">
        <v>45456</v>
      </c>
      <c r="C15" s="278" t="s">
        <v>654</v>
      </c>
      <c r="D15" s="288">
        <v>14</v>
      </c>
      <c r="E15" s="288" t="s">
        <v>655</v>
      </c>
      <c r="F15" s="288" t="s">
        <v>656</v>
      </c>
      <c r="G15" s="291">
        <v>7011</v>
      </c>
      <c r="H15" s="278" t="s">
        <v>658</v>
      </c>
      <c r="I15" s="278"/>
      <c r="J15" s="290">
        <v>84.03</v>
      </c>
      <c r="L15" s="291">
        <v>6011</v>
      </c>
    </row>
    <row r="16" spans="1:12" ht="14.25" customHeight="1" x14ac:dyDescent="0.3">
      <c r="A16" s="288">
        <v>2</v>
      </c>
      <c r="B16" s="289">
        <v>45456</v>
      </c>
      <c r="C16" s="278" t="s">
        <v>659</v>
      </c>
      <c r="D16" s="288">
        <v>8</v>
      </c>
      <c r="E16" s="288" t="s">
        <v>655</v>
      </c>
      <c r="F16" s="288" t="s">
        <v>656</v>
      </c>
      <c r="G16" s="291">
        <v>6011</v>
      </c>
      <c r="H16" s="278" t="s">
        <v>660</v>
      </c>
      <c r="I16" s="290">
        <v>168.07</v>
      </c>
      <c r="J16" s="290"/>
      <c r="L16" s="291">
        <v>6111</v>
      </c>
    </row>
    <row r="17" spans="1:12" ht="14.25" customHeight="1" x14ac:dyDescent="0.3">
      <c r="A17" s="288">
        <v>2</v>
      </c>
      <c r="B17" s="289">
        <v>45456</v>
      </c>
      <c r="C17" s="278" t="s">
        <v>659</v>
      </c>
      <c r="D17" s="288">
        <v>8</v>
      </c>
      <c r="E17" s="288" t="s">
        <v>655</v>
      </c>
      <c r="F17" s="288" t="s">
        <v>656</v>
      </c>
      <c r="G17" s="291">
        <v>4011</v>
      </c>
      <c r="H17" s="278" t="s">
        <v>657</v>
      </c>
      <c r="I17" s="290">
        <v>31.93</v>
      </c>
      <c r="J17" s="290"/>
      <c r="L17" s="278">
        <v>6911</v>
      </c>
    </row>
    <row r="18" spans="1:12" ht="14.25" customHeight="1" x14ac:dyDescent="0.3">
      <c r="A18" s="288">
        <v>2</v>
      </c>
      <c r="B18" s="289">
        <v>45456</v>
      </c>
      <c r="C18" s="278" t="s">
        <v>659</v>
      </c>
      <c r="D18" s="288">
        <v>8</v>
      </c>
      <c r="E18" s="288" t="s">
        <v>655</v>
      </c>
      <c r="F18" s="288" t="s">
        <v>656</v>
      </c>
      <c r="G18" s="291">
        <v>1011</v>
      </c>
      <c r="H18" s="278" t="s">
        <v>648</v>
      </c>
      <c r="I18" s="290"/>
      <c r="J18" s="290">
        <v>200</v>
      </c>
      <c r="L18" s="291">
        <v>7411</v>
      </c>
    </row>
    <row r="19" spans="1:12" ht="14.25" customHeight="1" x14ac:dyDescent="0.3">
      <c r="A19" s="288">
        <v>2</v>
      </c>
      <c r="B19" s="289">
        <v>45456</v>
      </c>
      <c r="C19" s="278" t="s">
        <v>661</v>
      </c>
      <c r="D19" s="288"/>
      <c r="E19" s="288"/>
      <c r="F19" s="288"/>
      <c r="G19" s="278">
        <v>2011</v>
      </c>
      <c r="H19" s="278" t="s">
        <v>658</v>
      </c>
      <c r="I19" s="290">
        <v>168.07</v>
      </c>
      <c r="J19" s="290"/>
      <c r="L19" s="291">
        <v>7311</v>
      </c>
    </row>
    <row r="20" spans="1:12" ht="14.25" customHeight="1" x14ac:dyDescent="0.3">
      <c r="A20" s="288">
        <v>2</v>
      </c>
      <c r="B20" s="289">
        <v>45456</v>
      </c>
      <c r="C20" s="278" t="s">
        <v>661</v>
      </c>
      <c r="D20" s="288"/>
      <c r="E20" s="288"/>
      <c r="F20" s="288"/>
      <c r="G20" s="291">
        <v>6111</v>
      </c>
      <c r="H20" s="278" t="s">
        <v>662</v>
      </c>
      <c r="I20" s="278"/>
      <c r="J20" s="290">
        <v>168.07</v>
      </c>
      <c r="L20" s="278">
        <v>6301</v>
      </c>
    </row>
    <row r="21" spans="1:12" ht="14.25" customHeight="1" x14ac:dyDescent="0.3">
      <c r="A21" s="288">
        <v>3</v>
      </c>
      <c r="B21" s="289">
        <v>45456</v>
      </c>
      <c r="C21" s="278" t="s">
        <v>663</v>
      </c>
      <c r="D21" s="288"/>
      <c r="E21" s="288" t="s">
        <v>664</v>
      </c>
      <c r="F21" s="288" t="s">
        <v>664</v>
      </c>
      <c r="G21" s="278">
        <v>6911</v>
      </c>
      <c r="H21" s="278" t="s">
        <v>658</v>
      </c>
      <c r="I21" s="290">
        <v>200</v>
      </c>
      <c r="J21" s="278"/>
      <c r="L21" s="278">
        <v>9411</v>
      </c>
    </row>
    <row r="22" spans="1:12" ht="14.25" customHeight="1" x14ac:dyDescent="0.3">
      <c r="A22" s="288">
        <v>3</v>
      </c>
      <c r="B22" s="289">
        <v>45456</v>
      </c>
      <c r="C22" s="278" t="s">
        <v>663</v>
      </c>
      <c r="D22" s="288"/>
      <c r="E22" s="288" t="s">
        <v>664</v>
      </c>
      <c r="F22" s="288" t="s">
        <v>664</v>
      </c>
      <c r="G22" s="291">
        <v>2011</v>
      </c>
      <c r="H22" s="278" t="s">
        <v>658</v>
      </c>
      <c r="I22" s="278"/>
      <c r="J22" s="290">
        <v>200</v>
      </c>
      <c r="L22" s="278">
        <v>9511</v>
      </c>
    </row>
    <row r="23" spans="1:12" ht="14.25" customHeight="1" x14ac:dyDescent="0.3">
      <c r="A23" s="288">
        <v>4</v>
      </c>
      <c r="B23" s="289">
        <v>45456</v>
      </c>
      <c r="C23" s="278" t="s">
        <v>665</v>
      </c>
      <c r="D23" s="288">
        <v>14</v>
      </c>
      <c r="E23" s="288" t="s">
        <v>666</v>
      </c>
      <c r="F23" s="288" t="s">
        <v>667</v>
      </c>
      <c r="G23" s="278">
        <v>1011</v>
      </c>
      <c r="H23" s="278" t="s">
        <v>648</v>
      </c>
      <c r="I23" s="290"/>
      <c r="J23" s="278">
        <v>200</v>
      </c>
      <c r="L23" s="291">
        <v>7911</v>
      </c>
    </row>
    <row r="24" spans="1:12" ht="14.25" customHeight="1" x14ac:dyDescent="0.3">
      <c r="A24" s="288">
        <v>4</v>
      </c>
      <c r="B24" s="289">
        <v>45456</v>
      </c>
      <c r="C24" s="278" t="s">
        <v>665</v>
      </c>
      <c r="D24" s="288">
        <v>14</v>
      </c>
      <c r="E24" s="288" t="s">
        <v>666</v>
      </c>
      <c r="F24" s="288" t="s">
        <v>667</v>
      </c>
      <c r="G24" s="278">
        <v>4011</v>
      </c>
      <c r="H24" s="278" t="s">
        <v>657</v>
      </c>
      <c r="I24" s="290">
        <v>31.93</v>
      </c>
      <c r="J24" s="278"/>
    </row>
    <row r="25" spans="1:12" ht="14.25" customHeight="1" x14ac:dyDescent="0.3">
      <c r="A25" s="288">
        <v>4</v>
      </c>
      <c r="B25" s="289">
        <v>45456</v>
      </c>
      <c r="C25" s="278" t="s">
        <v>665</v>
      </c>
      <c r="D25" s="288">
        <v>14</v>
      </c>
      <c r="E25" s="288" t="s">
        <v>666</v>
      </c>
      <c r="F25" s="288" t="s">
        <v>667</v>
      </c>
      <c r="G25" s="291">
        <v>7411</v>
      </c>
      <c r="H25" s="278" t="s">
        <v>668</v>
      </c>
      <c r="I25" s="278">
        <v>168.07</v>
      </c>
      <c r="J25" s="290"/>
    </row>
    <row r="26" spans="1:12" ht="14.25" customHeight="1" x14ac:dyDescent="0.3">
      <c r="A26" s="288">
        <v>5</v>
      </c>
      <c r="B26" s="289">
        <v>45456</v>
      </c>
      <c r="C26" s="278" t="s">
        <v>669</v>
      </c>
      <c r="D26" s="288">
        <v>8</v>
      </c>
      <c r="E26" s="288" t="s">
        <v>666</v>
      </c>
      <c r="F26" s="288" t="s">
        <v>670</v>
      </c>
      <c r="G26" s="278">
        <v>1011</v>
      </c>
      <c r="H26" s="278" t="s">
        <v>648</v>
      </c>
      <c r="I26" s="278">
        <v>800</v>
      </c>
      <c r="J26" s="278"/>
    </row>
    <row r="27" spans="1:12" ht="14.25" customHeight="1" x14ac:dyDescent="0.3">
      <c r="A27" s="288">
        <v>5</v>
      </c>
      <c r="B27" s="289">
        <v>45456</v>
      </c>
      <c r="C27" s="278" t="s">
        <v>669</v>
      </c>
      <c r="D27" s="288">
        <v>8</v>
      </c>
      <c r="E27" s="288" t="s">
        <v>666</v>
      </c>
      <c r="F27" s="288" t="s">
        <v>670</v>
      </c>
      <c r="G27" s="278">
        <v>4011</v>
      </c>
      <c r="H27" s="278" t="s">
        <v>657</v>
      </c>
      <c r="I27" s="278"/>
      <c r="J27" s="278">
        <v>127.73</v>
      </c>
    </row>
    <row r="28" spans="1:12" ht="14.25" customHeight="1" x14ac:dyDescent="0.3">
      <c r="A28" s="288">
        <v>5</v>
      </c>
      <c r="B28" s="289">
        <v>45456</v>
      </c>
      <c r="C28" s="278" t="s">
        <v>669</v>
      </c>
      <c r="D28" s="288">
        <v>8</v>
      </c>
      <c r="E28" s="288" t="s">
        <v>666</v>
      </c>
      <c r="F28" s="288" t="s">
        <v>670</v>
      </c>
      <c r="G28" s="291">
        <v>7311</v>
      </c>
      <c r="H28" s="278" t="s">
        <v>671</v>
      </c>
      <c r="I28" s="278"/>
      <c r="J28" s="290">
        <v>672.27</v>
      </c>
    </row>
    <row r="29" spans="1:12" ht="14.25" customHeight="1" x14ac:dyDescent="0.3">
      <c r="A29" s="288">
        <v>6</v>
      </c>
      <c r="B29" s="289">
        <v>45456</v>
      </c>
      <c r="C29" s="278" t="s">
        <v>672</v>
      </c>
      <c r="D29" s="288">
        <v>8</v>
      </c>
      <c r="E29" s="288" t="s">
        <v>655</v>
      </c>
      <c r="F29" s="288" t="s">
        <v>673</v>
      </c>
      <c r="G29" s="278">
        <v>6301</v>
      </c>
      <c r="H29" s="278" t="s">
        <v>674</v>
      </c>
      <c r="I29" s="290">
        <v>672.27</v>
      </c>
      <c r="J29" s="290"/>
    </row>
    <row r="30" spans="1:12" ht="14.25" customHeight="1" x14ac:dyDescent="0.3">
      <c r="A30" s="288">
        <v>6</v>
      </c>
      <c r="B30" s="289">
        <v>45456</v>
      </c>
      <c r="C30" s="278" t="s">
        <v>672</v>
      </c>
      <c r="D30" s="288">
        <v>8</v>
      </c>
      <c r="E30" s="288" t="s">
        <v>655</v>
      </c>
      <c r="F30" s="288" t="s">
        <v>673</v>
      </c>
      <c r="G30" s="278">
        <v>4011</v>
      </c>
      <c r="H30" s="278" t="s">
        <v>657</v>
      </c>
      <c r="I30" s="290">
        <v>127.73</v>
      </c>
      <c r="J30" s="290"/>
    </row>
    <row r="31" spans="1:12" ht="14.25" customHeight="1" x14ac:dyDescent="0.3">
      <c r="A31" s="288">
        <v>6</v>
      </c>
      <c r="B31" s="289">
        <v>45456</v>
      </c>
      <c r="C31" s="278" t="s">
        <v>672</v>
      </c>
      <c r="D31" s="288">
        <v>8</v>
      </c>
      <c r="E31" s="288" t="s">
        <v>655</v>
      </c>
      <c r="F31" s="288" t="s">
        <v>673</v>
      </c>
      <c r="G31" s="278">
        <v>1011</v>
      </c>
      <c r="H31" s="278" t="s">
        <v>648</v>
      </c>
      <c r="I31" s="290"/>
      <c r="J31" s="290">
        <v>800</v>
      </c>
    </row>
    <row r="32" spans="1:12" ht="14.25" customHeight="1" x14ac:dyDescent="0.3">
      <c r="A32" s="288">
        <v>6</v>
      </c>
      <c r="B32" s="289">
        <v>45456</v>
      </c>
      <c r="C32" s="278" t="s">
        <v>661</v>
      </c>
      <c r="D32" s="288"/>
      <c r="E32" s="288"/>
      <c r="F32" s="288"/>
      <c r="G32" s="278">
        <v>9411</v>
      </c>
      <c r="H32" s="278" t="s">
        <v>675</v>
      </c>
      <c r="I32" s="278">
        <v>403.36</v>
      </c>
      <c r="J32" s="290"/>
    </row>
    <row r="33" spans="1:10" ht="14.25" customHeight="1" x14ac:dyDescent="0.3">
      <c r="A33" s="288">
        <v>6</v>
      </c>
      <c r="B33" s="289">
        <v>45456</v>
      </c>
      <c r="C33" s="278" t="s">
        <v>661</v>
      </c>
      <c r="D33" s="288"/>
      <c r="E33" s="288"/>
      <c r="F33" s="288"/>
      <c r="G33" s="278">
        <v>9511</v>
      </c>
      <c r="H33" s="278" t="s">
        <v>676</v>
      </c>
      <c r="I33" s="290">
        <v>268.91000000000003</v>
      </c>
      <c r="J33" s="290"/>
    </row>
    <row r="34" spans="1:10" ht="14.25" customHeight="1" x14ac:dyDescent="0.3">
      <c r="A34" s="288">
        <v>6</v>
      </c>
      <c r="B34" s="289">
        <v>45456</v>
      </c>
      <c r="C34" s="278" t="s">
        <v>661</v>
      </c>
      <c r="D34" s="288"/>
      <c r="E34" s="288"/>
      <c r="F34" s="288"/>
      <c r="G34" s="291">
        <v>7911</v>
      </c>
      <c r="H34" s="278" t="s">
        <v>677</v>
      </c>
      <c r="I34" s="278"/>
      <c r="J34" s="290">
        <v>672.27</v>
      </c>
    </row>
    <row r="35" spans="1:10" ht="14.25" customHeight="1" x14ac:dyDescent="0.3">
      <c r="A35" s="288">
        <v>7</v>
      </c>
      <c r="B35" s="289">
        <v>45467</v>
      </c>
      <c r="C35" s="278" t="s">
        <v>659</v>
      </c>
      <c r="D35" s="288">
        <v>8</v>
      </c>
      <c r="E35" s="288" t="s">
        <v>655</v>
      </c>
      <c r="F35" s="288" t="s">
        <v>678</v>
      </c>
      <c r="G35" s="278">
        <v>6011</v>
      </c>
      <c r="H35" s="278" t="s">
        <v>660</v>
      </c>
      <c r="I35" s="290">
        <v>168.07</v>
      </c>
      <c r="J35" s="278"/>
    </row>
    <row r="36" spans="1:10" ht="14.25" customHeight="1" x14ac:dyDescent="0.3">
      <c r="A36" s="288">
        <v>7</v>
      </c>
      <c r="B36" s="289">
        <v>45467</v>
      </c>
      <c r="C36" s="278" t="s">
        <v>659</v>
      </c>
      <c r="D36" s="288">
        <v>8</v>
      </c>
      <c r="E36" s="288" t="s">
        <v>655</v>
      </c>
      <c r="F36" s="288" t="s">
        <v>678</v>
      </c>
      <c r="G36" s="278">
        <v>4011</v>
      </c>
      <c r="H36" s="278" t="s">
        <v>657</v>
      </c>
      <c r="I36" s="290">
        <v>31.93</v>
      </c>
      <c r="J36" s="290"/>
    </row>
    <row r="37" spans="1:10" ht="14.25" customHeight="1" x14ac:dyDescent="0.3">
      <c r="A37" s="288">
        <v>7</v>
      </c>
      <c r="B37" s="289">
        <v>45467</v>
      </c>
      <c r="C37" s="278" t="s">
        <v>659</v>
      </c>
      <c r="D37" s="288">
        <v>8</v>
      </c>
      <c r="E37" s="288" t="s">
        <v>655</v>
      </c>
      <c r="F37" s="288" t="s">
        <v>678</v>
      </c>
      <c r="G37" s="278">
        <v>1011</v>
      </c>
      <c r="H37" s="278" t="s">
        <v>648</v>
      </c>
      <c r="I37" s="290"/>
      <c r="J37" s="290">
        <v>200</v>
      </c>
    </row>
    <row r="38" spans="1:10" ht="14.25" customHeight="1" x14ac:dyDescent="0.3">
      <c r="A38" s="288">
        <v>7</v>
      </c>
      <c r="B38" s="289">
        <v>45467</v>
      </c>
      <c r="C38" s="278" t="s">
        <v>661</v>
      </c>
      <c r="D38" s="288"/>
      <c r="E38" s="288"/>
      <c r="F38" s="288"/>
      <c r="G38" s="278">
        <v>2011</v>
      </c>
      <c r="H38" s="278" t="s">
        <v>658</v>
      </c>
      <c r="I38" s="290">
        <v>168.07</v>
      </c>
      <c r="J38" s="278"/>
    </row>
    <row r="39" spans="1:10" ht="14.25" customHeight="1" x14ac:dyDescent="0.3">
      <c r="A39" s="288">
        <v>7</v>
      </c>
      <c r="B39" s="289">
        <v>45467</v>
      </c>
      <c r="C39" s="278" t="s">
        <v>661</v>
      </c>
      <c r="D39" s="288"/>
      <c r="E39" s="288"/>
      <c r="F39" s="288"/>
      <c r="G39" s="291">
        <v>6111</v>
      </c>
      <c r="H39" s="278" t="s">
        <v>662</v>
      </c>
      <c r="I39" s="278"/>
      <c r="J39" s="290">
        <v>168.07</v>
      </c>
    </row>
    <row r="40" spans="1:10" ht="14.25" customHeight="1" x14ac:dyDescent="0.3">
      <c r="A40" s="288">
        <v>8</v>
      </c>
      <c r="B40" s="289">
        <v>45606</v>
      </c>
      <c r="C40" s="278" t="s">
        <v>654</v>
      </c>
      <c r="D40" s="288">
        <v>14</v>
      </c>
      <c r="E40" s="288" t="s">
        <v>655</v>
      </c>
      <c r="F40" s="288" t="s">
        <v>670</v>
      </c>
      <c r="G40" s="278">
        <v>1011</v>
      </c>
      <c r="H40" s="278" t="s">
        <v>648</v>
      </c>
      <c r="I40" s="278">
        <v>120</v>
      </c>
      <c r="J40" s="278"/>
    </row>
    <row r="41" spans="1:10" ht="14.25" customHeight="1" x14ac:dyDescent="0.3">
      <c r="A41" s="288">
        <v>8</v>
      </c>
      <c r="B41" s="289">
        <v>45606</v>
      </c>
      <c r="C41" s="278" t="s">
        <v>654</v>
      </c>
      <c r="D41" s="288">
        <v>14</v>
      </c>
      <c r="E41" s="288" t="s">
        <v>655</v>
      </c>
      <c r="F41" s="288" t="s">
        <v>670</v>
      </c>
      <c r="G41" s="278">
        <v>4011</v>
      </c>
      <c r="H41" s="278" t="s">
        <v>657</v>
      </c>
      <c r="I41" s="290"/>
      <c r="J41" s="290">
        <v>19.16</v>
      </c>
    </row>
    <row r="42" spans="1:10" ht="14.25" customHeight="1" x14ac:dyDescent="0.3">
      <c r="A42" s="288">
        <v>8</v>
      </c>
      <c r="B42" s="289">
        <v>45606</v>
      </c>
      <c r="C42" s="278" t="s">
        <v>654</v>
      </c>
      <c r="D42" s="288">
        <v>14</v>
      </c>
      <c r="E42" s="288" t="s">
        <v>655</v>
      </c>
      <c r="F42" s="288" t="s">
        <v>670</v>
      </c>
      <c r="G42" s="291">
        <v>7011</v>
      </c>
      <c r="H42" s="278" t="s">
        <v>658</v>
      </c>
      <c r="I42" s="278"/>
      <c r="J42" s="290">
        <v>100.84</v>
      </c>
    </row>
    <row r="43" spans="1:10" ht="14.25" customHeight="1" x14ac:dyDescent="0.3">
      <c r="A43" s="288">
        <v>9</v>
      </c>
      <c r="B43" s="289">
        <v>45607</v>
      </c>
      <c r="C43" s="278" t="s">
        <v>654</v>
      </c>
      <c r="D43" s="288">
        <v>14</v>
      </c>
      <c r="E43" s="288" t="s">
        <v>655</v>
      </c>
      <c r="F43" s="288" t="s">
        <v>670</v>
      </c>
      <c r="G43" s="278">
        <v>1011</v>
      </c>
      <c r="H43" s="278" t="s">
        <v>648</v>
      </c>
      <c r="I43" s="290">
        <v>100</v>
      </c>
      <c r="J43" s="278"/>
    </row>
    <row r="44" spans="1:10" ht="14.25" customHeight="1" x14ac:dyDescent="0.3">
      <c r="A44" s="288">
        <v>9</v>
      </c>
      <c r="B44" s="289">
        <v>45607</v>
      </c>
      <c r="C44" s="278" t="s">
        <v>654</v>
      </c>
      <c r="D44" s="288">
        <v>14</v>
      </c>
      <c r="E44" s="288" t="s">
        <v>655</v>
      </c>
      <c r="F44" s="288" t="s">
        <v>670</v>
      </c>
      <c r="G44" s="278">
        <v>4011</v>
      </c>
      <c r="H44" s="278" t="s">
        <v>657</v>
      </c>
      <c r="I44" s="290"/>
      <c r="J44" s="290">
        <v>15.97</v>
      </c>
    </row>
    <row r="45" spans="1:10" ht="14.25" customHeight="1" x14ac:dyDescent="0.3">
      <c r="A45" s="288">
        <v>9</v>
      </c>
      <c r="B45" s="289">
        <v>45607</v>
      </c>
      <c r="C45" s="278" t="s">
        <v>654</v>
      </c>
      <c r="D45" s="288">
        <v>14</v>
      </c>
      <c r="E45" s="288" t="s">
        <v>655</v>
      </c>
      <c r="F45" s="288" t="s">
        <v>670</v>
      </c>
      <c r="G45" s="291">
        <v>7011</v>
      </c>
      <c r="H45" s="278" t="s">
        <v>658</v>
      </c>
      <c r="I45" s="278"/>
      <c r="J45" s="290">
        <v>84.03</v>
      </c>
    </row>
    <row r="46" spans="1:10" ht="14.25" customHeight="1" x14ac:dyDescent="0.3">
      <c r="A46" s="288">
        <v>10</v>
      </c>
      <c r="B46" s="289">
        <v>45607</v>
      </c>
      <c r="C46" s="278" t="s">
        <v>659</v>
      </c>
      <c r="D46" s="288">
        <v>8</v>
      </c>
      <c r="E46" s="288" t="s">
        <v>655</v>
      </c>
      <c r="F46" s="288" t="s">
        <v>670</v>
      </c>
      <c r="G46" s="278">
        <v>6011</v>
      </c>
      <c r="H46" s="278" t="s">
        <v>660</v>
      </c>
      <c r="I46" s="290">
        <v>84.03</v>
      </c>
      <c r="J46" s="278"/>
    </row>
    <row r="47" spans="1:10" ht="14.25" customHeight="1" x14ac:dyDescent="0.3">
      <c r="A47" s="288">
        <v>10</v>
      </c>
      <c r="B47" s="289">
        <v>45607</v>
      </c>
      <c r="C47" s="278" t="s">
        <v>659</v>
      </c>
      <c r="D47" s="288">
        <v>8</v>
      </c>
      <c r="E47" s="288" t="s">
        <v>655</v>
      </c>
      <c r="F47" s="288" t="s">
        <v>670</v>
      </c>
      <c r="G47" s="278">
        <v>4011</v>
      </c>
      <c r="H47" s="278" t="s">
        <v>657</v>
      </c>
      <c r="I47" s="278">
        <v>15.97</v>
      </c>
      <c r="J47" s="278"/>
    </row>
    <row r="48" spans="1:10" ht="14.25" customHeight="1" x14ac:dyDescent="0.3">
      <c r="A48" s="288">
        <v>10</v>
      </c>
      <c r="B48" s="289">
        <v>45607</v>
      </c>
      <c r="C48" s="278" t="s">
        <v>659</v>
      </c>
      <c r="D48" s="288">
        <v>8</v>
      </c>
      <c r="E48" s="288" t="s">
        <v>655</v>
      </c>
      <c r="F48" s="288" t="s">
        <v>670</v>
      </c>
      <c r="G48" s="278">
        <v>1011</v>
      </c>
      <c r="H48" s="278" t="s">
        <v>648</v>
      </c>
      <c r="I48" s="290"/>
      <c r="J48" s="290">
        <v>100</v>
      </c>
    </row>
    <row r="49" spans="1:10" ht="14.25" customHeight="1" x14ac:dyDescent="0.3">
      <c r="A49" s="288">
        <v>10</v>
      </c>
      <c r="B49" s="289">
        <v>45607</v>
      </c>
      <c r="C49" s="278" t="s">
        <v>661</v>
      </c>
      <c r="D49" s="288"/>
      <c r="E49" s="288"/>
      <c r="F49" s="288"/>
      <c r="G49" s="278">
        <v>2011</v>
      </c>
      <c r="H49" s="278" t="s">
        <v>658</v>
      </c>
      <c r="I49" s="290">
        <v>84.03</v>
      </c>
      <c r="J49" s="278"/>
    </row>
    <row r="50" spans="1:10" ht="14.25" customHeight="1" x14ac:dyDescent="0.3">
      <c r="A50" s="288">
        <v>10</v>
      </c>
      <c r="B50" s="289">
        <v>45607</v>
      </c>
      <c r="C50" s="278" t="s">
        <v>661</v>
      </c>
      <c r="D50" s="288"/>
      <c r="E50" s="288"/>
      <c r="F50" s="288"/>
      <c r="G50" s="291">
        <v>6111</v>
      </c>
      <c r="H50" s="278" t="s">
        <v>662</v>
      </c>
      <c r="I50" s="278"/>
      <c r="J50" s="290">
        <v>84.03</v>
      </c>
    </row>
    <row r="51" spans="1:10" ht="14.25" customHeight="1" x14ac:dyDescent="0.3">
      <c r="A51" s="288">
        <v>11</v>
      </c>
      <c r="B51" s="289">
        <v>45648</v>
      </c>
      <c r="C51" s="278" t="s">
        <v>659</v>
      </c>
      <c r="D51" s="288">
        <v>8</v>
      </c>
      <c r="E51" s="288" t="s">
        <v>655</v>
      </c>
      <c r="F51" s="288" t="s">
        <v>679</v>
      </c>
      <c r="G51" s="278">
        <v>6011</v>
      </c>
      <c r="H51" s="278" t="s">
        <v>660</v>
      </c>
      <c r="I51" s="278">
        <v>84.03</v>
      </c>
      <c r="J51" s="278"/>
    </row>
    <row r="52" spans="1:10" ht="14.25" customHeight="1" x14ac:dyDescent="0.3">
      <c r="A52" s="288">
        <v>11</v>
      </c>
      <c r="B52" s="289">
        <v>45648</v>
      </c>
      <c r="C52" s="278" t="s">
        <v>659</v>
      </c>
      <c r="D52" s="288">
        <v>8</v>
      </c>
      <c r="E52" s="288" t="s">
        <v>655</v>
      </c>
      <c r="F52" s="288" t="s">
        <v>679</v>
      </c>
      <c r="G52" s="278">
        <v>4011</v>
      </c>
      <c r="H52" s="278" t="s">
        <v>657</v>
      </c>
      <c r="I52" s="278">
        <v>15.97</v>
      </c>
      <c r="J52" s="278"/>
    </row>
    <row r="53" spans="1:10" ht="14.25" customHeight="1" x14ac:dyDescent="0.3">
      <c r="A53" s="288">
        <v>11</v>
      </c>
      <c r="B53" s="289">
        <v>45648</v>
      </c>
      <c r="C53" s="278" t="s">
        <v>659</v>
      </c>
      <c r="D53" s="288">
        <v>8</v>
      </c>
      <c r="E53" s="288" t="s">
        <v>655</v>
      </c>
      <c r="F53" s="288" t="s">
        <v>679</v>
      </c>
      <c r="G53" s="278">
        <v>1011</v>
      </c>
      <c r="H53" s="278" t="s">
        <v>648</v>
      </c>
      <c r="I53" s="290"/>
      <c r="J53" s="278">
        <v>100</v>
      </c>
    </row>
    <row r="54" spans="1:10" ht="14.25" customHeight="1" x14ac:dyDescent="0.3">
      <c r="A54" s="288">
        <v>11</v>
      </c>
      <c r="B54" s="289">
        <v>45648</v>
      </c>
      <c r="C54" s="278" t="s">
        <v>661</v>
      </c>
      <c r="D54" s="288"/>
      <c r="E54" s="288"/>
      <c r="F54" s="288"/>
      <c r="G54" s="278">
        <v>2011</v>
      </c>
      <c r="H54" s="278" t="s">
        <v>658</v>
      </c>
      <c r="I54" s="278">
        <v>84.03</v>
      </c>
      <c r="J54" s="278"/>
    </row>
    <row r="55" spans="1:10" ht="14.25" customHeight="1" x14ac:dyDescent="0.3">
      <c r="A55" s="288">
        <v>11</v>
      </c>
      <c r="B55" s="289">
        <v>45648</v>
      </c>
      <c r="C55" s="278" t="s">
        <v>661</v>
      </c>
      <c r="D55" s="288"/>
      <c r="E55" s="288"/>
      <c r="F55" s="288"/>
      <c r="G55" s="291">
        <v>6111</v>
      </c>
      <c r="H55" s="278" t="s">
        <v>662</v>
      </c>
      <c r="I55" s="278"/>
      <c r="J55" s="290">
        <v>84.03</v>
      </c>
    </row>
    <row r="56" spans="1:10" ht="14.25" customHeight="1" x14ac:dyDescent="0.3">
      <c r="A56" s="288">
        <v>12</v>
      </c>
      <c r="B56" s="289">
        <v>45648</v>
      </c>
      <c r="C56" s="278" t="s">
        <v>659</v>
      </c>
      <c r="D56" s="288">
        <v>8</v>
      </c>
      <c r="E56" s="288" t="s">
        <v>655</v>
      </c>
      <c r="F56" s="288" t="s">
        <v>680</v>
      </c>
      <c r="G56" s="278">
        <v>6011</v>
      </c>
      <c r="H56" s="278" t="s">
        <v>660</v>
      </c>
      <c r="I56" s="290">
        <v>84.03</v>
      </c>
      <c r="J56" s="290"/>
    </row>
    <row r="57" spans="1:10" ht="14.25" customHeight="1" x14ac:dyDescent="0.3">
      <c r="A57" s="288">
        <v>12</v>
      </c>
      <c r="B57" s="289">
        <v>45648</v>
      </c>
      <c r="C57" s="278" t="s">
        <v>659</v>
      </c>
      <c r="D57" s="288">
        <v>8</v>
      </c>
      <c r="E57" s="288" t="s">
        <v>655</v>
      </c>
      <c r="F57" s="288" t="s">
        <v>680</v>
      </c>
      <c r="G57" s="278">
        <v>4011</v>
      </c>
      <c r="H57" s="278" t="s">
        <v>657</v>
      </c>
      <c r="I57" s="290">
        <v>15.97</v>
      </c>
      <c r="J57" s="290"/>
    </row>
    <row r="58" spans="1:10" ht="14.25" customHeight="1" x14ac:dyDescent="0.3">
      <c r="A58" s="288">
        <v>12</v>
      </c>
      <c r="B58" s="289">
        <v>45648</v>
      </c>
      <c r="C58" s="278" t="s">
        <v>659</v>
      </c>
      <c r="D58" s="288">
        <v>8</v>
      </c>
      <c r="E58" s="288" t="s">
        <v>655</v>
      </c>
      <c r="F58" s="288" t="s">
        <v>680</v>
      </c>
      <c r="G58" s="278">
        <v>1011</v>
      </c>
      <c r="H58" s="278" t="s">
        <v>648</v>
      </c>
      <c r="I58" s="290"/>
      <c r="J58" s="278">
        <v>100</v>
      </c>
    </row>
    <row r="59" spans="1:10" ht="14.25" customHeight="1" x14ac:dyDescent="0.3">
      <c r="A59" s="288">
        <v>12</v>
      </c>
      <c r="B59" s="289">
        <v>45648</v>
      </c>
      <c r="C59" s="278" t="s">
        <v>661</v>
      </c>
      <c r="D59" s="288"/>
      <c r="E59" s="288"/>
      <c r="F59" s="288"/>
      <c r="G59" s="278">
        <v>2011</v>
      </c>
      <c r="H59" s="278" t="s">
        <v>658</v>
      </c>
      <c r="I59" s="290">
        <v>84.03</v>
      </c>
      <c r="J59" s="278"/>
    </row>
    <row r="60" spans="1:10" ht="14.25" customHeight="1" x14ac:dyDescent="0.3">
      <c r="A60" s="288">
        <v>12</v>
      </c>
      <c r="B60" s="289">
        <v>45648</v>
      </c>
      <c r="C60" s="278" t="s">
        <v>661</v>
      </c>
      <c r="D60" s="288"/>
      <c r="E60" s="288"/>
      <c r="F60" s="288"/>
      <c r="G60" s="291">
        <v>6111</v>
      </c>
      <c r="H60" s="278" t="s">
        <v>662</v>
      </c>
      <c r="I60" s="278"/>
      <c r="J60" s="290">
        <v>84.03</v>
      </c>
    </row>
    <row r="61" spans="1:10" ht="14.25" customHeight="1" x14ac:dyDescent="0.3">
      <c r="A61" s="288">
        <v>13</v>
      </c>
      <c r="B61" s="289">
        <v>45456</v>
      </c>
      <c r="C61" s="278" t="s">
        <v>647</v>
      </c>
      <c r="D61" s="288">
        <v>3</v>
      </c>
      <c r="E61" s="288"/>
      <c r="F61" s="288"/>
      <c r="G61" s="278">
        <v>1011</v>
      </c>
      <c r="H61" s="278" t="s">
        <v>648</v>
      </c>
      <c r="I61" s="290">
        <v>100</v>
      </c>
      <c r="J61" s="278"/>
    </row>
    <row r="62" spans="1:10" ht="14.25" customHeight="1" x14ac:dyDescent="0.3">
      <c r="A62" s="288">
        <v>13</v>
      </c>
      <c r="B62" s="289">
        <v>45456</v>
      </c>
      <c r="C62" s="278" t="s">
        <v>647</v>
      </c>
      <c r="D62" s="288">
        <v>3</v>
      </c>
      <c r="E62" s="288"/>
      <c r="F62" s="288"/>
      <c r="G62" s="278">
        <v>1211</v>
      </c>
      <c r="H62" s="278" t="s">
        <v>649</v>
      </c>
      <c r="I62" s="290">
        <v>200</v>
      </c>
      <c r="J62" s="290"/>
    </row>
    <row r="63" spans="1:10" ht="14.25" customHeight="1" x14ac:dyDescent="0.3">
      <c r="A63" s="288">
        <v>13</v>
      </c>
      <c r="B63" s="289">
        <v>45456</v>
      </c>
      <c r="C63" s="278" t="s">
        <v>647</v>
      </c>
      <c r="D63" s="288">
        <v>3</v>
      </c>
      <c r="E63" s="288"/>
      <c r="F63" s="288"/>
      <c r="G63" s="278">
        <v>2011</v>
      </c>
      <c r="H63" s="278" t="s">
        <v>650</v>
      </c>
      <c r="I63" s="290">
        <v>500</v>
      </c>
      <c r="J63" s="290"/>
    </row>
    <row r="64" spans="1:10" ht="14.25" customHeight="1" x14ac:dyDescent="0.3">
      <c r="A64" s="288">
        <v>13</v>
      </c>
      <c r="B64" s="289">
        <v>45456</v>
      </c>
      <c r="C64" s="278" t="s">
        <v>647</v>
      </c>
      <c r="D64" s="288">
        <v>3</v>
      </c>
      <c r="E64" s="288"/>
      <c r="F64" s="288"/>
      <c r="G64" s="278">
        <v>3361</v>
      </c>
      <c r="H64" s="278" t="s">
        <v>651</v>
      </c>
      <c r="I64" s="290">
        <v>300</v>
      </c>
      <c r="J64" s="278"/>
    </row>
    <row r="65" spans="1:10" ht="14.25" customHeight="1" x14ac:dyDescent="0.3">
      <c r="A65" s="288">
        <v>13</v>
      </c>
      <c r="B65" s="289">
        <v>45456</v>
      </c>
      <c r="C65" s="278" t="s">
        <v>647</v>
      </c>
      <c r="D65" s="288">
        <v>3</v>
      </c>
      <c r="E65" s="288"/>
      <c r="F65" s="288"/>
      <c r="G65" s="278">
        <v>5011</v>
      </c>
      <c r="H65" s="278" t="s">
        <v>653</v>
      </c>
      <c r="I65" s="290"/>
      <c r="J65" s="290">
        <v>1100</v>
      </c>
    </row>
    <row r="66" spans="1:10" ht="14.25" customHeight="1" x14ac:dyDescent="0.3">
      <c r="A66" s="288">
        <v>13</v>
      </c>
      <c r="B66" s="289">
        <v>45456</v>
      </c>
      <c r="C66" s="278" t="s">
        <v>654</v>
      </c>
      <c r="D66" s="288">
        <v>14</v>
      </c>
      <c r="E66" s="288" t="s">
        <v>655</v>
      </c>
      <c r="F66" s="288" t="s">
        <v>656</v>
      </c>
      <c r="G66" s="278">
        <v>1011</v>
      </c>
      <c r="H66" s="278" t="s">
        <v>648</v>
      </c>
      <c r="I66" s="290">
        <v>100</v>
      </c>
      <c r="J66" s="290"/>
    </row>
    <row r="67" spans="1:10" ht="14.25" customHeight="1" x14ac:dyDescent="0.3">
      <c r="A67" s="288">
        <v>13</v>
      </c>
      <c r="B67" s="289">
        <v>45456</v>
      </c>
      <c r="C67" s="278" t="s">
        <v>654</v>
      </c>
      <c r="D67" s="288">
        <v>14</v>
      </c>
      <c r="E67" s="288" t="s">
        <v>655</v>
      </c>
      <c r="F67" s="288" t="s">
        <v>656</v>
      </c>
      <c r="G67" s="278">
        <v>4011</v>
      </c>
      <c r="H67" s="278" t="s">
        <v>657</v>
      </c>
      <c r="I67" s="290"/>
      <c r="J67" s="290">
        <v>15.97</v>
      </c>
    </row>
    <row r="68" spans="1:10" ht="14.25" customHeight="1" x14ac:dyDescent="0.3">
      <c r="A68" s="288">
        <v>13</v>
      </c>
      <c r="B68" s="289">
        <v>45456</v>
      </c>
      <c r="C68" s="278" t="s">
        <v>654</v>
      </c>
      <c r="D68" s="288">
        <v>14</v>
      </c>
      <c r="E68" s="288" t="s">
        <v>655</v>
      </c>
      <c r="F68" s="288" t="s">
        <v>656</v>
      </c>
      <c r="G68" s="291">
        <v>7011</v>
      </c>
      <c r="H68" s="278" t="s">
        <v>658</v>
      </c>
      <c r="I68" s="278"/>
      <c r="J68" s="290">
        <v>84.03</v>
      </c>
    </row>
    <row r="69" spans="1:10" ht="14.25" customHeight="1" x14ac:dyDescent="0.3">
      <c r="A69" s="288">
        <v>14</v>
      </c>
      <c r="B69" s="289">
        <v>45456</v>
      </c>
      <c r="C69" s="278" t="s">
        <v>659</v>
      </c>
      <c r="D69" s="288">
        <v>8</v>
      </c>
      <c r="E69" s="288" t="s">
        <v>655</v>
      </c>
      <c r="F69" s="288" t="s">
        <v>656</v>
      </c>
      <c r="G69" s="291">
        <v>6011</v>
      </c>
      <c r="H69" s="278" t="s">
        <v>660</v>
      </c>
      <c r="I69" s="290">
        <v>168.07</v>
      </c>
      <c r="J69" s="290"/>
    </row>
    <row r="70" spans="1:10" ht="14.25" customHeight="1" x14ac:dyDescent="0.3">
      <c r="A70" s="288">
        <v>14</v>
      </c>
      <c r="B70" s="289">
        <v>45456</v>
      </c>
      <c r="C70" s="278" t="s">
        <v>659</v>
      </c>
      <c r="D70" s="288">
        <v>8</v>
      </c>
      <c r="E70" s="288" t="s">
        <v>655</v>
      </c>
      <c r="F70" s="288" t="s">
        <v>656</v>
      </c>
      <c r="G70" s="291">
        <v>4011</v>
      </c>
      <c r="H70" s="278" t="s">
        <v>657</v>
      </c>
      <c r="I70" s="290">
        <v>31.93</v>
      </c>
      <c r="J70" s="290"/>
    </row>
    <row r="71" spans="1:10" ht="14.25" customHeight="1" x14ac:dyDescent="0.3">
      <c r="A71" s="288">
        <v>14</v>
      </c>
      <c r="B71" s="289">
        <v>45456</v>
      </c>
      <c r="C71" s="278" t="s">
        <v>659</v>
      </c>
      <c r="D71" s="288">
        <v>8</v>
      </c>
      <c r="E71" s="288" t="s">
        <v>655</v>
      </c>
      <c r="F71" s="288" t="s">
        <v>656</v>
      </c>
      <c r="G71" s="291">
        <v>1011</v>
      </c>
      <c r="H71" s="278" t="s">
        <v>648</v>
      </c>
      <c r="I71" s="290"/>
      <c r="J71" s="290">
        <v>200</v>
      </c>
    </row>
    <row r="72" spans="1:10" ht="14.25" customHeight="1" x14ac:dyDescent="0.3">
      <c r="A72" s="288">
        <v>14</v>
      </c>
      <c r="B72" s="289">
        <v>45456</v>
      </c>
      <c r="C72" s="278" t="s">
        <v>661</v>
      </c>
      <c r="D72" s="288"/>
      <c r="E72" s="288"/>
      <c r="F72" s="288"/>
      <c r="G72" s="278">
        <v>2011</v>
      </c>
      <c r="H72" s="278" t="s">
        <v>658</v>
      </c>
      <c r="I72" s="290">
        <v>168.07</v>
      </c>
      <c r="J72" s="290"/>
    </row>
    <row r="73" spans="1:10" ht="14.25" customHeight="1" x14ac:dyDescent="0.3">
      <c r="A73" s="288">
        <v>14</v>
      </c>
      <c r="B73" s="289">
        <v>45456</v>
      </c>
      <c r="C73" s="278" t="s">
        <v>661</v>
      </c>
      <c r="D73" s="288"/>
      <c r="E73" s="288"/>
      <c r="F73" s="288"/>
      <c r="G73" s="291">
        <v>6111</v>
      </c>
      <c r="H73" s="278" t="s">
        <v>662</v>
      </c>
      <c r="I73" s="278"/>
      <c r="J73" s="290">
        <v>168.07</v>
      </c>
    </row>
    <row r="74" spans="1:10" ht="14.25" customHeight="1" x14ac:dyDescent="0.3">
      <c r="A74" s="288">
        <v>15</v>
      </c>
      <c r="B74" s="289">
        <v>45456</v>
      </c>
      <c r="C74" s="278" t="s">
        <v>663</v>
      </c>
      <c r="D74" s="288"/>
      <c r="E74" s="288" t="s">
        <v>664</v>
      </c>
      <c r="F74" s="288" t="s">
        <v>664</v>
      </c>
      <c r="G74" s="278">
        <v>6911</v>
      </c>
      <c r="H74" s="278" t="s">
        <v>658</v>
      </c>
      <c r="I74" s="290">
        <v>200</v>
      </c>
      <c r="J74" s="278"/>
    </row>
    <row r="75" spans="1:10" ht="14.25" customHeight="1" x14ac:dyDescent="0.3">
      <c r="A75" s="288">
        <v>15</v>
      </c>
      <c r="B75" s="289">
        <v>45456</v>
      </c>
      <c r="C75" s="278" t="s">
        <v>663</v>
      </c>
      <c r="D75" s="288"/>
      <c r="E75" s="288" t="s">
        <v>664</v>
      </c>
      <c r="F75" s="288" t="s">
        <v>664</v>
      </c>
      <c r="G75" s="291">
        <v>2011</v>
      </c>
      <c r="H75" s="278" t="s">
        <v>658</v>
      </c>
      <c r="I75" s="278"/>
      <c r="J75" s="290">
        <v>200</v>
      </c>
    </row>
    <row r="76" spans="1:10" ht="14.25" customHeight="1" x14ac:dyDescent="0.3">
      <c r="A76" s="288">
        <v>16</v>
      </c>
      <c r="B76" s="289">
        <v>45456</v>
      </c>
      <c r="C76" s="278" t="s">
        <v>665</v>
      </c>
      <c r="D76" s="288">
        <v>14</v>
      </c>
      <c r="E76" s="288" t="s">
        <v>666</v>
      </c>
      <c r="F76" s="288" t="s">
        <v>667</v>
      </c>
      <c r="G76" s="278">
        <v>1011</v>
      </c>
      <c r="H76" s="278" t="s">
        <v>648</v>
      </c>
      <c r="I76" s="290"/>
      <c r="J76" s="278">
        <v>200</v>
      </c>
    </row>
    <row r="77" spans="1:10" ht="14.25" customHeight="1" x14ac:dyDescent="0.3">
      <c r="A77" s="288">
        <v>16</v>
      </c>
      <c r="B77" s="289">
        <v>45456</v>
      </c>
      <c r="C77" s="278" t="s">
        <v>665</v>
      </c>
      <c r="D77" s="288">
        <v>14</v>
      </c>
      <c r="E77" s="288" t="s">
        <v>666</v>
      </c>
      <c r="F77" s="288" t="s">
        <v>667</v>
      </c>
      <c r="G77" s="278">
        <v>4011</v>
      </c>
      <c r="H77" s="278" t="s">
        <v>657</v>
      </c>
      <c r="I77" s="290">
        <v>31.93</v>
      </c>
      <c r="J77" s="278"/>
    </row>
    <row r="78" spans="1:10" ht="14.25" customHeight="1" x14ac:dyDescent="0.3">
      <c r="A78" s="288">
        <v>16</v>
      </c>
      <c r="B78" s="289">
        <v>45456</v>
      </c>
      <c r="C78" s="278" t="s">
        <v>665</v>
      </c>
      <c r="D78" s="288">
        <v>14</v>
      </c>
      <c r="E78" s="288" t="s">
        <v>666</v>
      </c>
      <c r="F78" s="288" t="s">
        <v>667</v>
      </c>
      <c r="G78" s="291">
        <v>7411</v>
      </c>
      <c r="H78" s="278" t="s">
        <v>668</v>
      </c>
      <c r="I78" s="278">
        <v>168.07</v>
      </c>
      <c r="J78" s="290"/>
    </row>
    <row r="79" spans="1:10" ht="14.25" customHeight="1" x14ac:dyDescent="0.3">
      <c r="A79" s="288">
        <v>17</v>
      </c>
      <c r="B79" s="289">
        <v>45456</v>
      </c>
      <c r="C79" s="278" t="s">
        <v>669</v>
      </c>
      <c r="D79" s="288">
        <v>8</v>
      </c>
      <c r="E79" s="288" t="s">
        <v>666</v>
      </c>
      <c r="F79" s="288" t="s">
        <v>670</v>
      </c>
      <c r="G79" s="278">
        <v>1011</v>
      </c>
      <c r="H79" s="278" t="s">
        <v>648</v>
      </c>
      <c r="I79" s="278">
        <v>800</v>
      </c>
      <c r="J79" s="278"/>
    </row>
    <row r="80" spans="1:10" ht="14.25" customHeight="1" x14ac:dyDescent="0.3">
      <c r="A80" s="288">
        <v>17</v>
      </c>
      <c r="B80" s="289">
        <v>45456</v>
      </c>
      <c r="C80" s="278" t="s">
        <v>669</v>
      </c>
      <c r="D80" s="288">
        <v>8</v>
      </c>
      <c r="E80" s="288" t="s">
        <v>666</v>
      </c>
      <c r="F80" s="288" t="s">
        <v>670</v>
      </c>
      <c r="G80" s="278">
        <v>4011</v>
      </c>
      <c r="H80" s="278" t="s">
        <v>657</v>
      </c>
      <c r="I80" s="278"/>
      <c r="J80" s="278">
        <v>127.73</v>
      </c>
    </row>
    <row r="81" spans="1:10" ht="14.25" customHeight="1" x14ac:dyDescent="0.3">
      <c r="A81" s="288">
        <v>17</v>
      </c>
      <c r="B81" s="289">
        <v>45456</v>
      </c>
      <c r="C81" s="278" t="s">
        <v>669</v>
      </c>
      <c r="D81" s="288">
        <v>8</v>
      </c>
      <c r="E81" s="288" t="s">
        <v>666</v>
      </c>
      <c r="F81" s="288" t="s">
        <v>670</v>
      </c>
      <c r="G81" s="291">
        <v>7311</v>
      </c>
      <c r="H81" s="278" t="s">
        <v>671</v>
      </c>
      <c r="I81" s="278"/>
      <c r="J81" s="290">
        <v>672.27</v>
      </c>
    </row>
    <row r="82" spans="1:10" ht="14.25" customHeight="1" x14ac:dyDescent="0.3">
      <c r="A82" s="288">
        <v>18</v>
      </c>
      <c r="B82" s="289">
        <v>45456</v>
      </c>
      <c r="C82" s="278" t="s">
        <v>672</v>
      </c>
      <c r="D82" s="288">
        <v>8</v>
      </c>
      <c r="E82" s="288" t="s">
        <v>655</v>
      </c>
      <c r="F82" s="288" t="s">
        <v>673</v>
      </c>
      <c r="G82" s="278">
        <v>6301</v>
      </c>
      <c r="H82" s="278" t="s">
        <v>674</v>
      </c>
      <c r="I82" s="290">
        <v>672.27</v>
      </c>
      <c r="J82" s="290"/>
    </row>
    <row r="83" spans="1:10" ht="14.25" customHeight="1" x14ac:dyDescent="0.3">
      <c r="A83" s="288">
        <v>18</v>
      </c>
      <c r="B83" s="289">
        <v>45456</v>
      </c>
      <c r="C83" s="278" t="s">
        <v>672</v>
      </c>
      <c r="D83" s="288">
        <v>8</v>
      </c>
      <c r="E83" s="288" t="s">
        <v>655</v>
      </c>
      <c r="F83" s="288" t="s">
        <v>673</v>
      </c>
      <c r="G83" s="278">
        <v>4011</v>
      </c>
      <c r="H83" s="278" t="s">
        <v>657</v>
      </c>
      <c r="I83" s="290">
        <v>127.73</v>
      </c>
      <c r="J83" s="290"/>
    </row>
    <row r="84" spans="1:10" ht="14.25" customHeight="1" x14ac:dyDescent="0.3">
      <c r="A84" s="288">
        <v>18</v>
      </c>
      <c r="B84" s="289">
        <v>45456</v>
      </c>
      <c r="C84" s="278" t="s">
        <v>672</v>
      </c>
      <c r="D84" s="288">
        <v>8</v>
      </c>
      <c r="E84" s="288" t="s">
        <v>655</v>
      </c>
      <c r="F84" s="288" t="s">
        <v>673</v>
      </c>
      <c r="G84" s="278">
        <v>1011</v>
      </c>
      <c r="H84" s="278" t="s">
        <v>648</v>
      </c>
      <c r="I84" s="290"/>
      <c r="J84" s="290">
        <v>800</v>
      </c>
    </row>
    <row r="85" spans="1:10" ht="14.25" customHeight="1" x14ac:dyDescent="0.3">
      <c r="A85" s="288">
        <v>18</v>
      </c>
      <c r="B85" s="289">
        <v>45456</v>
      </c>
      <c r="C85" s="278" t="s">
        <v>661</v>
      </c>
      <c r="D85" s="288"/>
      <c r="E85" s="288"/>
      <c r="F85" s="288"/>
      <c r="G85" s="278">
        <v>9411</v>
      </c>
      <c r="H85" s="278" t="s">
        <v>675</v>
      </c>
      <c r="I85" s="278">
        <v>403.36</v>
      </c>
      <c r="J85" s="290"/>
    </row>
    <row r="86" spans="1:10" ht="14.25" customHeight="1" x14ac:dyDescent="0.3">
      <c r="A86" s="288">
        <v>18</v>
      </c>
      <c r="B86" s="289">
        <v>45456</v>
      </c>
      <c r="C86" s="278" t="s">
        <v>661</v>
      </c>
      <c r="D86" s="288"/>
      <c r="E86" s="288"/>
      <c r="F86" s="288"/>
      <c r="G86" s="278">
        <v>9511</v>
      </c>
      <c r="H86" s="278" t="s">
        <v>676</v>
      </c>
      <c r="I86" s="290">
        <v>268.91000000000003</v>
      </c>
      <c r="J86" s="290"/>
    </row>
    <row r="87" spans="1:10" ht="14.25" customHeight="1" x14ac:dyDescent="0.3">
      <c r="A87" s="288">
        <v>18</v>
      </c>
      <c r="B87" s="289">
        <v>45456</v>
      </c>
      <c r="C87" s="278" t="s">
        <v>661</v>
      </c>
      <c r="D87" s="288"/>
      <c r="E87" s="288"/>
      <c r="F87" s="288"/>
      <c r="G87" s="291">
        <v>7911</v>
      </c>
      <c r="H87" s="278" t="s">
        <v>677</v>
      </c>
      <c r="I87" s="278"/>
      <c r="J87" s="290">
        <v>672.27</v>
      </c>
    </row>
    <row r="88" spans="1:10" ht="14.25" customHeight="1" x14ac:dyDescent="0.3">
      <c r="A88" s="288">
        <v>19</v>
      </c>
      <c r="B88" s="289">
        <v>45467</v>
      </c>
      <c r="C88" s="278" t="s">
        <v>659</v>
      </c>
      <c r="D88" s="288">
        <v>8</v>
      </c>
      <c r="E88" s="288" t="s">
        <v>655</v>
      </c>
      <c r="F88" s="288" t="s">
        <v>678</v>
      </c>
      <c r="G88" s="278">
        <v>6011</v>
      </c>
      <c r="H88" s="278" t="s">
        <v>660</v>
      </c>
      <c r="I88" s="290">
        <v>168.07</v>
      </c>
      <c r="J88" s="278"/>
    </row>
    <row r="89" spans="1:10" ht="14.25" customHeight="1" x14ac:dyDescent="0.3">
      <c r="A89" s="288">
        <v>19</v>
      </c>
      <c r="B89" s="289">
        <v>45467</v>
      </c>
      <c r="C89" s="278" t="s">
        <v>659</v>
      </c>
      <c r="D89" s="288">
        <v>8</v>
      </c>
      <c r="E89" s="288" t="s">
        <v>655</v>
      </c>
      <c r="F89" s="288" t="s">
        <v>678</v>
      </c>
      <c r="G89" s="278">
        <v>4011</v>
      </c>
      <c r="H89" s="278" t="s">
        <v>657</v>
      </c>
      <c r="I89" s="290">
        <v>31.93</v>
      </c>
      <c r="J89" s="290"/>
    </row>
    <row r="90" spans="1:10" ht="14.25" customHeight="1" x14ac:dyDescent="0.3">
      <c r="A90" s="288">
        <v>19</v>
      </c>
      <c r="B90" s="289">
        <v>45467</v>
      </c>
      <c r="C90" s="278" t="s">
        <v>659</v>
      </c>
      <c r="D90" s="288">
        <v>8</v>
      </c>
      <c r="E90" s="288" t="s">
        <v>655</v>
      </c>
      <c r="F90" s="288" t="s">
        <v>678</v>
      </c>
      <c r="G90" s="278">
        <v>1011</v>
      </c>
      <c r="H90" s="278" t="s">
        <v>648</v>
      </c>
      <c r="I90" s="290"/>
      <c r="J90" s="290">
        <v>200</v>
      </c>
    </row>
    <row r="91" spans="1:10" ht="14.25" customHeight="1" x14ac:dyDescent="0.3">
      <c r="A91" s="288">
        <v>19</v>
      </c>
      <c r="B91" s="289">
        <v>45467</v>
      </c>
      <c r="C91" s="278" t="s">
        <v>661</v>
      </c>
      <c r="D91" s="288"/>
      <c r="E91" s="288"/>
      <c r="F91" s="288"/>
      <c r="G91" s="278">
        <v>2011</v>
      </c>
      <c r="H91" s="278" t="s">
        <v>658</v>
      </c>
      <c r="I91" s="290">
        <v>168.07</v>
      </c>
      <c r="J91" s="278"/>
    </row>
    <row r="92" spans="1:10" ht="14.25" customHeight="1" x14ac:dyDescent="0.3">
      <c r="A92" s="288">
        <v>19</v>
      </c>
      <c r="B92" s="289">
        <v>45467</v>
      </c>
      <c r="C92" s="278" t="s">
        <v>661</v>
      </c>
      <c r="D92" s="288"/>
      <c r="E92" s="288"/>
      <c r="F92" s="288"/>
      <c r="G92" s="291">
        <v>6111</v>
      </c>
      <c r="H92" s="278" t="s">
        <v>662</v>
      </c>
      <c r="I92" s="278"/>
      <c r="J92" s="290">
        <v>168.07</v>
      </c>
    </row>
    <row r="93" spans="1:10" ht="14.25" customHeight="1" x14ac:dyDescent="0.3">
      <c r="A93" s="288">
        <v>20</v>
      </c>
      <c r="B93" s="289">
        <v>45606</v>
      </c>
      <c r="C93" s="278" t="s">
        <v>654</v>
      </c>
      <c r="D93" s="288">
        <v>14</v>
      </c>
      <c r="E93" s="288" t="s">
        <v>655</v>
      </c>
      <c r="F93" s="288" t="s">
        <v>670</v>
      </c>
      <c r="G93" s="278">
        <v>1011</v>
      </c>
      <c r="H93" s="278" t="s">
        <v>648</v>
      </c>
      <c r="I93" s="278">
        <v>120</v>
      </c>
      <c r="J93" s="278"/>
    </row>
    <row r="94" spans="1:10" ht="14.25" customHeight="1" x14ac:dyDescent="0.3">
      <c r="A94" s="288">
        <v>20</v>
      </c>
      <c r="B94" s="289">
        <v>45606</v>
      </c>
      <c r="C94" s="278" t="s">
        <v>654</v>
      </c>
      <c r="D94" s="288">
        <v>14</v>
      </c>
      <c r="E94" s="288" t="s">
        <v>655</v>
      </c>
      <c r="F94" s="288" t="s">
        <v>670</v>
      </c>
      <c r="G94" s="278">
        <v>4011</v>
      </c>
      <c r="H94" s="278" t="s">
        <v>657</v>
      </c>
      <c r="I94" s="290"/>
      <c r="J94" s="290">
        <v>19.16</v>
      </c>
    </row>
    <row r="95" spans="1:10" ht="14.25" customHeight="1" x14ac:dyDescent="0.3">
      <c r="A95" s="288">
        <v>20</v>
      </c>
      <c r="B95" s="289">
        <v>45606</v>
      </c>
      <c r="C95" s="278" t="s">
        <v>654</v>
      </c>
      <c r="D95" s="288">
        <v>14</v>
      </c>
      <c r="E95" s="288" t="s">
        <v>655</v>
      </c>
      <c r="F95" s="288" t="s">
        <v>670</v>
      </c>
      <c r="G95" s="291">
        <v>7011</v>
      </c>
      <c r="H95" s="278" t="s">
        <v>658</v>
      </c>
      <c r="I95" s="278"/>
      <c r="J95" s="290">
        <v>100.84</v>
      </c>
    </row>
    <row r="96" spans="1:10" ht="14.25" customHeight="1" x14ac:dyDescent="0.3">
      <c r="A96" s="288">
        <v>21</v>
      </c>
      <c r="B96" s="289">
        <v>45607</v>
      </c>
      <c r="C96" s="278" t="s">
        <v>654</v>
      </c>
      <c r="D96" s="288">
        <v>14</v>
      </c>
      <c r="E96" s="288" t="s">
        <v>655</v>
      </c>
      <c r="F96" s="288" t="s">
        <v>670</v>
      </c>
      <c r="G96" s="278">
        <v>1011</v>
      </c>
      <c r="H96" s="278" t="s">
        <v>648</v>
      </c>
      <c r="I96" s="290">
        <v>100</v>
      </c>
      <c r="J96" s="278"/>
    </row>
    <row r="97" spans="1:10" ht="14.25" customHeight="1" x14ac:dyDescent="0.3">
      <c r="A97" s="288">
        <v>21</v>
      </c>
      <c r="B97" s="289">
        <v>45607</v>
      </c>
      <c r="C97" s="278" t="s">
        <v>654</v>
      </c>
      <c r="D97" s="288">
        <v>14</v>
      </c>
      <c r="E97" s="288" t="s">
        <v>655</v>
      </c>
      <c r="F97" s="288" t="s">
        <v>670</v>
      </c>
      <c r="G97" s="278">
        <v>4011</v>
      </c>
      <c r="H97" s="278" t="s">
        <v>657</v>
      </c>
      <c r="I97" s="290"/>
      <c r="J97" s="290">
        <v>15.97</v>
      </c>
    </row>
    <row r="98" spans="1:10" ht="14.25" customHeight="1" x14ac:dyDescent="0.3">
      <c r="A98" s="288">
        <v>21</v>
      </c>
      <c r="B98" s="289">
        <v>45607</v>
      </c>
      <c r="C98" s="278" t="s">
        <v>654</v>
      </c>
      <c r="D98" s="288">
        <v>14</v>
      </c>
      <c r="E98" s="288" t="s">
        <v>655</v>
      </c>
      <c r="F98" s="288" t="s">
        <v>670</v>
      </c>
      <c r="G98" s="291">
        <v>7011</v>
      </c>
      <c r="H98" s="278" t="s">
        <v>658</v>
      </c>
      <c r="I98" s="278"/>
      <c r="J98" s="290">
        <v>84.03</v>
      </c>
    </row>
    <row r="99" spans="1:10" ht="14.25" customHeight="1" x14ac:dyDescent="0.3">
      <c r="A99" s="288">
        <v>22</v>
      </c>
      <c r="B99" s="289">
        <v>45607</v>
      </c>
      <c r="C99" s="278" t="s">
        <v>659</v>
      </c>
      <c r="D99" s="288">
        <v>8</v>
      </c>
      <c r="E99" s="288" t="s">
        <v>655</v>
      </c>
      <c r="F99" s="288" t="s">
        <v>670</v>
      </c>
      <c r="G99" s="278">
        <v>6011</v>
      </c>
      <c r="H99" s="278" t="s">
        <v>660</v>
      </c>
      <c r="I99" s="290">
        <v>84.03</v>
      </c>
      <c r="J99" s="278"/>
    </row>
    <row r="100" spans="1:10" ht="14.25" customHeight="1" x14ac:dyDescent="0.3">
      <c r="A100" s="288">
        <v>22</v>
      </c>
      <c r="B100" s="289">
        <v>45607</v>
      </c>
      <c r="C100" s="278" t="s">
        <v>659</v>
      </c>
      <c r="D100" s="288">
        <v>8</v>
      </c>
      <c r="E100" s="288" t="s">
        <v>655</v>
      </c>
      <c r="F100" s="288" t="s">
        <v>670</v>
      </c>
      <c r="G100" s="278">
        <v>4011</v>
      </c>
      <c r="H100" s="278" t="s">
        <v>657</v>
      </c>
      <c r="I100" s="278">
        <v>15.97</v>
      </c>
      <c r="J100" s="278"/>
    </row>
    <row r="101" spans="1:10" ht="14.25" customHeight="1" x14ac:dyDescent="0.3">
      <c r="A101" s="288">
        <v>22</v>
      </c>
      <c r="B101" s="289">
        <v>45607</v>
      </c>
      <c r="C101" s="278" t="s">
        <v>659</v>
      </c>
      <c r="D101" s="288">
        <v>8</v>
      </c>
      <c r="E101" s="288" t="s">
        <v>655</v>
      </c>
      <c r="F101" s="288" t="s">
        <v>670</v>
      </c>
      <c r="G101" s="278">
        <v>1011</v>
      </c>
      <c r="H101" s="278" t="s">
        <v>648</v>
      </c>
      <c r="I101" s="290"/>
      <c r="J101" s="290">
        <v>100</v>
      </c>
    </row>
    <row r="102" spans="1:10" ht="14.25" customHeight="1" x14ac:dyDescent="0.3">
      <c r="A102" s="288">
        <v>22</v>
      </c>
      <c r="B102" s="289">
        <v>45607</v>
      </c>
      <c r="C102" s="278" t="s">
        <v>661</v>
      </c>
      <c r="D102" s="288"/>
      <c r="E102" s="288"/>
      <c r="F102" s="288"/>
      <c r="G102" s="278">
        <v>2011</v>
      </c>
      <c r="H102" s="278" t="s">
        <v>658</v>
      </c>
      <c r="I102" s="290">
        <v>84.03</v>
      </c>
      <c r="J102" s="278"/>
    </row>
    <row r="103" spans="1:10" ht="14.25" customHeight="1" x14ac:dyDescent="0.3">
      <c r="A103" s="288">
        <v>22</v>
      </c>
      <c r="B103" s="289">
        <v>45607</v>
      </c>
      <c r="C103" s="278" t="s">
        <v>661</v>
      </c>
      <c r="D103" s="288"/>
      <c r="E103" s="288"/>
      <c r="F103" s="288"/>
      <c r="G103" s="291">
        <v>6111</v>
      </c>
      <c r="H103" s="278" t="s">
        <v>662</v>
      </c>
      <c r="I103" s="278"/>
      <c r="J103" s="290">
        <v>84.03</v>
      </c>
    </row>
    <row r="104" spans="1:10" ht="14.25" customHeight="1" x14ac:dyDescent="0.3">
      <c r="A104" s="288">
        <v>23</v>
      </c>
      <c r="B104" s="289">
        <v>45648</v>
      </c>
      <c r="C104" s="278" t="s">
        <v>659</v>
      </c>
      <c r="D104" s="288">
        <v>8</v>
      </c>
      <c r="E104" s="288" t="s">
        <v>655</v>
      </c>
      <c r="F104" s="288" t="s">
        <v>679</v>
      </c>
      <c r="G104" s="278">
        <v>6011</v>
      </c>
      <c r="H104" s="278" t="s">
        <v>660</v>
      </c>
      <c r="I104" s="278">
        <v>84.03</v>
      </c>
      <c r="J104" s="278"/>
    </row>
    <row r="105" spans="1:10" ht="14.25" customHeight="1" x14ac:dyDescent="0.3">
      <c r="A105" s="288">
        <v>23</v>
      </c>
      <c r="B105" s="289">
        <v>45648</v>
      </c>
      <c r="C105" s="278" t="s">
        <v>659</v>
      </c>
      <c r="D105" s="288">
        <v>8</v>
      </c>
      <c r="E105" s="288" t="s">
        <v>655</v>
      </c>
      <c r="F105" s="288" t="s">
        <v>679</v>
      </c>
      <c r="G105" s="278">
        <v>4011</v>
      </c>
      <c r="H105" s="278" t="s">
        <v>657</v>
      </c>
      <c r="I105" s="278">
        <v>15.97</v>
      </c>
      <c r="J105" s="278"/>
    </row>
    <row r="106" spans="1:10" ht="14.25" customHeight="1" x14ac:dyDescent="0.3">
      <c r="A106" s="288">
        <v>23</v>
      </c>
      <c r="B106" s="289">
        <v>45648</v>
      </c>
      <c r="C106" s="278" t="s">
        <v>659</v>
      </c>
      <c r="D106" s="288">
        <v>8</v>
      </c>
      <c r="E106" s="288" t="s">
        <v>655</v>
      </c>
      <c r="F106" s="288" t="s">
        <v>679</v>
      </c>
      <c r="G106" s="278">
        <v>1011</v>
      </c>
      <c r="H106" s="278" t="s">
        <v>648</v>
      </c>
      <c r="I106" s="290"/>
      <c r="J106" s="278">
        <v>100</v>
      </c>
    </row>
    <row r="107" spans="1:10" ht="14.25" customHeight="1" x14ac:dyDescent="0.3">
      <c r="A107" s="288">
        <v>23</v>
      </c>
      <c r="B107" s="289">
        <v>45648</v>
      </c>
      <c r="C107" s="278" t="s">
        <v>661</v>
      </c>
      <c r="D107" s="288"/>
      <c r="E107" s="288"/>
      <c r="F107" s="288"/>
      <c r="G107" s="278">
        <v>2011</v>
      </c>
      <c r="H107" s="278" t="s">
        <v>658</v>
      </c>
      <c r="I107" s="278">
        <v>84.03</v>
      </c>
      <c r="J107" s="278"/>
    </row>
    <row r="108" spans="1:10" ht="14.25" customHeight="1" x14ac:dyDescent="0.3">
      <c r="A108" s="288">
        <v>23</v>
      </c>
      <c r="B108" s="289">
        <v>45648</v>
      </c>
      <c r="C108" s="278" t="s">
        <v>661</v>
      </c>
      <c r="D108" s="288"/>
      <c r="E108" s="288"/>
      <c r="F108" s="288"/>
      <c r="G108" s="278">
        <v>6111</v>
      </c>
      <c r="H108" s="278" t="s">
        <v>662</v>
      </c>
      <c r="I108" s="290"/>
      <c r="J108" s="278">
        <v>84.03</v>
      </c>
    </row>
    <row r="109" spans="1:10" ht="14.25" customHeight="1" x14ac:dyDescent="0.3">
      <c r="A109" s="288">
        <v>24</v>
      </c>
      <c r="B109" s="289">
        <v>45648</v>
      </c>
      <c r="C109" s="278" t="s">
        <v>659</v>
      </c>
      <c r="D109" s="288">
        <v>8</v>
      </c>
      <c r="E109" s="288" t="s">
        <v>655</v>
      </c>
      <c r="F109" s="288" t="s">
        <v>680</v>
      </c>
      <c r="G109" s="291">
        <v>6011</v>
      </c>
      <c r="H109" s="278" t="s">
        <v>660</v>
      </c>
      <c r="I109" s="278">
        <v>84.03</v>
      </c>
      <c r="J109" s="290"/>
    </row>
    <row r="110" spans="1:10" ht="14.25" customHeight="1" x14ac:dyDescent="0.3">
      <c r="A110" s="288">
        <v>24</v>
      </c>
      <c r="B110" s="289">
        <v>45648</v>
      </c>
      <c r="C110" s="278" t="s">
        <v>659</v>
      </c>
      <c r="D110" s="288">
        <v>8</v>
      </c>
      <c r="E110" s="288" t="s">
        <v>655</v>
      </c>
      <c r="F110" s="288" t="s">
        <v>680</v>
      </c>
      <c r="G110" s="278">
        <v>4011</v>
      </c>
      <c r="H110" s="278" t="s">
        <v>657</v>
      </c>
      <c r="I110" s="290">
        <v>15.97</v>
      </c>
      <c r="J110" s="290"/>
    </row>
    <row r="111" spans="1:10" ht="14.25" customHeight="1" x14ac:dyDescent="0.3">
      <c r="A111" s="288">
        <v>24</v>
      </c>
      <c r="B111" s="289">
        <v>45648</v>
      </c>
      <c r="C111" s="278" t="s">
        <v>659</v>
      </c>
      <c r="D111" s="288">
        <v>8</v>
      </c>
      <c r="E111" s="288" t="s">
        <v>655</v>
      </c>
      <c r="F111" s="288" t="s">
        <v>680</v>
      </c>
      <c r="G111" s="278">
        <v>1011</v>
      </c>
      <c r="H111" s="278" t="s">
        <v>648</v>
      </c>
      <c r="I111" s="290"/>
      <c r="J111" s="278">
        <v>100</v>
      </c>
    </row>
    <row r="112" spans="1:10" ht="14.25" customHeight="1" x14ac:dyDescent="0.3">
      <c r="A112" s="288">
        <v>24</v>
      </c>
      <c r="B112" s="289">
        <v>45648</v>
      </c>
      <c r="C112" s="278" t="s">
        <v>661</v>
      </c>
      <c r="D112" s="288"/>
      <c r="E112" s="288"/>
      <c r="F112" s="288"/>
      <c r="G112" s="278">
        <v>2011</v>
      </c>
      <c r="H112" s="278" t="s">
        <v>658</v>
      </c>
      <c r="I112" s="290">
        <v>84.03</v>
      </c>
      <c r="J112" s="278"/>
    </row>
    <row r="113" spans="1:10" ht="14.25" customHeight="1" x14ac:dyDescent="0.3">
      <c r="A113" s="288">
        <v>24</v>
      </c>
      <c r="B113" s="289">
        <v>45648</v>
      </c>
      <c r="C113" s="278" t="s">
        <v>661</v>
      </c>
      <c r="D113" s="288"/>
      <c r="E113" s="288"/>
      <c r="F113" s="288"/>
      <c r="G113" s="291">
        <v>6111</v>
      </c>
      <c r="H113" s="278" t="s">
        <v>662</v>
      </c>
      <c r="I113" s="278"/>
      <c r="J113" s="290">
        <v>84.03</v>
      </c>
    </row>
    <row r="114" spans="1:10" ht="14.25" customHeight="1" x14ac:dyDescent="0.3">
      <c r="A114" s="288"/>
      <c r="B114" s="289"/>
      <c r="C114" s="278"/>
      <c r="D114" s="288"/>
      <c r="E114" s="288"/>
      <c r="F114" s="288"/>
      <c r="G114" s="278"/>
      <c r="H114" s="278"/>
      <c r="I114" s="290"/>
      <c r="J114" s="278"/>
    </row>
    <row r="115" spans="1:10" ht="14.25" customHeight="1" x14ac:dyDescent="0.3">
      <c r="A115" s="288"/>
      <c r="B115" s="288"/>
      <c r="C115" s="278"/>
      <c r="D115" s="288"/>
      <c r="E115" s="288"/>
      <c r="F115" s="288"/>
      <c r="G115" s="291"/>
      <c r="H115" s="278"/>
      <c r="I115" s="278"/>
      <c r="J115" s="290"/>
    </row>
    <row r="116" spans="1:10" ht="14.25" customHeight="1" x14ac:dyDescent="0.3"/>
    <row r="117" spans="1:10" ht="14.25" customHeight="1" x14ac:dyDescent="0.3"/>
    <row r="118" spans="1:10" ht="14.25" customHeight="1" x14ac:dyDescent="0.3"/>
    <row r="119" spans="1:10" ht="14.25" customHeight="1" x14ac:dyDescent="0.3"/>
    <row r="120" spans="1:10" ht="14.25" customHeight="1" x14ac:dyDescent="0.3"/>
    <row r="121" spans="1:10" ht="14.25" customHeight="1" x14ac:dyDescent="0.3"/>
    <row r="122" spans="1:10" ht="14.25" customHeight="1" x14ac:dyDescent="0.3"/>
    <row r="123" spans="1:10" ht="14.25" customHeight="1" x14ac:dyDescent="0.3"/>
    <row r="124" spans="1:10" ht="14.25" customHeight="1" x14ac:dyDescent="0.3"/>
    <row r="125" spans="1:10" ht="14.25" customHeight="1" x14ac:dyDescent="0.3"/>
    <row r="126" spans="1:10" ht="14.25" customHeight="1" x14ac:dyDescent="0.3"/>
    <row r="127" spans="1:10" ht="14.25" customHeight="1" x14ac:dyDescent="0.3"/>
    <row r="128" spans="1:10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autoFilter ref="A7:J113" xr:uid="{00000000-0009-0000-0000-000000000000}"/>
  <mergeCells count="2">
    <mergeCell ref="D6:F6"/>
    <mergeCell ref="G6:H6"/>
  </mergeCells>
  <conditionalFormatting sqref="C8:C19 C21 C23:C24 C26:C27 C29:C33 C35:C38 C40:C41 C43:C44 C46:C49 C51:C54 C56:C59">
    <cfRule type="cellIs" dxfId="48" priority="1" stopIfTrue="1" operator="equal">
      <formula>"TRANSFERENCIA"</formula>
    </cfRule>
  </conditionalFormatting>
  <conditionalFormatting sqref="C61:C67 C69:C72 C74 C76:C77 C79:C80 C82:C86 C88:C91 C93:C94 C96:C97 C99:C102 C104:C108 C110:C112">
    <cfRule type="cellIs" dxfId="47" priority="2" stopIfTrue="1" operator="equal">
      <formula>"TRANSFERENCIA"</formula>
    </cfRule>
  </conditionalFormatting>
  <conditionalFormatting sqref="C20">
    <cfRule type="cellIs" dxfId="46" priority="3" stopIfTrue="1" operator="equal">
      <formula>"TRANSFERENCIA"</formula>
    </cfRule>
  </conditionalFormatting>
  <conditionalFormatting sqref="C22">
    <cfRule type="cellIs" dxfId="45" priority="4" stopIfTrue="1" operator="equal">
      <formula>"TRANSFERENCIA"</formula>
    </cfRule>
  </conditionalFormatting>
  <conditionalFormatting sqref="C113">
    <cfRule type="cellIs" dxfId="44" priority="5" stopIfTrue="1" operator="equal">
      <formula>"TRANSFERENCIA"</formula>
    </cfRule>
  </conditionalFormatting>
  <conditionalFormatting sqref="C25">
    <cfRule type="cellIs" dxfId="43" priority="6" stopIfTrue="1" operator="equal">
      <formula>"TRANSFERENCIA"</formula>
    </cfRule>
  </conditionalFormatting>
  <conditionalFormatting sqref="C28">
    <cfRule type="cellIs" dxfId="42" priority="7" stopIfTrue="1" operator="equal">
      <formula>"TRANSFERENCIA"</formula>
    </cfRule>
  </conditionalFormatting>
  <conditionalFormatting sqref="C34">
    <cfRule type="cellIs" dxfId="41" priority="8" stopIfTrue="1" operator="equal">
      <formula>"TRANSFERENCIA"</formula>
    </cfRule>
  </conditionalFormatting>
  <conditionalFormatting sqref="C39">
    <cfRule type="cellIs" dxfId="40" priority="9" stopIfTrue="1" operator="equal">
      <formula>"TRANSFERENCIA"</formula>
    </cfRule>
  </conditionalFormatting>
  <conditionalFormatting sqref="C42">
    <cfRule type="cellIs" dxfId="39" priority="10" stopIfTrue="1" operator="equal">
      <formula>"TRANSFERENCIA"</formula>
    </cfRule>
  </conditionalFormatting>
  <conditionalFormatting sqref="C45">
    <cfRule type="cellIs" dxfId="38" priority="11" stopIfTrue="1" operator="equal">
      <formula>"TRANSFERENCIA"</formula>
    </cfRule>
  </conditionalFormatting>
  <conditionalFormatting sqref="C50">
    <cfRule type="cellIs" dxfId="37" priority="12" stopIfTrue="1" operator="equal">
      <formula>"TRANSFERENCIA"</formula>
    </cfRule>
  </conditionalFormatting>
  <conditionalFormatting sqref="C55">
    <cfRule type="cellIs" dxfId="36" priority="13" stopIfTrue="1" operator="equal">
      <formula>"TRANSFERENCIA"</formula>
    </cfRule>
  </conditionalFormatting>
  <conditionalFormatting sqref="C60">
    <cfRule type="cellIs" dxfId="35" priority="14" stopIfTrue="1" operator="equal">
      <formula>"TRANSFERENCIA"</formula>
    </cfRule>
  </conditionalFormatting>
  <conditionalFormatting sqref="C68">
    <cfRule type="cellIs" dxfId="34" priority="15" stopIfTrue="1" operator="equal">
      <formula>"TRANSFERENCIA"</formula>
    </cfRule>
  </conditionalFormatting>
  <conditionalFormatting sqref="C73">
    <cfRule type="cellIs" dxfId="33" priority="16" stopIfTrue="1" operator="equal">
      <formula>"TRANSFERENCIA"</formula>
    </cfRule>
  </conditionalFormatting>
  <conditionalFormatting sqref="C75">
    <cfRule type="cellIs" dxfId="32" priority="17" stopIfTrue="1" operator="equal">
      <formula>"TRANSFERENCIA"</formula>
    </cfRule>
  </conditionalFormatting>
  <conditionalFormatting sqref="C78">
    <cfRule type="cellIs" dxfId="31" priority="18" stopIfTrue="1" operator="equal">
      <formula>"TRANSFERENCIA"</formula>
    </cfRule>
  </conditionalFormatting>
  <conditionalFormatting sqref="C81">
    <cfRule type="cellIs" dxfId="30" priority="19" stopIfTrue="1" operator="equal">
      <formula>"TRANSFERENCIA"</formula>
    </cfRule>
  </conditionalFormatting>
  <conditionalFormatting sqref="C87">
    <cfRule type="cellIs" dxfId="29" priority="20" stopIfTrue="1" operator="equal">
      <formula>"TRANSFERENCIA"</formula>
    </cfRule>
  </conditionalFormatting>
  <conditionalFormatting sqref="C92">
    <cfRule type="cellIs" dxfId="28" priority="21" stopIfTrue="1" operator="equal">
      <formula>"TRANSFERENCIA"</formula>
    </cfRule>
  </conditionalFormatting>
  <conditionalFormatting sqref="C95">
    <cfRule type="cellIs" dxfId="27" priority="22" stopIfTrue="1" operator="equal">
      <formula>"TRANSFERENCIA"</formula>
    </cfRule>
  </conditionalFormatting>
  <conditionalFormatting sqref="C98">
    <cfRule type="cellIs" dxfId="26" priority="23" stopIfTrue="1" operator="equal">
      <formula>"TRANSFERENCIA"</formula>
    </cfRule>
  </conditionalFormatting>
  <conditionalFormatting sqref="C103">
    <cfRule type="cellIs" dxfId="25" priority="24" stopIfTrue="1" operator="equal">
      <formula>"TRANSFERENCIA"</formula>
    </cfRule>
  </conditionalFormatting>
  <conditionalFormatting sqref="C109">
    <cfRule type="cellIs" dxfId="24" priority="25" stopIfTrue="1" operator="equal">
      <formula>"TRANSFERENCIA"</formula>
    </cfRule>
  </conditionalFormatting>
  <conditionalFormatting sqref="C114">
    <cfRule type="cellIs" dxfId="23" priority="26" stopIfTrue="1" operator="equal">
      <formula>"TRANSFERENCIA"</formula>
    </cfRule>
  </conditionalFormatting>
  <conditionalFormatting sqref="C115">
    <cfRule type="cellIs" dxfId="22" priority="27" stopIfTrue="1" operator="equal">
      <formula>"TRANSFERENCIA"</formula>
    </cfRule>
  </conditionalFormatting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D0372-D435-462B-84B6-ED224369E932}">
  <sheetPr codeName="Hoja21"/>
  <dimension ref="B4:E582"/>
  <sheetViews>
    <sheetView topLeftCell="A558" workbookViewId="0">
      <selection activeCell="B4" sqref="B4:E582"/>
    </sheetView>
  </sheetViews>
  <sheetFormatPr baseColWidth="10" defaultRowHeight="14.4" x14ac:dyDescent="0.3"/>
  <cols>
    <col min="2" max="2" width="7.6640625" bestFit="1" customWidth="1"/>
    <col min="3" max="3" width="92.6640625" bestFit="1" customWidth="1"/>
    <col min="4" max="4" width="12.21875" bestFit="1" customWidth="1"/>
    <col min="5" max="5" width="10" bestFit="1" customWidth="1"/>
  </cols>
  <sheetData>
    <row r="4" spans="2:5" x14ac:dyDescent="0.3">
      <c r="B4" s="292" t="s">
        <v>681</v>
      </c>
      <c r="C4" s="293" t="s">
        <v>682</v>
      </c>
      <c r="D4" s="293" t="s">
        <v>683</v>
      </c>
      <c r="E4" s="293" t="s">
        <v>684</v>
      </c>
    </row>
    <row r="5" spans="2:5" x14ac:dyDescent="0.3">
      <c r="B5" s="294">
        <v>1</v>
      </c>
      <c r="C5" s="294" t="s">
        <v>685</v>
      </c>
      <c r="D5" s="295" t="s">
        <v>686</v>
      </c>
      <c r="E5" s="295" t="s">
        <v>687</v>
      </c>
    </row>
    <row r="6" spans="2:5" x14ac:dyDescent="0.3">
      <c r="B6" s="296">
        <v>11</v>
      </c>
      <c r="C6" s="296" t="s">
        <v>688</v>
      </c>
      <c r="D6" s="295" t="s">
        <v>686</v>
      </c>
      <c r="E6" s="295" t="s">
        <v>687</v>
      </c>
    </row>
    <row r="7" spans="2:5" x14ac:dyDescent="0.3">
      <c r="B7" s="297">
        <v>1105</v>
      </c>
      <c r="C7" s="297" t="s">
        <v>648</v>
      </c>
      <c r="D7" s="295" t="s">
        <v>686</v>
      </c>
      <c r="E7" s="295" t="s">
        <v>687</v>
      </c>
    </row>
    <row r="8" spans="2:5" x14ac:dyDescent="0.3">
      <c r="B8" s="298">
        <v>110505</v>
      </c>
      <c r="C8" s="298" t="s">
        <v>689</v>
      </c>
      <c r="D8" s="295" t="s">
        <v>686</v>
      </c>
      <c r="E8" s="295" t="s">
        <v>687</v>
      </c>
    </row>
    <row r="9" spans="2:5" x14ac:dyDescent="0.3">
      <c r="B9" s="299">
        <v>11050501</v>
      </c>
      <c r="C9" s="300" t="s">
        <v>690</v>
      </c>
      <c r="D9" s="295" t="s">
        <v>686</v>
      </c>
      <c r="E9" s="295" t="s">
        <v>691</v>
      </c>
    </row>
    <row r="10" spans="2:5" x14ac:dyDescent="0.3">
      <c r="B10" s="298">
        <v>110510</v>
      </c>
      <c r="C10" s="298" t="s">
        <v>692</v>
      </c>
      <c r="D10" s="295" t="s">
        <v>686</v>
      </c>
      <c r="E10" s="295" t="s">
        <v>687</v>
      </c>
    </row>
    <row r="11" spans="2:5" x14ac:dyDescent="0.3">
      <c r="B11" s="299">
        <v>11051001</v>
      </c>
      <c r="C11" s="300" t="s">
        <v>693</v>
      </c>
      <c r="D11" s="295" t="s">
        <v>686</v>
      </c>
      <c r="E11" s="295" t="s">
        <v>691</v>
      </c>
    </row>
    <row r="12" spans="2:5" x14ac:dyDescent="0.3">
      <c r="B12" s="297">
        <v>1110</v>
      </c>
      <c r="C12" s="297" t="s">
        <v>694</v>
      </c>
      <c r="D12" s="295" t="s">
        <v>686</v>
      </c>
      <c r="E12" s="295" t="s">
        <v>687</v>
      </c>
    </row>
    <row r="13" spans="2:5" x14ac:dyDescent="0.3">
      <c r="B13" s="298">
        <v>111005</v>
      </c>
      <c r="C13" s="298" t="s">
        <v>695</v>
      </c>
      <c r="D13" s="295" t="s">
        <v>686</v>
      </c>
      <c r="E13" s="295" t="s">
        <v>687</v>
      </c>
    </row>
    <row r="14" spans="2:5" x14ac:dyDescent="0.3">
      <c r="B14" s="299">
        <v>11100501</v>
      </c>
      <c r="C14" s="300" t="s">
        <v>696</v>
      </c>
      <c r="D14" s="295" t="s">
        <v>686</v>
      </c>
      <c r="E14" s="295" t="s">
        <v>691</v>
      </c>
    </row>
    <row r="15" spans="2:5" x14ac:dyDescent="0.3">
      <c r="B15" s="297">
        <v>1120</v>
      </c>
      <c r="C15" s="297" t="s">
        <v>697</v>
      </c>
      <c r="D15" s="295" t="s">
        <v>686</v>
      </c>
      <c r="E15" s="295" t="s">
        <v>687</v>
      </c>
    </row>
    <row r="16" spans="2:5" x14ac:dyDescent="0.3">
      <c r="B16" s="298">
        <v>112005</v>
      </c>
      <c r="C16" s="298" t="s">
        <v>697</v>
      </c>
      <c r="D16" s="295" t="s">
        <v>686</v>
      </c>
      <c r="E16" s="295" t="s">
        <v>687</v>
      </c>
    </row>
    <row r="17" spans="2:5" x14ac:dyDescent="0.3">
      <c r="B17" s="299">
        <v>11200501</v>
      </c>
      <c r="C17" s="300" t="s">
        <v>698</v>
      </c>
      <c r="D17" s="295" t="s">
        <v>686</v>
      </c>
      <c r="E17" s="295" t="s">
        <v>691</v>
      </c>
    </row>
    <row r="18" spans="2:5" x14ac:dyDescent="0.3">
      <c r="B18" s="297">
        <v>1130</v>
      </c>
      <c r="C18" s="297" t="s">
        <v>699</v>
      </c>
      <c r="D18" s="295" t="s">
        <v>686</v>
      </c>
      <c r="E18" s="295" t="s">
        <v>687</v>
      </c>
    </row>
    <row r="19" spans="2:5" x14ac:dyDescent="0.3">
      <c r="B19" s="298">
        <v>113005</v>
      </c>
      <c r="C19" s="298" t="s">
        <v>700</v>
      </c>
      <c r="D19" s="295" t="s">
        <v>686</v>
      </c>
      <c r="E19" s="295" t="s">
        <v>687</v>
      </c>
    </row>
    <row r="20" spans="2:5" x14ac:dyDescent="0.3">
      <c r="B20" s="299">
        <v>11300501</v>
      </c>
      <c r="C20" s="299" t="s">
        <v>701</v>
      </c>
      <c r="D20" s="295" t="s">
        <v>686</v>
      </c>
      <c r="E20" s="295" t="s">
        <v>691</v>
      </c>
    </row>
    <row r="21" spans="2:5" x14ac:dyDescent="0.3">
      <c r="B21" s="298">
        <v>113010</v>
      </c>
      <c r="C21" s="298" t="s">
        <v>702</v>
      </c>
      <c r="D21" s="295" t="s">
        <v>686</v>
      </c>
      <c r="E21" s="295" t="s">
        <v>687</v>
      </c>
    </row>
    <row r="22" spans="2:5" x14ac:dyDescent="0.3">
      <c r="B22" s="299">
        <v>11301001</v>
      </c>
      <c r="C22" s="300" t="s">
        <v>703</v>
      </c>
      <c r="D22" s="295" t="s">
        <v>686</v>
      </c>
      <c r="E22" s="295" t="s">
        <v>691</v>
      </c>
    </row>
    <row r="23" spans="2:5" x14ac:dyDescent="0.3">
      <c r="B23" s="296">
        <v>13</v>
      </c>
      <c r="C23" s="296" t="s">
        <v>704</v>
      </c>
      <c r="D23" s="295" t="s">
        <v>686</v>
      </c>
      <c r="E23" s="295" t="s">
        <v>687</v>
      </c>
    </row>
    <row r="24" spans="2:5" x14ac:dyDescent="0.3">
      <c r="B24" s="297">
        <v>1305</v>
      </c>
      <c r="C24" s="297" t="s">
        <v>705</v>
      </c>
      <c r="D24" s="295" t="s">
        <v>686</v>
      </c>
      <c r="E24" s="295" t="s">
        <v>687</v>
      </c>
    </row>
    <row r="25" spans="2:5" x14ac:dyDescent="0.3">
      <c r="B25" s="298">
        <v>130505</v>
      </c>
      <c r="C25" s="298" t="s">
        <v>706</v>
      </c>
      <c r="D25" s="295" t="s">
        <v>686</v>
      </c>
      <c r="E25" s="295" t="s">
        <v>687</v>
      </c>
    </row>
    <row r="26" spans="2:5" x14ac:dyDescent="0.3">
      <c r="B26" s="299">
        <v>13050501</v>
      </c>
      <c r="C26" s="299" t="s">
        <v>707</v>
      </c>
      <c r="D26" s="295" t="s">
        <v>686</v>
      </c>
      <c r="E26" s="295" t="s">
        <v>691</v>
      </c>
    </row>
    <row r="27" spans="2:5" x14ac:dyDescent="0.3">
      <c r="B27" s="297">
        <v>1307</v>
      </c>
      <c r="C27" s="297" t="s">
        <v>708</v>
      </c>
      <c r="D27" s="295" t="s">
        <v>686</v>
      </c>
      <c r="E27" s="295" t="s">
        <v>687</v>
      </c>
    </row>
    <row r="28" spans="2:5" x14ac:dyDescent="0.3">
      <c r="B28" s="298">
        <v>130705</v>
      </c>
      <c r="C28" s="298" t="s">
        <v>709</v>
      </c>
      <c r="D28" s="295" t="s">
        <v>686</v>
      </c>
      <c r="E28" s="295" t="s">
        <v>687</v>
      </c>
    </row>
    <row r="29" spans="2:5" x14ac:dyDescent="0.3">
      <c r="B29" s="299">
        <v>13070501</v>
      </c>
      <c r="C29" s="299" t="s">
        <v>710</v>
      </c>
      <c r="D29" s="295" t="s">
        <v>686</v>
      </c>
      <c r="E29" s="295" t="s">
        <v>691</v>
      </c>
    </row>
    <row r="30" spans="2:5" x14ac:dyDescent="0.3">
      <c r="B30" s="297">
        <v>1310</v>
      </c>
      <c r="C30" s="297" t="s">
        <v>711</v>
      </c>
      <c r="D30" s="295" t="s">
        <v>686</v>
      </c>
      <c r="E30" s="295" t="s">
        <v>687</v>
      </c>
    </row>
    <row r="31" spans="2:5" x14ac:dyDescent="0.3">
      <c r="B31" s="298">
        <v>131010</v>
      </c>
      <c r="C31" s="298" t="s">
        <v>711</v>
      </c>
      <c r="D31" s="295" t="s">
        <v>686</v>
      </c>
      <c r="E31" s="295" t="s">
        <v>687</v>
      </c>
    </row>
    <row r="32" spans="2:5" x14ac:dyDescent="0.3">
      <c r="B32" s="299">
        <v>13101001</v>
      </c>
      <c r="C32" s="299" t="s">
        <v>711</v>
      </c>
      <c r="D32" s="295" t="s">
        <v>686</v>
      </c>
      <c r="E32" s="295" t="s">
        <v>691</v>
      </c>
    </row>
    <row r="33" spans="2:5" x14ac:dyDescent="0.3">
      <c r="B33" s="297">
        <v>1325</v>
      </c>
      <c r="C33" s="297" t="s">
        <v>712</v>
      </c>
      <c r="D33" s="295" t="s">
        <v>686</v>
      </c>
      <c r="E33" s="295" t="s">
        <v>687</v>
      </c>
    </row>
    <row r="34" spans="2:5" x14ac:dyDescent="0.3">
      <c r="B34" s="298">
        <v>132510</v>
      </c>
      <c r="C34" s="298" t="s">
        <v>713</v>
      </c>
      <c r="D34" s="295" t="s">
        <v>686</v>
      </c>
      <c r="E34" s="295" t="s">
        <v>687</v>
      </c>
    </row>
    <row r="35" spans="2:5" x14ac:dyDescent="0.3">
      <c r="B35" s="299">
        <v>13251001</v>
      </c>
      <c r="C35" s="299" t="s">
        <v>714</v>
      </c>
      <c r="D35" s="295" t="s">
        <v>686</v>
      </c>
      <c r="E35" s="295" t="s">
        <v>691</v>
      </c>
    </row>
    <row r="36" spans="2:5" x14ac:dyDescent="0.3">
      <c r="B36" s="297">
        <v>1330</v>
      </c>
      <c r="C36" s="297" t="s">
        <v>715</v>
      </c>
      <c r="D36" s="295" t="s">
        <v>686</v>
      </c>
      <c r="E36" s="295" t="s">
        <v>687</v>
      </c>
    </row>
    <row r="37" spans="2:5" x14ac:dyDescent="0.3">
      <c r="B37" s="298">
        <v>133005</v>
      </c>
      <c r="C37" s="298" t="s">
        <v>716</v>
      </c>
      <c r="D37" s="295" t="s">
        <v>686</v>
      </c>
      <c r="E37" s="295" t="s">
        <v>687</v>
      </c>
    </row>
    <row r="38" spans="2:5" x14ac:dyDescent="0.3">
      <c r="B38" s="299">
        <v>13300501</v>
      </c>
      <c r="C38" s="299" t="s">
        <v>717</v>
      </c>
      <c r="D38" s="295" t="s">
        <v>686</v>
      </c>
      <c r="E38" s="295" t="s">
        <v>691</v>
      </c>
    </row>
    <row r="39" spans="2:5" x14ac:dyDescent="0.3">
      <c r="B39" s="298">
        <v>133010</v>
      </c>
      <c r="C39" s="298" t="s">
        <v>718</v>
      </c>
      <c r="D39" s="295" t="s">
        <v>686</v>
      </c>
      <c r="E39" s="295" t="s">
        <v>687</v>
      </c>
    </row>
    <row r="40" spans="2:5" x14ac:dyDescent="0.3">
      <c r="B40" s="299">
        <v>13301001</v>
      </c>
      <c r="C40" s="299" t="s">
        <v>717</v>
      </c>
      <c r="D40" s="295" t="s">
        <v>686</v>
      </c>
      <c r="E40" s="295" t="s">
        <v>691</v>
      </c>
    </row>
    <row r="41" spans="2:5" x14ac:dyDescent="0.3">
      <c r="B41" s="297">
        <v>1355</v>
      </c>
      <c r="C41" s="297" t="s">
        <v>719</v>
      </c>
      <c r="D41" s="295" t="s">
        <v>686</v>
      </c>
      <c r="E41" s="295" t="s">
        <v>687</v>
      </c>
    </row>
    <row r="42" spans="2:5" x14ac:dyDescent="0.3">
      <c r="B42" s="298">
        <v>135501</v>
      </c>
      <c r="C42" s="298" t="s">
        <v>720</v>
      </c>
      <c r="D42" s="295" t="s">
        <v>686</v>
      </c>
      <c r="E42" s="295" t="s">
        <v>687</v>
      </c>
    </row>
    <row r="43" spans="2:5" x14ac:dyDescent="0.3">
      <c r="B43" s="299">
        <v>13550101</v>
      </c>
      <c r="C43" s="299" t="s">
        <v>721</v>
      </c>
      <c r="D43" s="295" t="s">
        <v>686</v>
      </c>
      <c r="E43" s="295" t="s">
        <v>691</v>
      </c>
    </row>
    <row r="44" spans="2:5" x14ac:dyDescent="0.3">
      <c r="B44" s="298">
        <v>135505</v>
      </c>
      <c r="C44" s="298" t="s">
        <v>722</v>
      </c>
      <c r="D44" s="295" t="s">
        <v>686</v>
      </c>
      <c r="E44" s="295" t="s">
        <v>687</v>
      </c>
    </row>
    <row r="45" spans="2:5" x14ac:dyDescent="0.3">
      <c r="B45" s="299">
        <v>13550501</v>
      </c>
      <c r="C45" s="299" t="s">
        <v>723</v>
      </c>
      <c r="D45" s="295" t="s">
        <v>686</v>
      </c>
      <c r="E45" s="295" t="s">
        <v>691</v>
      </c>
    </row>
    <row r="46" spans="2:5" x14ac:dyDescent="0.3">
      <c r="B46" s="299">
        <v>13550502</v>
      </c>
      <c r="C46" s="299" t="s">
        <v>724</v>
      </c>
      <c r="D46" s="295" t="s">
        <v>686</v>
      </c>
      <c r="E46" s="295" t="s">
        <v>691</v>
      </c>
    </row>
    <row r="47" spans="2:5" x14ac:dyDescent="0.3">
      <c r="B47" s="298">
        <v>135510</v>
      </c>
      <c r="C47" s="298" t="s">
        <v>725</v>
      </c>
      <c r="D47" s="295" t="s">
        <v>686</v>
      </c>
      <c r="E47" s="295" t="s">
        <v>687</v>
      </c>
    </row>
    <row r="48" spans="2:5" x14ac:dyDescent="0.3">
      <c r="B48" s="299">
        <v>13551001</v>
      </c>
      <c r="C48" s="299" t="s">
        <v>725</v>
      </c>
      <c r="D48" s="295" t="s">
        <v>686</v>
      </c>
      <c r="E48" s="295" t="s">
        <v>691</v>
      </c>
    </row>
    <row r="49" spans="2:5" x14ac:dyDescent="0.3">
      <c r="B49" s="298">
        <v>135515</v>
      </c>
      <c r="C49" s="298" t="s">
        <v>726</v>
      </c>
      <c r="D49" s="295" t="s">
        <v>686</v>
      </c>
      <c r="E49" s="295" t="s">
        <v>687</v>
      </c>
    </row>
    <row r="50" spans="2:5" x14ac:dyDescent="0.3">
      <c r="B50" s="299">
        <v>13551501</v>
      </c>
      <c r="C50" s="299" t="s">
        <v>726</v>
      </c>
      <c r="D50" s="295" t="s">
        <v>686</v>
      </c>
      <c r="E50" s="295" t="s">
        <v>691</v>
      </c>
    </row>
    <row r="51" spans="2:5" x14ac:dyDescent="0.3">
      <c r="B51" s="298">
        <v>135517</v>
      </c>
      <c r="C51" s="298" t="s">
        <v>727</v>
      </c>
      <c r="D51" s="295" t="s">
        <v>686</v>
      </c>
      <c r="E51" s="295" t="s">
        <v>687</v>
      </c>
    </row>
    <row r="52" spans="2:5" x14ac:dyDescent="0.3">
      <c r="B52" s="299">
        <v>13551701</v>
      </c>
      <c r="C52" s="299" t="s">
        <v>727</v>
      </c>
      <c r="D52" s="295" t="s">
        <v>686</v>
      </c>
      <c r="E52" s="295" t="s">
        <v>691</v>
      </c>
    </row>
    <row r="53" spans="2:5" x14ac:dyDescent="0.3">
      <c r="B53" s="298">
        <v>135518</v>
      </c>
      <c r="C53" s="298" t="s">
        <v>728</v>
      </c>
      <c r="D53" s="295" t="s">
        <v>686</v>
      </c>
      <c r="E53" s="295" t="s">
        <v>687</v>
      </c>
    </row>
    <row r="54" spans="2:5" x14ac:dyDescent="0.3">
      <c r="B54" s="299">
        <v>13551801</v>
      </c>
      <c r="C54" s="299" t="s">
        <v>728</v>
      </c>
      <c r="D54" s="295" t="s">
        <v>686</v>
      </c>
      <c r="E54" s="295" t="s">
        <v>691</v>
      </c>
    </row>
    <row r="55" spans="2:5" x14ac:dyDescent="0.3">
      <c r="B55" s="298">
        <v>135520</v>
      </c>
      <c r="C55" s="298" t="s">
        <v>729</v>
      </c>
      <c r="D55" s="295" t="s">
        <v>686</v>
      </c>
      <c r="E55" s="295" t="s">
        <v>687</v>
      </c>
    </row>
    <row r="56" spans="2:5" x14ac:dyDescent="0.3">
      <c r="B56" s="299">
        <v>13552005</v>
      </c>
      <c r="C56" s="299" t="s">
        <v>730</v>
      </c>
      <c r="D56" s="295" t="s">
        <v>686</v>
      </c>
      <c r="E56" s="295" t="s">
        <v>691</v>
      </c>
    </row>
    <row r="57" spans="2:5" x14ac:dyDescent="0.3">
      <c r="B57" s="297">
        <v>1365</v>
      </c>
      <c r="C57" s="297" t="s">
        <v>731</v>
      </c>
      <c r="D57" s="295" t="s">
        <v>686</v>
      </c>
      <c r="E57" s="295" t="s">
        <v>687</v>
      </c>
    </row>
    <row r="58" spans="2:5" x14ac:dyDescent="0.3">
      <c r="B58" s="298">
        <v>136515</v>
      </c>
      <c r="C58" s="298" t="s">
        <v>731</v>
      </c>
      <c r="D58" s="295" t="s">
        <v>686</v>
      </c>
      <c r="E58" s="295" t="s">
        <v>687</v>
      </c>
    </row>
    <row r="59" spans="2:5" x14ac:dyDescent="0.3">
      <c r="B59" s="299">
        <v>13651501</v>
      </c>
      <c r="C59" s="299" t="s">
        <v>732</v>
      </c>
      <c r="D59" s="295" t="s">
        <v>686</v>
      </c>
      <c r="E59" s="295" t="s">
        <v>691</v>
      </c>
    </row>
    <row r="60" spans="2:5" x14ac:dyDescent="0.3">
      <c r="B60" s="299">
        <v>13651502</v>
      </c>
      <c r="C60" s="299" t="s">
        <v>733</v>
      </c>
      <c r="D60" s="295" t="s">
        <v>686</v>
      </c>
      <c r="E60" s="295" t="s">
        <v>691</v>
      </c>
    </row>
    <row r="61" spans="2:5" x14ac:dyDescent="0.3">
      <c r="B61" s="299">
        <v>13651520</v>
      </c>
      <c r="C61" s="299" t="s">
        <v>734</v>
      </c>
      <c r="D61" s="295" t="s">
        <v>686</v>
      </c>
      <c r="E61" s="295" t="s">
        <v>691</v>
      </c>
    </row>
    <row r="62" spans="2:5" x14ac:dyDescent="0.3">
      <c r="B62" s="297">
        <v>1370</v>
      </c>
      <c r="C62" s="297" t="s">
        <v>735</v>
      </c>
      <c r="D62" s="295" t="s">
        <v>686</v>
      </c>
      <c r="E62" s="295" t="s">
        <v>687</v>
      </c>
    </row>
    <row r="63" spans="2:5" x14ac:dyDescent="0.3">
      <c r="B63" s="298">
        <v>137005</v>
      </c>
      <c r="C63" s="298" t="s">
        <v>736</v>
      </c>
      <c r="D63" s="295" t="s">
        <v>686</v>
      </c>
      <c r="E63" s="295" t="s">
        <v>687</v>
      </c>
    </row>
    <row r="64" spans="2:5" x14ac:dyDescent="0.3">
      <c r="B64" s="299">
        <v>13700501</v>
      </c>
      <c r="C64" s="299" t="s">
        <v>737</v>
      </c>
      <c r="D64" s="295" t="s">
        <v>686</v>
      </c>
      <c r="E64" s="295" t="s">
        <v>691</v>
      </c>
    </row>
    <row r="65" spans="2:5" x14ac:dyDescent="0.3">
      <c r="B65" s="299">
        <v>13700501</v>
      </c>
      <c r="C65" s="299" t="s">
        <v>738</v>
      </c>
      <c r="D65" s="295" t="s">
        <v>686</v>
      </c>
      <c r="E65" s="295" t="s">
        <v>691</v>
      </c>
    </row>
    <row r="66" spans="2:5" x14ac:dyDescent="0.3">
      <c r="B66" s="297">
        <v>1390</v>
      </c>
      <c r="C66" s="297" t="s">
        <v>739</v>
      </c>
      <c r="D66" s="295" t="s">
        <v>686</v>
      </c>
      <c r="E66" s="295" t="s">
        <v>687</v>
      </c>
    </row>
    <row r="67" spans="2:5" x14ac:dyDescent="0.3">
      <c r="B67" s="298">
        <v>139099</v>
      </c>
      <c r="C67" s="298" t="s">
        <v>739</v>
      </c>
      <c r="D67" s="295" t="s">
        <v>686</v>
      </c>
      <c r="E67" s="295" t="s">
        <v>687</v>
      </c>
    </row>
    <row r="68" spans="2:5" x14ac:dyDescent="0.3">
      <c r="B68" s="299">
        <v>13909901</v>
      </c>
      <c r="C68" s="299" t="s">
        <v>705</v>
      </c>
      <c r="D68" s="295" t="s">
        <v>686</v>
      </c>
      <c r="E68" s="295" t="s">
        <v>691</v>
      </c>
    </row>
    <row r="69" spans="2:5" x14ac:dyDescent="0.3">
      <c r="B69" s="299">
        <v>13909902</v>
      </c>
      <c r="C69" s="299" t="s">
        <v>740</v>
      </c>
      <c r="D69" s="295" t="s">
        <v>686</v>
      </c>
      <c r="E69" s="295" t="s">
        <v>691</v>
      </c>
    </row>
    <row r="70" spans="2:5" x14ac:dyDescent="0.3">
      <c r="B70" s="299">
        <v>13909903</v>
      </c>
      <c r="C70" s="299" t="s">
        <v>741</v>
      </c>
      <c r="D70" s="295" t="s">
        <v>686</v>
      </c>
      <c r="E70" s="295" t="s">
        <v>691</v>
      </c>
    </row>
    <row r="71" spans="2:5" x14ac:dyDescent="0.3">
      <c r="B71" s="299">
        <v>13909904</v>
      </c>
      <c r="C71" s="299" t="s">
        <v>742</v>
      </c>
      <c r="D71" s="295" t="s">
        <v>686</v>
      </c>
      <c r="E71" s="295" t="s">
        <v>691</v>
      </c>
    </row>
    <row r="72" spans="2:5" x14ac:dyDescent="0.3">
      <c r="B72" s="299">
        <v>13909995</v>
      </c>
      <c r="C72" s="299" t="s">
        <v>743</v>
      </c>
      <c r="D72" s="295" t="s">
        <v>686</v>
      </c>
      <c r="E72" s="295" t="s">
        <v>691</v>
      </c>
    </row>
    <row r="73" spans="2:5" x14ac:dyDescent="0.3">
      <c r="B73" s="297">
        <v>1399</v>
      </c>
      <c r="C73" s="297" t="s">
        <v>744</v>
      </c>
      <c r="D73" s="295" t="s">
        <v>745</v>
      </c>
      <c r="E73" s="295" t="s">
        <v>687</v>
      </c>
    </row>
    <row r="74" spans="2:5" x14ac:dyDescent="0.3">
      <c r="B74" s="298">
        <v>139905</v>
      </c>
      <c r="C74" s="298" t="s">
        <v>744</v>
      </c>
      <c r="D74" s="295" t="s">
        <v>745</v>
      </c>
      <c r="E74" s="295" t="s">
        <v>687</v>
      </c>
    </row>
    <row r="75" spans="2:5" x14ac:dyDescent="0.3">
      <c r="B75" s="299">
        <v>13990501</v>
      </c>
      <c r="C75" s="299" t="s">
        <v>746</v>
      </c>
      <c r="D75" s="295" t="s">
        <v>745</v>
      </c>
      <c r="E75" s="295" t="s">
        <v>691</v>
      </c>
    </row>
    <row r="76" spans="2:5" x14ac:dyDescent="0.3">
      <c r="B76" s="299">
        <v>13990502</v>
      </c>
      <c r="C76" s="299" t="s">
        <v>747</v>
      </c>
      <c r="D76" s="295" t="s">
        <v>745</v>
      </c>
      <c r="E76" s="295" t="s">
        <v>691</v>
      </c>
    </row>
    <row r="77" spans="2:5" x14ac:dyDescent="0.3">
      <c r="B77" s="299">
        <v>13990503</v>
      </c>
      <c r="C77" s="299" t="s">
        <v>748</v>
      </c>
      <c r="D77" s="295" t="s">
        <v>745</v>
      </c>
      <c r="E77" s="295" t="s">
        <v>691</v>
      </c>
    </row>
    <row r="78" spans="2:5" x14ac:dyDescent="0.3">
      <c r="B78" s="299">
        <v>13990504</v>
      </c>
      <c r="C78" s="299" t="s">
        <v>749</v>
      </c>
      <c r="D78" s="295" t="s">
        <v>745</v>
      </c>
      <c r="E78" s="295" t="s">
        <v>691</v>
      </c>
    </row>
    <row r="79" spans="2:5" x14ac:dyDescent="0.3">
      <c r="B79" s="296">
        <v>15</v>
      </c>
      <c r="C79" s="296" t="s">
        <v>750</v>
      </c>
      <c r="D79" s="295" t="s">
        <v>686</v>
      </c>
      <c r="E79" s="295" t="s">
        <v>687</v>
      </c>
    </row>
    <row r="80" spans="2:5" x14ac:dyDescent="0.3">
      <c r="B80" s="297">
        <v>1504</v>
      </c>
      <c r="C80" s="297" t="s">
        <v>751</v>
      </c>
      <c r="D80" s="295" t="s">
        <v>686</v>
      </c>
      <c r="E80" s="295" t="s">
        <v>687</v>
      </c>
    </row>
    <row r="81" spans="2:5" x14ac:dyDescent="0.3">
      <c r="B81" s="298">
        <v>150405</v>
      </c>
      <c r="C81" s="298" t="s">
        <v>752</v>
      </c>
      <c r="D81" s="295" t="s">
        <v>686</v>
      </c>
      <c r="E81" s="295" t="s">
        <v>687</v>
      </c>
    </row>
    <row r="82" spans="2:5" x14ac:dyDescent="0.3">
      <c r="B82" s="299">
        <v>15040501</v>
      </c>
      <c r="C82" s="300" t="s">
        <v>753</v>
      </c>
      <c r="D82" s="295" t="s">
        <v>686</v>
      </c>
      <c r="E82" s="295" t="s">
        <v>691</v>
      </c>
    </row>
    <row r="83" spans="2:5" x14ac:dyDescent="0.3">
      <c r="B83" s="298">
        <v>150410</v>
      </c>
      <c r="C83" s="298" t="s">
        <v>754</v>
      </c>
      <c r="D83" s="295" t="s">
        <v>686</v>
      </c>
      <c r="E83" s="295" t="s">
        <v>687</v>
      </c>
    </row>
    <row r="84" spans="2:5" x14ac:dyDescent="0.3">
      <c r="B84" s="299">
        <v>15040501</v>
      </c>
      <c r="C84" s="300" t="s">
        <v>753</v>
      </c>
      <c r="D84" s="295" t="s">
        <v>686</v>
      </c>
      <c r="E84" s="295" t="s">
        <v>691</v>
      </c>
    </row>
    <row r="85" spans="2:5" x14ac:dyDescent="0.3">
      <c r="B85" s="297">
        <v>1508</v>
      </c>
      <c r="C85" s="297" t="s">
        <v>755</v>
      </c>
      <c r="D85" s="295" t="s">
        <v>686</v>
      </c>
      <c r="E85" s="295" t="s">
        <v>687</v>
      </c>
    </row>
    <row r="86" spans="2:5" x14ac:dyDescent="0.3">
      <c r="B86" s="298">
        <v>150805</v>
      </c>
      <c r="C86" s="298" t="s">
        <v>756</v>
      </c>
      <c r="D86" s="295" t="s">
        <v>686</v>
      </c>
      <c r="E86" s="295" t="s">
        <v>687</v>
      </c>
    </row>
    <row r="87" spans="2:5" x14ac:dyDescent="0.3">
      <c r="B87" s="299">
        <v>15080501</v>
      </c>
      <c r="C87" s="300" t="s">
        <v>757</v>
      </c>
      <c r="D87" s="295" t="s">
        <v>686</v>
      </c>
      <c r="E87" s="295" t="s">
        <v>691</v>
      </c>
    </row>
    <row r="88" spans="2:5" x14ac:dyDescent="0.3">
      <c r="B88" s="297">
        <v>1512</v>
      </c>
      <c r="C88" s="297" t="s">
        <v>758</v>
      </c>
      <c r="D88" s="295" t="s">
        <v>686</v>
      </c>
      <c r="E88" s="295" t="s">
        <v>687</v>
      </c>
    </row>
    <row r="89" spans="2:5" x14ac:dyDescent="0.3">
      <c r="B89" s="298">
        <v>151205</v>
      </c>
      <c r="C89" s="298" t="s">
        <v>759</v>
      </c>
      <c r="D89" s="295" t="s">
        <v>686</v>
      </c>
      <c r="E89" s="295" t="s">
        <v>687</v>
      </c>
    </row>
    <row r="90" spans="2:5" x14ac:dyDescent="0.3">
      <c r="B90" s="299">
        <v>15120501</v>
      </c>
      <c r="C90" s="300" t="s">
        <v>760</v>
      </c>
      <c r="D90" s="295" t="s">
        <v>686</v>
      </c>
      <c r="E90" s="295" t="s">
        <v>691</v>
      </c>
    </row>
    <row r="91" spans="2:5" x14ac:dyDescent="0.3">
      <c r="B91" s="298">
        <v>151210</v>
      </c>
      <c r="C91" s="298" t="s">
        <v>761</v>
      </c>
      <c r="D91" s="295" t="s">
        <v>686</v>
      </c>
      <c r="E91" s="295" t="s">
        <v>687</v>
      </c>
    </row>
    <row r="92" spans="2:5" x14ac:dyDescent="0.3">
      <c r="B92" s="299">
        <v>15121001</v>
      </c>
      <c r="C92" s="301" t="s">
        <v>762</v>
      </c>
      <c r="D92" s="295" t="s">
        <v>686</v>
      </c>
      <c r="E92" s="295" t="s">
        <v>691</v>
      </c>
    </row>
    <row r="93" spans="2:5" x14ac:dyDescent="0.3">
      <c r="B93" s="298">
        <v>151215</v>
      </c>
      <c r="C93" s="298" t="s">
        <v>763</v>
      </c>
      <c r="D93" s="295" t="s">
        <v>686</v>
      </c>
      <c r="E93" s="295" t="s">
        <v>687</v>
      </c>
    </row>
    <row r="94" spans="2:5" x14ac:dyDescent="0.3">
      <c r="B94" s="299">
        <v>15121501</v>
      </c>
      <c r="C94" s="299" t="s">
        <v>764</v>
      </c>
      <c r="D94" s="295" t="s">
        <v>686</v>
      </c>
      <c r="E94" s="295" t="s">
        <v>691</v>
      </c>
    </row>
    <row r="95" spans="2:5" x14ac:dyDescent="0.3">
      <c r="B95" s="297">
        <v>1516</v>
      </c>
      <c r="C95" s="297" t="s">
        <v>756</v>
      </c>
      <c r="D95" s="295" t="s">
        <v>686</v>
      </c>
      <c r="E95" s="295" t="s">
        <v>687</v>
      </c>
    </row>
    <row r="96" spans="2:5" x14ac:dyDescent="0.3">
      <c r="B96" s="298">
        <v>151605</v>
      </c>
      <c r="C96" s="298" t="s">
        <v>765</v>
      </c>
      <c r="D96" s="295" t="s">
        <v>686</v>
      </c>
      <c r="E96" s="295" t="s">
        <v>687</v>
      </c>
    </row>
    <row r="97" spans="2:5" x14ac:dyDescent="0.3">
      <c r="B97" s="299">
        <v>15040501</v>
      </c>
      <c r="C97" s="300" t="s">
        <v>766</v>
      </c>
      <c r="D97" s="295" t="s">
        <v>686</v>
      </c>
      <c r="E97" s="295" t="s">
        <v>691</v>
      </c>
    </row>
    <row r="98" spans="2:5" x14ac:dyDescent="0.3">
      <c r="B98" s="298">
        <v>151610</v>
      </c>
      <c r="C98" s="298" t="s">
        <v>767</v>
      </c>
      <c r="D98" s="295" t="s">
        <v>686</v>
      </c>
      <c r="E98" s="295" t="s">
        <v>687</v>
      </c>
    </row>
    <row r="99" spans="2:5" x14ac:dyDescent="0.3">
      <c r="B99" s="299">
        <v>15161001</v>
      </c>
      <c r="C99" s="300" t="s">
        <v>768</v>
      </c>
      <c r="D99" s="295" t="s">
        <v>686</v>
      </c>
      <c r="E99" s="295" t="s">
        <v>691</v>
      </c>
    </row>
    <row r="100" spans="2:5" x14ac:dyDescent="0.3">
      <c r="B100" s="297">
        <v>1520</v>
      </c>
      <c r="C100" s="297" t="s">
        <v>759</v>
      </c>
      <c r="D100" s="295" t="s">
        <v>686</v>
      </c>
      <c r="E100" s="295" t="s">
        <v>687</v>
      </c>
    </row>
    <row r="101" spans="2:5" x14ac:dyDescent="0.3">
      <c r="B101" s="298">
        <v>152005</v>
      </c>
      <c r="C101" s="298" t="s">
        <v>759</v>
      </c>
      <c r="D101" s="295" t="s">
        <v>686</v>
      </c>
      <c r="E101" s="295" t="s">
        <v>687</v>
      </c>
    </row>
    <row r="102" spans="2:5" x14ac:dyDescent="0.3">
      <c r="B102" s="299">
        <v>15200501</v>
      </c>
      <c r="C102" s="300" t="s">
        <v>769</v>
      </c>
      <c r="D102" s="295" t="s">
        <v>686</v>
      </c>
      <c r="E102" s="295" t="s">
        <v>691</v>
      </c>
    </row>
    <row r="103" spans="2:5" x14ac:dyDescent="0.3">
      <c r="B103" s="297">
        <v>1524</v>
      </c>
      <c r="C103" s="297" t="s">
        <v>761</v>
      </c>
      <c r="D103" s="295" t="s">
        <v>686</v>
      </c>
      <c r="E103" s="295" t="s">
        <v>687</v>
      </c>
    </row>
    <row r="104" spans="2:5" x14ac:dyDescent="0.3">
      <c r="B104" s="298">
        <v>152405</v>
      </c>
      <c r="C104" s="298" t="s">
        <v>770</v>
      </c>
      <c r="D104" s="295" t="s">
        <v>686</v>
      </c>
      <c r="E104" s="295" t="s">
        <v>687</v>
      </c>
    </row>
    <row r="105" spans="2:5" x14ac:dyDescent="0.3">
      <c r="B105" s="299">
        <v>15240501</v>
      </c>
      <c r="C105" s="300" t="s">
        <v>771</v>
      </c>
      <c r="D105" s="295" t="s">
        <v>686</v>
      </c>
      <c r="E105" s="295" t="s">
        <v>691</v>
      </c>
    </row>
    <row r="106" spans="2:5" x14ac:dyDescent="0.3">
      <c r="B106" s="298">
        <v>152410</v>
      </c>
      <c r="C106" s="298" t="s">
        <v>772</v>
      </c>
      <c r="D106" s="295" t="s">
        <v>686</v>
      </c>
      <c r="E106" s="295" t="s">
        <v>687</v>
      </c>
    </row>
    <row r="107" spans="2:5" x14ac:dyDescent="0.3">
      <c r="B107" s="299">
        <v>15241001</v>
      </c>
      <c r="C107" s="300" t="s">
        <v>773</v>
      </c>
      <c r="D107" s="295" t="s">
        <v>686</v>
      </c>
      <c r="E107" s="295" t="s">
        <v>691</v>
      </c>
    </row>
    <row r="108" spans="2:5" x14ac:dyDescent="0.3">
      <c r="B108" s="297">
        <v>1528</v>
      </c>
      <c r="C108" s="297" t="s">
        <v>774</v>
      </c>
      <c r="D108" s="295" t="s">
        <v>686</v>
      </c>
      <c r="E108" s="295" t="s">
        <v>687</v>
      </c>
    </row>
    <row r="109" spans="2:5" x14ac:dyDescent="0.3">
      <c r="B109" s="298">
        <v>152805</v>
      </c>
      <c r="C109" s="298" t="s">
        <v>775</v>
      </c>
      <c r="D109" s="295" t="s">
        <v>686</v>
      </c>
      <c r="E109" s="295" t="s">
        <v>687</v>
      </c>
    </row>
    <row r="110" spans="2:5" x14ac:dyDescent="0.3">
      <c r="B110" s="299">
        <v>15280501</v>
      </c>
      <c r="C110" s="299" t="s">
        <v>776</v>
      </c>
      <c r="D110" s="295" t="s">
        <v>686</v>
      </c>
      <c r="E110" s="295" t="s">
        <v>691</v>
      </c>
    </row>
    <row r="111" spans="2:5" x14ac:dyDescent="0.3">
      <c r="B111" s="298">
        <v>152810</v>
      </c>
      <c r="C111" s="298" t="s">
        <v>777</v>
      </c>
      <c r="D111" s="295" t="s">
        <v>686</v>
      </c>
      <c r="E111" s="295" t="s">
        <v>687</v>
      </c>
    </row>
    <row r="112" spans="2:5" x14ac:dyDescent="0.3">
      <c r="B112" s="299">
        <v>15281001</v>
      </c>
      <c r="C112" s="299" t="s">
        <v>778</v>
      </c>
      <c r="D112" s="295" t="s">
        <v>686</v>
      </c>
      <c r="E112" s="295" t="s">
        <v>691</v>
      </c>
    </row>
    <row r="113" spans="2:5" x14ac:dyDescent="0.3">
      <c r="B113" s="297">
        <v>1540</v>
      </c>
      <c r="C113" s="297" t="s">
        <v>779</v>
      </c>
      <c r="D113" s="295" t="s">
        <v>686</v>
      </c>
      <c r="E113" s="295" t="s">
        <v>687</v>
      </c>
    </row>
    <row r="114" spans="2:5" x14ac:dyDescent="0.3">
      <c r="B114" s="298">
        <v>154005</v>
      </c>
      <c r="C114" s="298" t="s">
        <v>780</v>
      </c>
      <c r="D114" s="295" t="s">
        <v>686</v>
      </c>
      <c r="E114" s="295" t="s">
        <v>687</v>
      </c>
    </row>
    <row r="115" spans="2:5" x14ac:dyDescent="0.3">
      <c r="B115" s="299">
        <v>15400501</v>
      </c>
      <c r="C115" s="300" t="s">
        <v>781</v>
      </c>
      <c r="D115" s="295" t="s">
        <v>686</v>
      </c>
      <c r="E115" s="295" t="s">
        <v>691</v>
      </c>
    </row>
    <row r="116" spans="2:5" x14ac:dyDescent="0.3">
      <c r="B116" s="298">
        <v>154006</v>
      </c>
      <c r="C116" s="298" t="s">
        <v>782</v>
      </c>
      <c r="D116" s="295" t="s">
        <v>686</v>
      </c>
      <c r="E116" s="295" t="s">
        <v>687</v>
      </c>
    </row>
    <row r="117" spans="2:5" x14ac:dyDescent="0.3">
      <c r="B117" s="299">
        <v>15400601</v>
      </c>
      <c r="C117" s="300" t="s">
        <v>783</v>
      </c>
      <c r="D117" s="295" t="s">
        <v>686</v>
      </c>
      <c r="E117" s="295" t="s">
        <v>691</v>
      </c>
    </row>
    <row r="118" spans="2:5" x14ac:dyDescent="0.3">
      <c r="B118" s="298">
        <v>154007</v>
      </c>
      <c r="C118" s="298" t="s">
        <v>784</v>
      </c>
      <c r="D118" s="295" t="s">
        <v>686</v>
      </c>
      <c r="E118" s="295" t="s">
        <v>687</v>
      </c>
    </row>
    <row r="119" spans="2:5" x14ac:dyDescent="0.3">
      <c r="B119" s="299">
        <v>15400701</v>
      </c>
      <c r="C119" s="299" t="s">
        <v>785</v>
      </c>
      <c r="D119" s="295" t="s">
        <v>686</v>
      </c>
      <c r="E119" s="295" t="s">
        <v>691</v>
      </c>
    </row>
    <row r="120" spans="2:5" x14ac:dyDescent="0.3">
      <c r="B120" s="298">
        <v>154008</v>
      </c>
      <c r="C120" s="298" t="s">
        <v>786</v>
      </c>
      <c r="D120" s="295" t="s">
        <v>686</v>
      </c>
      <c r="E120" s="295" t="s">
        <v>687</v>
      </c>
    </row>
    <row r="121" spans="2:5" x14ac:dyDescent="0.3">
      <c r="B121" s="299">
        <v>15400801</v>
      </c>
      <c r="C121" s="299" t="s">
        <v>787</v>
      </c>
      <c r="D121" s="295" t="s">
        <v>686</v>
      </c>
      <c r="E121" s="295" t="s">
        <v>691</v>
      </c>
    </row>
    <row r="122" spans="2:5" x14ac:dyDescent="0.3">
      <c r="B122" s="297">
        <v>1570</v>
      </c>
      <c r="C122" s="297" t="s">
        <v>788</v>
      </c>
      <c r="D122" s="295" t="s">
        <v>686</v>
      </c>
      <c r="E122" s="295" t="s">
        <v>687</v>
      </c>
    </row>
    <row r="123" spans="2:5" x14ac:dyDescent="0.3">
      <c r="B123" s="298">
        <v>157005</v>
      </c>
      <c r="C123" s="298" t="s">
        <v>789</v>
      </c>
      <c r="D123" s="295" t="s">
        <v>686</v>
      </c>
      <c r="E123" s="295" t="s">
        <v>687</v>
      </c>
    </row>
    <row r="124" spans="2:5" x14ac:dyDescent="0.3">
      <c r="B124" s="299">
        <v>15700501</v>
      </c>
      <c r="C124" s="300" t="s">
        <v>790</v>
      </c>
      <c r="D124" s="295" t="s">
        <v>686</v>
      </c>
      <c r="E124" s="295" t="s">
        <v>691</v>
      </c>
    </row>
    <row r="125" spans="2:5" x14ac:dyDescent="0.3">
      <c r="B125" s="297">
        <v>1592</v>
      </c>
      <c r="C125" s="297" t="s">
        <v>791</v>
      </c>
      <c r="D125" s="295" t="s">
        <v>745</v>
      </c>
      <c r="E125" s="295" t="s">
        <v>687</v>
      </c>
    </row>
    <row r="126" spans="2:5" x14ac:dyDescent="0.3">
      <c r="B126" s="298">
        <v>159205</v>
      </c>
      <c r="C126" s="298" t="s">
        <v>792</v>
      </c>
      <c r="D126" s="295" t="s">
        <v>745</v>
      </c>
      <c r="E126" s="295" t="s">
        <v>687</v>
      </c>
    </row>
    <row r="127" spans="2:5" x14ac:dyDescent="0.3">
      <c r="B127" s="299">
        <v>15920501</v>
      </c>
      <c r="C127" s="300" t="s">
        <v>793</v>
      </c>
      <c r="D127" s="295" t="s">
        <v>745</v>
      </c>
      <c r="E127" s="295" t="s">
        <v>691</v>
      </c>
    </row>
    <row r="128" spans="2:5" x14ac:dyDescent="0.3">
      <c r="B128" s="298">
        <v>159210</v>
      </c>
      <c r="C128" s="298" t="s">
        <v>759</v>
      </c>
      <c r="D128" s="295" t="s">
        <v>745</v>
      </c>
      <c r="E128" s="295" t="s">
        <v>687</v>
      </c>
    </row>
    <row r="129" spans="2:5" x14ac:dyDescent="0.3">
      <c r="B129" s="299">
        <v>15921001</v>
      </c>
      <c r="C129" s="300" t="s">
        <v>793</v>
      </c>
      <c r="D129" s="295" t="s">
        <v>745</v>
      </c>
      <c r="E129" s="295" t="s">
        <v>691</v>
      </c>
    </row>
    <row r="130" spans="2:5" x14ac:dyDescent="0.3">
      <c r="B130" s="298">
        <v>159215</v>
      </c>
      <c r="C130" s="298" t="s">
        <v>761</v>
      </c>
      <c r="D130" s="295" t="s">
        <v>745</v>
      </c>
      <c r="E130" s="295" t="s">
        <v>687</v>
      </c>
    </row>
    <row r="131" spans="2:5" x14ac:dyDescent="0.3">
      <c r="B131" s="299">
        <v>15921501</v>
      </c>
      <c r="C131" s="300" t="s">
        <v>793</v>
      </c>
      <c r="D131" s="295" t="s">
        <v>745</v>
      </c>
      <c r="E131" s="295" t="s">
        <v>691</v>
      </c>
    </row>
    <row r="132" spans="2:5" x14ac:dyDescent="0.3">
      <c r="B132" s="298">
        <v>159220</v>
      </c>
      <c r="C132" s="298" t="s">
        <v>774</v>
      </c>
      <c r="D132" s="295" t="s">
        <v>745</v>
      </c>
      <c r="E132" s="295" t="s">
        <v>687</v>
      </c>
    </row>
    <row r="133" spans="2:5" x14ac:dyDescent="0.3">
      <c r="B133" s="299">
        <v>15922001</v>
      </c>
      <c r="C133" s="300" t="s">
        <v>793</v>
      </c>
      <c r="D133" s="295" t="s">
        <v>745</v>
      </c>
      <c r="E133" s="295" t="s">
        <v>691</v>
      </c>
    </row>
    <row r="134" spans="2:5" x14ac:dyDescent="0.3">
      <c r="B134" s="298">
        <v>159235</v>
      </c>
      <c r="C134" s="298" t="s">
        <v>779</v>
      </c>
      <c r="D134" s="295" t="s">
        <v>745</v>
      </c>
      <c r="E134" s="295" t="s">
        <v>687</v>
      </c>
    </row>
    <row r="135" spans="2:5" x14ac:dyDescent="0.3">
      <c r="B135" s="299">
        <v>15923501</v>
      </c>
      <c r="C135" s="300" t="s">
        <v>794</v>
      </c>
      <c r="D135" s="295" t="s">
        <v>745</v>
      </c>
      <c r="E135" s="295" t="s">
        <v>691</v>
      </c>
    </row>
    <row r="136" spans="2:5" x14ac:dyDescent="0.3">
      <c r="B136" s="297">
        <v>1597</v>
      </c>
      <c r="C136" s="297" t="s">
        <v>795</v>
      </c>
      <c r="D136" s="295" t="s">
        <v>745</v>
      </c>
      <c r="E136" s="295" t="s">
        <v>687</v>
      </c>
    </row>
    <row r="137" spans="2:5" x14ac:dyDescent="0.3">
      <c r="B137" s="298">
        <v>159705</v>
      </c>
      <c r="C137" s="298" t="s">
        <v>789</v>
      </c>
      <c r="D137" s="295" t="s">
        <v>745</v>
      </c>
      <c r="E137" s="295" t="s">
        <v>687</v>
      </c>
    </row>
    <row r="138" spans="2:5" x14ac:dyDescent="0.3">
      <c r="B138" s="299">
        <v>15970501</v>
      </c>
      <c r="C138" s="300" t="s">
        <v>790</v>
      </c>
      <c r="D138" s="295" t="s">
        <v>745</v>
      </c>
      <c r="E138" s="295" t="s">
        <v>691</v>
      </c>
    </row>
    <row r="139" spans="2:5" x14ac:dyDescent="0.3">
      <c r="B139" s="297">
        <v>1599</v>
      </c>
      <c r="C139" s="297" t="s">
        <v>744</v>
      </c>
      <c r="D139" s="295" t="s">
        <v>745</v>
      </c>
      <c r="E139" s="295" t="s">
        <v>687</v>
      </c>
    </row>
    <row r="140" spans="2:5" x14ac:dyDescent="0.3">
      <c r="B140" s="298">
        <v>159905</v>
      </c>
      <c r="C140" s="298" t="s">
        <v>756</v>
      </c>
      <c r="D140" s="295" t="s">
        <v>745</v>
      </c>
      <c r="E140" s="295" t="s">
        <v>687</v>
      </c>
    </row>
    <row r="141" spans="2:5" x14ac:dyDescent="0.3">
      <c r="B141" s="299">
        <v>15990501</v>
      </c>
      <c r="C141" s="300" t="s">
        <v>796</v>
      </c>
      <c r="D141" s="295" t="s">
        <v>745</v>
      </c>
      <c r="E141" s="295" t="s">
        <v>691</v>
      </c>
    </row>
    <row r="142" spans="2:5" x14ac:dyDescent="0.3">
      <c r="B142" s="298">
        <v>159920</v>
      </c>
      <c r="C142" s="298" t="s">
        <v>759</v>
      </c>
      <c r="D142" s="295" t="s">
        <v>745</v>
      </c>
      <c r="E142" s="295" t="s">
        <v>687</v>
      </c>
    </row>
    <row r="143" spans="2:5" x14ac:dyDescent="0.3">
      <c r="B143" s="299">
        <v>15992001</v>
      </c>
      <c r="C143" s="300" t="s">
        <v>796</v>
      </c>
      <c r="D143" s="295" t="s">
        <v>745</v>
      </c>
      <c r="E143" s="295" t="s">
        <v>691</v>
      </c>
    </row>
    <row r="144" spans="2:5" x14ac:dyDescent="0.3">
      <c r="B144" s="298">
        <v>159924</v>
      </c>
      <c r="C144" s="298" t="s">
        <v>761</v>
      </c>
      <c r="D144" s="295" t="s">
        <v>745</v>
      </c>
      <c r="E144" s="295" t="s">
        <v>687</v>
      </c>
    </row>
    <row r="145" spans="2:5" x14ac:dyDescent="0.3">
      <c r="B145" s="299">
        <v>15992401</v>
      </c>
      <c r="C145" s="300" t="s">
        <v>796</v>
      </c>
      <c r="D145" s="295" t="s">
        <v>745</v>
      </c>
      <c r="E145" s="295" t="s">
        <v>691</v>
      </c>
    </row>
    <row r="146" spans="2:5" x14ac:dyDescent="0.3">
      <c r="B146" s="298">
        <v>159928</v>
      </c>
      <c r="C146" s="298" t="s">
        <v>774</v>
      </c>
      <c r="D146" s="295" t="s">
        <v>745</v>
      </c>
      <c r="E146" s="295" t="s">
        <v>687</v>
      </c>
    </row>
    <row r="147" spans="2:5" x14ac:dyDescent="0.3">
      <c r="B147" s="299">
        <v>15992801</v>
      </c>
      <c r="C147" s="300" t="s">
        <v>796</v>
      </c>
      <c r="D147" s="295" t="s">
        <v>745</v>
      </c>
      <c r="E147" s="295" t="s">
        <v>691</v>
      </c>
    </row>
    <row r="148" spans="2:5" x14ac:dyDescent="0.3">
      <c r="B148" s="298">
        <v>159932</v>
      </c>
      <c r="C148" s="298" t="s">
        <v>797</v>
      </c>
      <c r="D148" s="295" t="s">
        <v>745</v>
      </c>
      <c r="E148" s="295" t="s">
        <v>687</v>
      </c>
    </row>
    <row r="149" spans="2:5" x14ac:dyDescent="0.3">
      <c r="B149" s="299">
        <v>15993201</v>
      </c>
      <c r="C149" s="300" t="s">
        <v>796</v>
      </c>
      <c r="D149" s="295" t="s">
        <v>745</v>
      </c>
      <c r="E149" s="295" t="s">
        <v>691</v>
      </c>
    </row>
    <row r="150" spans="2:5" x14ac:dyDescent="0.3">
      <c r="B150" s="298">
        <v>159936</v>
      </c>
      <c r="C150" s="298" t="s">
        <v>779</v>
      </c>
      <c r="D150" s="295" t="s">
        <v>745</v>
      </c>
      <c r="E150" s="295" t="s">
        <v>687</v>
      </c>
    </row>
    <row r="151" spans="2:5" x14ac:dyDescent="0.3">
      <c r="B151" s="299">
        <v>15993601</v>
      </c>
      <c r="C151" s="300" t="s">
        <v>798</v>
      </c>
      <c r="D151" s="295" t="s">
        <v>745</v>
      </c>
      <c r="E151" s="295" t="s">
        <v>691</v>
      </c>
    </row>
    <row r="152" spans="2:5" x14ac:dyDescent="0.3">
      <c r="B152" s="296">
        <v>16</v>
      </c>
      <c r="C152" s="296" t="s">
        <v>799</v>
      </c>
      <c r="D152" s="295" t="s">
        <v>686</v>
      </c>
      <c r="E152" s="295" t="s">
        <v>687</v>
      </c>
    </row>
    <row r="153" spans="2:5" x14ac:dyDescent="0.3">
      <c r="B153" s="297">
        <v>1635</v>
      </c>
      <c r="C153" s="297" t="s">
        <v>800</v>
      </c>
      <c r="D153" s="295" t="s">
        <v>686</v>
      </c>
      <c r="E153" s="295" t="s">
        <v>687</v>
      </c>
    </row>
    <row r="154" spans="2:5" x14ac:dyDescent="0.3">
      <c r="B154" s="298">
        <v>163505</v>
      </c>
      <c r="C154" s="298" t="s">
        <v>801</v>
      </c>
      <c r="D154" s="295" t="s">
        <v>686</v>
      </c>
      <c r="E154" s="295" t="s">
        <v>687</v>
      </c>
    </row>
    <row r="155" spans="2:5" x14ac:dyDescent="0.3">
      <c r="B155" s="299">
        <v>16350501</v>
      </c>
      <c r="C155" s="300" t="s">
        <v>802</v>
      </c>
      <c r="D155" s="295" t="s">
        <v>686</v>
      </c>
      <c r="E155" s="295" t="s">
        <v>691</v>
      </c>
    </row>
    <row r="156" spans="2:5" x14ac:dyDescent="0.3">
      <c r="B156" s="297">
        <v>1698</v>
      </c>
      <c r="C156" s="297" t="s">
        <v>803</v>
      </c>
      <c r="D156" s="295" t="s">
        <v>745</v>
      </c>
      <c r="E156" s="295" t="s">
        <v>687</v>
      </c>
    </row>
    <row r="157" spans="2:5" x14ac:dyDescent="0.3">
      <c r="B157" s="298">
        <v>169805</v>
      </c>
      <c r="C157" s="298" t="s">
        <v>800</v>
      </c>
      <c r="D157" s="295" t="s">
        <v>745</v>
      </c>
      <c r="E157" s="295" t="s">
        <v>687</v>
      </c>
    </row>
    <row r="158" spans="2:5" x14ac:dyDescent="0.3">
      <c r="B158" s="299">
        <v>16980501</v>
      </c>
      <c r="C158" s="300" t="s">
        <v>802</v>
      </c>
      <c r="D158" s="295" t="s">
        <v>745</v>
      </c>
      <c r="E158" s="295" t="s">
        <v>691</v>
      </c>
    </row>
    <row r="159" spans="2:5" x14ac:dyDescent="0.3">
      <c r="B159" s="296">
        <v>17</v>
      </c>
      <c r="C159" s="296" t="s">
        <v>804</v>
      </c>
      <c r="D159" s="295" t="s">
        <v>686</v>
      </c>
      <c r="E159" s="295" t="s">
        <v>687</v>
      </c>
    </row>
    <row r="160" spans="2:5" x14ac:dyDescent="0.3">
      <c r="B160" s="297">
        <v>1705</v>
      </c>
      <c r="C160" s="297" t="s">
        <v>805</v>
      </c>
      <c r="D160" s="295" t="s">
        <v>686</v>
      </c>
      <c r="E160" s="295" t="s">
        <v>687</v>
      </c>
    </row>
    <row r="161" spans="2:5" x14ac:dyDescent="0.3">
      <c r="B161" s="298">
        <v>170505</v>
      </c>
      <c r="C161" s="298" t="s">
        <v>805</v>
      </c>
      <c r="D161" s="295" t="s">
        <v>686</v>
      </c>
      <c r="E161" s="295" t="s">
        <v>687</v>
      </c>
    </row>
    <row r="162" spans="2:5" x14ac:dyDescent="0.3">
      <c r="B162" s="299">
        <v>17050501</v>
      </c>
      <c r="C162" s="299" t="s">
        <v>806</v>
      </c>
      <c r="D162" s="295" t="s">
        <v>686</v>
      </c>
      <c r="E162" s="295" t="s">
        <v>691</v>
      </c>
    </row>
    <row r="163" spans="2:5" x14ac:dyDescent="0.3">
      <c r="B163" s="299">
        <v>17050502</v>
      </c>
      <c r="C163" s="299" t="s">
        <v>807</v>
      </c>
      <c r="D163" s="295" t="s">
        <v>686</v>
      </c>
      <c r="E163" s="295" t="s">
        <v>691</v>
      </c>
    </row>
    <row r="164" spans="2:5" x14ac:dyDescent="0.3">
      <c r="B164" s="299">
        <v>17050503</v>
      </c>
      <c r="C164" s="299" t="s">
        <v>808</v>
      </c>
      <c r="D164" s="295" t="s">
        <v>686</v>
      </c>
      <c r="E164" s="295" t="s">
        <v>691</v>
      </c>
    </row>
    <row r="165" spans="2:5" x14ac:dyDescent="0.3">
      <c r="B165" s="299">
        <v>17050504</v>
      </c>
      <c r="C165" s="299" t="s">
        <v>809</v>
      </c>
      <c r="D165" s="295" t="s">
        <v>686</v>
      </c>
      <c r="E165" s="295" t="s">
        <v>691</v>
      </c>
    </row>
    <row r="166" spans="2:5" x14ac:dyDescent="0.3">
      <c r="B166" s="296">
        <v>18</v>
      </c>
      <c r="C166" s="296" t="s">
        <v>541</v>
      </c>
      <c r="D166" s="295" t="s">
        <v>686</v>
      </c>
      <c r="E166" s="295" t="s">
        <v>687</v>
      </c>
    </row>
    <row r="167" spans="2:5" x14ac:dyDescent="0.3">
      <c r="B167" s="297">
        <v>1810</v>
      </c>
      <c r="C167" s="297" t="s">
        <v>810</v>
      </c>
      <c r="D167" s="295" t="s">
        <v>686</v>
      </c>
      <c r="E167" s="295" t="s">
        <v>687</v>
      </c>
    </row>
    <row r="168" spans="2:5" x14ac:dyDescent="0.3">
      <c r="B168" s="298">
        <v>181005</v>
      </c>
      <c r="C168" s="298" t="s">
        <v>809</v>
      </c>
      <c r="D168" s="295" t="s">
        <v>686</v>
      </c>
      <c r="E168" s="295" t="s">
        <v>687</v>
      </c>
    </row>
    <row r="169" spans="2:5" x14ac:dyDescent="0.3">
      <c r="B169" s="299">
        <v>18100501</v>
      </c>
      <c r="C169" s="299" t="s">
        <v>809</v>
      </c>
      <c r="D169" s="295" t="s">
        <v>686</v>
      </c>
      <c r="E169" s="295" t="s">
        <v>691</v>
      </c>
    </row>
    <row r="170" spans="2:5" x14ac:dyDescent="0.3">
      <c r="B170" s="298">
        <v>181010</v>
      </c>
      <c r="C170" s="298" t="s">
        <v>811</v>
      </c>
      <c r="D170" s="295" t="s">
        <v>686</v>
      </c>
      <c r="E170" s="295" t="s">
        <v>687</v>
      </c>
    </row>
    <row r="171" spans="2:5" x14ac:dyDescent="0.3">
      <c r="B171" s="299">
        <v>18101001</v>
      </c>
      <c r="C171" s="299" t="s">
        <v>811</v>
      </c>
      <c r="D171" s="295" t="s">
        <v>686</v>
      </c>
      <c r="E171" s="295" t="s">
        <v>691</v>
      </c>
    </row>
    <row r="172" spans="2:5" x14ac:dyDescent="0.3">
      <c r="B172" s="298">
        <v>181015</v>
      </c>
      <c r="C172" s="298" t="s">
        <v>812</v>
      </c>
      <c r="D172" s="295" t="s">
        <v>686</v>
      </c>
      <c r="E172" s="295" t="s">
        <v>687</v>
      </c>
    </row>
    <row r="173" spans="2:5" x14ac:dyDescent="0.3">
      <c r="B173" s="299">
        <v>18101501</v>
      </c>
      <c r="C173" s="299" t="s">
        <v>813</v>
      </c>
      <c r="D173" s="295" t="s">
        <v>686</v>
      </c>
      <c r="E173" s="295" t="s">
        <v>691</v>
      </c>
    </row>
    <row r="174" spans="2:5" x14ac:dyDescent="0.3">
      <c r="B174" s="297">
        <v>1815</v>
      </c>
      <c r="C174" s="297" t="s">
        <v>814</v>
      </c>
      <c r="D174" s="295" t="s">
        <v>686</v>
      </c>
      <c r="E174" s="295" t="s">
        <v>687</v>
      </c>
    </row>
    <row r="175" spans="2:5" x14ac:dyDescent="0.3">
      <c r="B175" s="298">
        <v>181501</v>
      </c>
      <c r="C175" s="298" t="s">
        <v>814</v>
      </c>
      <c r="D175" s="295" t="s">
        <v>686</v>
      </c>
      <c r="E175" s="295" t="s">
        <v>687</v>
      </c>
    </row>
    <row r="176" spans="2:5" x14ac:dyDescent="0.3">
      <c r="B176" s="299">
        <v>18150101</v>
      </c>
      <c r="C176" s="299" t="s">
        <v>814</v>
      </c>
      <c r="D176" s="295" t="s">
        <v>686</v>
      </c>
      <c r="E176" s="295" t="s">
        <v>691</v>
      </c>
    </row>
    <row r="177" spans="2:5" x14ac:dyDescent="0.3">
      <c r="B177" s="294">
        <v>2</v>
      </c>
      <c r="C177" s="294" t="s">
        <v>815</v>
      </c>
      <c r="D177" s="295" t="s">
        <v>745</v>
      </c>
      <c r="E177" s="295" t="s">
        <v>687</v>
      </c>
    </row>
    <row r="178" spans="2:5" x14ac:dyDescent="0.3">
      <c r="B178" s="296">
        <v>21</v>
      </c>
      <c r="C178" s="296" t="s">
        <v>816</v>
      </c>
      <c r="D178" s="295" t="s">
        <v>745</v>
      </c>
      <c r="E178" s="295" t="s">
        <v>687</v>
      </c>
    </row>
    <row r="179" spans="2:5" x14ac:dyDescent="0.3">
      <c r="B179" s="297">
        <v>2105</v>
      </c>
      <c r="C179" s="297" t="s">
        <v>817</v>
      </c>
      <c r="D179" s="295" t="s">
        <v>745</v>
      </c>
      <c r="E179" s="295" t="s">
        <v>687</v>
      </c>
    </row>
    <row r="180" spans="2:5" x14ac:dyDescent="0.3">
      <c r="B180" s="298">
        <v>210505</v>
      </c>
      <c r="C180" s="298" t="s">
        <v>818</v>
      </c>
      <c r="D180" s="295" t="s">
        <v>745</v>
      </c>
      <c r="E180" s="295" t="s">
        <v>687</v>
      </c>
    </row>
    <row r="181" spans="2:5" x14ac:dyDescent="0.3">
      <c r="B181" s="299">
        <v>21050501</v>
      </c>
      <c r="C181" s="300" t="s">
        <v>819</v>
      </c>
      <c r="D181" s="295" t="s">
        <v>745</v>
      </c>
      <c r="E181" s="295" t="s">
        <v>691</v>
      </c>
    </row>
    <row r="182" spans="2:5" x14ac:dyDescent="0.3">
      <c r="B182" s="298">
        <v>210510</v>
      </c>
      <c r="C182" s="298" t="s">
        <v>820</v>
      </c>
      <c r="D182" s="295" t="s">
        <v>745</v>
      </c>
      <c r="E182" s="295" t="s">
        <v>687</v>
      </c>
    </row>
    <row r="183" spans="2:5" x14ac:dyDescent="0.3">
      <c r="B183" s="299">
        <v>21051001</v>
      </c>
      <c r="C183" s="300" t="s">
        <v>821</v>
      </c>
      <c r="D183" s="295" t="s">
        <v>745</v>
      </c>
      <c r="E183" s="295" t="s">
        <v>691</v>
      </c>
    </row>
    <row r="184" spans="2:5" x14ac:dyDescent="0.3">
      <c r="B184" s="296">
        <v>22</v>
      </c>
      <c r="C184" s="296" t="s">
        <v>822</v>
      </c>
      <c r="D184" s="295" t="s">
        <v>745</v>
      </c>
      <c r="E184" s="295" t="s">
        <v>687</v>
      </c>
    </row>
    <row r="185" spans="2:5" x14ac:dyDescent="0.3">
      <c r="B185" s="297">
        <v>2205</v>
      </c>
      <c r="C185" s="297" t="s">
        <v>823</v>
      </c>
      <c r="D185" s="295" t="s">
        <v>745</v>
      </c>
      <c r="E185" s="295" t="s">
        <v>687</v>
      </c>
    </row>
    <row r="186" spans="2:5" x14ac:dyDescent="0.3">
      <c r="B186" s="298">
        <v>220505</v>
      </c>
      <c r="C186" s="298" t="s">
        <v>707</v>
      </c>
      <c r="D186" s="295" t="s">
        <v>745</v>
      </c>
      <c r="E186" s="295" t="s">
        <v>687</v>
      </c>
    </row>
    <row r="187" spans="2:5" x14ac:dyDescent="0.3">
      <c r="B187" s="296">
        <v>23</v>
      </c>
      <c r="C187" s="296" t="s">
        <v>824</v>
      </c>
      <c r="D187" s="295" t="s">
        <v>745</v>
      </c>
      <c r="E187" s="295" t="s">
        <v>687</v>
      </c>
    </row>
    <row r="188" spans="2:5" x14ac:dyDescent="0.3">
      <c r="B188" s="297">
        <v>2335</v>
      </c>
      <c r="C188" s="297" t="s">
        <v>824</v>
      </c>
      <c r="D188" s="295" t="s">
        <v>745</v>
      </c>
      <c r="E188" s="295" t="s">
        <v>687</v>
      </c>
    </row>
    <row r="189" spans="2:5" x14ac:dyDescent="0.3">
      <c r="B189" s="298">
        <v>233525</v>
      </c>
      <c r="C189" s="298" t="s">
        <v>825</v>
      </c>
      <c r="D189" s="295" t="s">
        <v>745</v>
      </c>
      <c r="E189" s="295" t="s">
        <v>687</v>
      </c>
    </row>
    <row r="190" spans="2:5" x14ac:dyDescent="0.3">
      <c r="B190" s="299">
        <v>23352501</v>
      </c>
      <c r="C190" s="299" t="s">
        <v>826</v>
      </c>
      <c r="D190" s="295" t="s">
        <v>745</v>
      </c>
      <c r="E190" s="295" t="s">
        <v>691</v>
      </c>
    </row>
    <row r="191" spans="2:5" x14ac:dyDescent="0.3">
      <c r="B191" s="298">
        <v>233530</v>
      </c>
      <c r="C191" s="298" t="s">
        <v>827</v>
      </c>
      <c r="D191" s="295" t="s">
        <v>745</v>
      </c>
      <c r="E191" s="295" t="s">
        <v>687</v>
      </c>
    </row>
    <row r="192" spans="2:5" x14ac:dyDescent="0.3">
      <c r="B192" s="298">
        <v>233540</v>
      </c>
      <c r="C192" s="298" t="s">
        <v>828</v>
      </c>
      <c r="D192" s="295" t="s">
        <v>745</v>
      </c>
      <c r="E192" s="295" t="s">
        <v>687</v>
      </c>
    </row>
    <row r="193" spans="2:5" x14ac:dyDescent="0.3">
      <c r="B193" s="299">
        <v>23354001</v>
      </c>
      <c r="C193" s="299" t="s">
        <v>829</v>
      </c>
      <c r="D193" s="295" t="s">
        <v>745</v>
      </c>
      <c r="E193" s="295" t="s">
        <v>691</v>
      </c>
    </row>
    <row r="194" spans="2:5" x14ac:dyDescent="0.3">
      <c r="B194" s="299">
        <v>23354002</v>
      </c>
      <c r="C194" s="299" t="s">
        <v>830</v>
      </c>
      <c r="D194" s="295" t="s">
        <v>745</v>
      </c>
      <c r="E194" s="295" t="s">
        <v>691</v>
      </c>
    </row>
    <row r="195" spans="2:5" x14ac:dyDescent="0.3">
      <c r="B195" s="298">
        <v>233550</v>
      </c>
      <c r="C195" s="298" t="s">
        <v>831</v>
      </c>
      <c r="D195" s="295" t="s">
        <v>745</v>
      </c>
      <c r="E195" s="295" t="s">
        <v>687</v>
      </c>
    </row>
    <row r="196" spans="2:5" x14ac:dyDescent="0.3">
      <c r="B196" s="299">
        <v>23355001</v>
      </c>
      <c r="C196" s="299" t="s">
        <v>832</v>
      </c>
      <c r="D196" s="295" t="s">
        <v>745</v>
      </c>
      <c r="E196" s="295" t="s">
        <v>691</v>
      </c>
    </row>
    <row r="197" spans="2:5" x14ac:dyDescent="0.3">
      <c r="B197" s="299">
        <v>23355002</v>
      </c>
      <c r="C197" s="299" t="s">
        <v>833</v>
      </c>
      <c r="D197" s="295" t="s">
        <v>745</v>
      </c>
      <c r="E197" s="295" t="s">
        <v>691</v>
      </c>
    </row>
    <row r="198" spans="2:5" x14ac:dyDescent="0.3">
      <c r="B198" s="299">
        <v>23355003</v>
      </c>
      <c r="C198" s="299" t="s">
        <v>834</v>
      </c>
      <c r="D198" s="295" t="s">
        <v>745</v>
      </c>
      <c r="E198" s="295" t="s">
        <v>691</v>
      </c>
    </row>
    <row r="199" spans="2:5" x14ac:dyDescent="0.3">
      <c r="B199" s="298">
        <v>233555</v>
      </c>
      <c r="C199" s="298" t="s">
        <v>835</v>
      </c>
      <c r="D199" s="295" t="s">
        <v>745</v>
      </c>
      <c r="E199" s="295" t="s">
        <v>687</v>
      </c>
    </row>
    <row r="200" spans="2:5" x14ac:dyDescent="0.3">
      <c r="B200" s="299">
        <v>23355501</v>
      </c>
      <c r="C200" s="299" t="s">
        <v>836</v>
      </c>
      <c r="D200" s="295" t="s">
        <v>745</v>
      </c>
      <c r="E200" s="295" t="s">
        <v>691</v>
      </c>
    </row>
    <row r="201" spans="2:5" x14ac:dyDescent="0.3">
      <c r="B201" s="298">
        <v>233595</v>
      </c>
      <c r="C201" s="298" t="s">
        <v>743</v>
      </c>
      <c r="D201" s="295" t="s">
        <v>745</v>
      </c>
      <c r="E201" s="295" t="s">
        <v>687</v>
      </c>
    </row>
    <row r="202" spans="2:5" x14ac:dyDescent="0.3">
      <c r="B202" s="299">
        <v>23359501</v>
      </c>
      <c r="C202" s="299" t="s">
        <v>743</v>
      </c>
      <c r="D202" s="295" t="s">
        <v>745</v>
      </c>
      <c r="E202" s="295" t="s">
        <v>691</v>
      </c>
    </row>
    <row r="203" spans="2:5" x14ac:dyDescent="0.3">
      <c r="B203" s="297">
        <v>2355</v>
      </c>
      <c r="C203" s="297" t="s">
        <v>837</v>
      </c>
      <c r="D203" s="295" t="s">
        <v>745</v>
      </c>
      <c r="E203" s="295" t="s">
        <v>687</v>
      </c>
    </row>
    <row r="204" spans="2:5" x14ac:dyDescent="0.3">
      <c r="B204" s="298">
        <v>235505</v>
      </c>
      <c r="C204" s="298" t="s">
        <v>837</v>
      </c>
      <c r="D204" s="295" t="s">
        <v>745</v>
      </c>
      <c r="E204" s="295" t="s">
        <v>687</v>
      </c>
    </row>
    <row r="205" spans="2:5" x14ac:dyDescent="0.3">
      <c r="B205" s="299">
        <v>23550501</v>
      </c>
      <c r="C205" s="299" t="s">
        <v>838</v>
      </c>
      <c r="D205" s="295" t="s">
        <v>745</v>
      </c>
      <c r="E205" s="295" t="s">
        <v>691</v>
      </c>
    </row>
    <row r="206" spans="2:5" x14ac:dyDescent="0.3">
      <c r="B206" s="297">
        <v>2365</v>
      </c>
      <c r="C206" s="297" t="s">
        <v>726</v>
      </c>
      <c r="D206" s="295" t="s">
        <v>745</v>
      </c>
      <c r="E206" s="295" t="s">
        <v>687</v>
      </c>
    </row>
    <row r="207" spans="2:5" x14ac:dyDescent="0.3">
      <c r="B207" s="298">
        <v>236515</v>
      </c>
      <c r="C207" s="298" t="s">
        <v>839</v>
      </c>
      <c r="D207" s="295" t="s">
        <v>745</v>
      </c>
      <c r="E207" s="295" t="s">
        <v>687</v>
      </c>
    </row>
    <row r="208" spans="2:5" x14ac:dyDescent="0.3">
      <c r="B208" s="299">
        <v>23651501</v>
      </c>
      <c r="C208" s="299" t="s">
        <v>840</v>
      </c>
      <c r="D208" s="295" t="s">
        <v>745</v>
      </c>
      <c r="E208" s="295" t="s">
        <v>691</v>
      </c>
    </row>
    <row r="209" spans="2:5" x14ac:dyDescent="0.3">
      <c r="B209" s="299">
        <v>23651502</v>
      </c>
      <c r="C209" s="299" t="s">
        <v>841</v>
      </c>
      <c r="D209" s="295" t="s">
        <v>745</v>
      </c>
      <c r="E209" s="295" t="s">
        <v>691</v>
      </c>
    </row>
    <row r="210" spans="2:5" x14ac:dyDescent="0.3">
      <c r="B210" s="299">
        <v>23651503</v>
      </c>
      <c r="C210" s="299" t="s">
        <v>842</v>
      </c>
      <c r="D210" s="295" t="s">
        <v>745</v>
      </c>
      <c r="E210" s="295" t="s">
        <v>691</v>
      </c>
    </row>
    <row r="211" spans="2:5" x14ac:dyDescent="0.3">
      <c r="B211" s="299">
        <v>23651504</v>
      </c>
      <c r="C211" s="299" t="s">
        <v>843</v>
      </c>
      <c r="D211" s="295" t="s">
        <v>745</v>
      </c>
      <c r="E211" s="295" t="s">
        <v>691</v>
      </c>
    </row>
    <row r="212" spans="2:5" x14ac:dyDescent="0.3">
      <c r="B212" s="298">
        <v>236525</v>
      </c>
      <c r="C212" s="298" t="s">
        <v>844</v>
      </c>
      <c r="D212" s="295" t="s">
        <v>745</v>
      </c>
      <c r="E212" s="295" t="s">
        <v>687</v>
      </c>
    </row>
    <row r="213" spans="2:5" x14ac:dyDescent="0.3">
      <c r="B213" s="299">
        <v>23652501</v>
      </c>
      <c r="C213" s="299" t="s">
        <v>845</v>
      </c>
      <c r="D213" s="295" t="s">
        <v>745</v>
      </c>
      <c r="E213" s="295" t="s">
        <v>691</v>
      </c>
    </row>
    <row r="214" spans="2:5" x14ac:dyDescent="0.3">
      <c r="B214" s="299">
        <v>23652502</v>
      </c>
      <c r="C214" s="299" t="s">
        <v>846</v>
      </c>
      <c r="D214" s="295" t="s">
        <v>745</v>
      </c>
      <c r="E214" s="295" t="s">
        <v>691</v>
      </c>
    </row>
    <row r="215" spans="2:5" x14ac:dyDescent="0.3">
      <c r="B215" s="299">
        <v>23652503</v>
      </c>
      <c r="C215" s="299" t="s">
        <v>847</v>
      </c>
      <c r="D215" s="295" t="s">
        <v>745</v>
      </c>
      <c r="E215" s="295" t="s">
        <v>691</v>
      </c>
    </row>
    <row r="216" spans="2:5" x14ac:dyDescent="0.3">
      <c r="B216" s="299">
        <v>23652504</v>
      </c>
      <c r="C216" s="299" t="s">
        <v>848</v>
      </c>
      <c r="D216" s="295" t="s">
        <v>745</v>
      </c>
      <c r="E216" s="295" t="s">
        <v>691</v>
      </c>
    </row>
    <row r="217" spans="2:5" x14ac:dyDescent="0.3">
      <c r="B217" s="299">
        <v>23652505</v>
      </c>
      <c r="C217" s="299" t="s">
        <v>849</v>
      </c>
      <c r="D217" s="295" t="s">
        <v>745</v>
      </c>
      <c r="E217" s="295" t="s">
        <v>691</v>
      </c>
    </row>
    <row r="218" spans="2:5" x14ac:dyDescent="0.3">
      <c r="B218" s="299">
        <v>23652506</v>
      </c>
      <c r="C218" s="299" t="s">
        <v>850</v>
      </c>
      <c r="D218" s="295" t="s">
        <v>745</v>
      </c>
      <c r="E218" s="295" t="s">
        <v>691</v>
      </c>
    </row>
    <row r="219" spans="2:5" x14ac:dyDescent="0.3">
      <c r="B219" s="298">
        <v>236530</v>
      </c>
      <c r="C219" s="298" t="s">
        <v>828</v>
      </c>
      <c r="D219" s="295" t="s">
        <v>745</v>
      </c>
      <c r="E219" s="295" t="s">
        <v>687</v>
      </c>
    </row>
    <row r="220" spans="2:5" x14ac:dyDescent="0.3">
      <c r="B220" s="299">
        <v>23653001</v>
      </c>
      <c r="C220" s="299" t="s">
        <v>851</v>
      </c>
      <c r="D220" s="295" t="s">
        <v>745</v>
      </c>
      <c r="E220" s="295" t="s">
        <v>691</v>
      </c>
    </row>
    <row r="221" spans="2:5" x14ac:dyDescent="0.3">
      <c r="B221" s="299">
        <v>23653002</v>
      </c>
      <c r="C221" s="299" t="s">
        <v>852</v>
      </c>
      <c r="D221" s="295" t="s">
        <v>745</v>
      </c>
      <c r="E221" s="295" t="s">
        <v>691</v>
      </c>
    </row>
    <row r="222" spans="2:5" x14ac:dyDescent="0.3">
      <c r="B222" s="299">
        <v>23653003</v>
      </c>
      <c r="C222" s="299" t="s">
        <v>853</v>
      </c>
      <c r="D222" s="295" t="s">
        <v>745</v>
      </c>
      <c r="E222" s="295" t="s">
        <v>691</v>
      </c>
    </row>
    <row r="223" spans="2:5" x14ac:dyDescent="0.3">
      <c r="B223" s="298">
        <v>236535</v>
      </c>
      <c r="C223" s="298" t="s">
        <v>854</v>
      </c>
      <c r="D223" s="295" t="s">
        <v>745</v>
      </c>
      <c r="E223" s="295" t="s">
        <v>687</v>
      </c>
    </row>
    <row r="224" spans="2:5" x14ac:dyDescent="0.3">
      <c r="B224" s="299">
        <v>23653501</v>
      </c>
      <c r="C224" s="299" t="s">
        <v>855</v>
      </c>
      <c r="D224" s="295" t="s">
        <v>745</v>
      </c>
      <c r="E224" s="295" t="s">
        <v>691</v>
      </c>
    </row>
    <row r="225" spans="2:5" x14ac:dyDescent="0.3">
      <c r="B225" s="298">
        <v>236540</v>
      </c>
      <c r="C225" s="298" t="s">
        <v>660</v>
      </c>
      <c r="D225" s="295" t="s">
        <v>745</v>
      </c>
      <c r="E225" s="295" t="s">
        <v>687</v>
      </c>
    </row>
    <row r="226" spans="2:5" x14ac:dyDescent="0.3">
      <c r="B226" s="299">
        <v>23654001</v>
      </c>
      <c r="C226" s="299" t="s">
        <v>856</v>
      </c>
      <c r="D226" s="295" t="s">
        <v>745</v>
      </c>
      <c r="E226" s="295" t="s">
        <v>691</v>
      </c>
    </row>
    <row r="227" spans="2:5" x14ac:dyDescent="0.3">
      <c r="B227" s="299">
        <v>23654002</v>
      </c>
      <c r="C227" s="299" t="s">
        <v>857</v>
      </c>
      <c r="D227" s="295" t="s">
        <v>745</v>
      </c>
      <c r="E227" s="295" t="s">
        <v>691</v>
      </c>
    </row>
    <row r="228" spans="2:5" x14ac:dyDescent="0.3">
      <c r="B228" s="298">
        <v>236560</v>
      </c>
      <c r="C228" s="298" t="s">
        <v>858</v>
      </c>
      <c r="D228" s="295" t="s">
        <v>745</v>
      </c>
      <c r="E228" s="295" t="s">
        <v>687</v>
      </c>
    </row>
    <row r="229" spans="2:5" x14ac:dyDescent="0.3">
      <c r="B229" s="299">
        <v>23654001</v>
      </c>
      <c r="C229" s="299" t="s">
        <v>858</v>
      </c>
      <c r="D229" s="295" t="s">
        <v>745</v>
      </c>
      <c r="E229" s="295" t="s">
        <v>691</v>
      </c>
    </row>
    <row r="230" spans="2:5" x14ac:dyDescent="0.3">
      <c r="B230" s="298">
        <v>236570</v>
      </c>
      <c r="C230" s="298" t="s">
        <v>859</v>
      </c>
      <c r="D230" s="295" t="s">
        <v>745</v>
      </c>
      <c r="E230" s="295" t="s">
        <v>687</v>
      </c>
    </row>
    <row r="231" spans="2:5" x14ac:dyDescent="0.3">
      <c r="B231" s="299">
        <v>23654501</v>
      </c>
      <c r="C231" s="299" t="s">
        <v>860</v>
      </c>
      <c r="D231" s="295" t="s">
        <v>745</v>
      </c>
      <c r="E231" s="295" t="s">
        <v>691</v>
      </c>
    </row>
    <row r="232" spans="2:5" x14ac:dyDescent="0.3">
      <c r="B232" s="299">
        <v>23654502</v>
      </c>
      <c r="C232" s="299" t="s">
        <v>861</v>
      </c>
      <c r="D232" s="295" t="s">
        <v>745</v>
      </c>
      <c r="E232" s="295" t="s">
        <v>691</v>
      </c>
    </row>
    <row r="233" spans="2:5" x14ac:dyDescent="0.3">
      <c r="B233" s="298">
        <v>236575</v>
      </c>
      <c r="C233" s="298" t="s">
        <v>729</v>
      </c>
      <c r="D233" s="295" t="s">
        <v>745</v>
      </c>
      <c r="E233" s="295" t="s">
        <v>687</v>
      </c>
    </row>
    <row r="234" spans="2:5" x14ac:dyDescent="0.3">
      <c r="B234" s="299">
        <v>23657501</v>
      </c>
      <c r="C234" s="299" t="s">
        <v>730</v>
      </c>
      <c r="D234" s="295" t="s">
        <v>745</v>
      </c>
      <c r="E234" s="295" t="s">
        <v>691</v>
      </c>
    </row>
    <row r="235" spans="2:5" x14ac:dyDescent="0.3">
      <c r="B235" s="298">
        <v>236590</v>
      </c>
      <c r="C235" s="298" t="s">
        <v>862</v>
      </c>
      <c r="D235" s="295" t="s">
        <v>745</v>
      </c>
      <c r="E235" s="295" t="s">
        <v>687</v>
      </c>
    </row>
    <row r="236" spans="2:5" x14ac:dyDescent="0.3">
      <c r="B236" s="299">
        <v>23659001</v>
      </c>
      <c r="C236" s="299" t="s">
        <v>862</v>
      </c>
      <c r="D236" s="295" t="s">
        <v>745</v>
      </c>
      <c r="E236" s="295" t="s">
        <v>691</v>
      </c>
    </row>
    <row r="237" spans="2:5" x14ac:dyDescent="0.3">
      <c r="B237" s="297">
        <v>2368</v>
      </c>
      <c r="C237" s="297" t="s">
        <v>863</v>
      </c>
      <c r="D237" s="295" t="s">
        <v>745</v>
      </c>
      <c r="E237" s="295" t="s">
        <v>687</v>
      </c>
    </row>
    <row r="238" spans="2:5" x14ac:dyDescent="0.3">
      <c r="B238" s="298">
        <v>236805</v>
      </c>
      <c r="C238" s="298" t="s">
        <v>864</v>
      </c>
      <c r="D238" s="295" t="s">
        <v>745</v>
      </c>
      <c r="E238" s="295" t="s">
        <v>687</v>
      </c>
    </row>
    <row r="239" spans="2:5" x14ac:dyDescent="0.3">
      <c r="B239" s="299">
        <v>23680501</v>
      </c>
      <c r="C239" s="299" t="s">
        <v>865</v>
      </c>
      <c r="D239" s="295" t="s">
        <v>745</v>
      </c>
      <c r="E239" s="295" t="s">
        <v>691</v>
      </c>
    </row>
    <row r="240" spans="2:5" x14ac:dyDescent="0.3">
      <c r="B240" s="299">
        <v>23680502</v>
      </c>
      <c r="C240" s="299" t="s">
        <v>866</v>
      </c>
      <c r="D240" s="295" t="s">
        <v>745</v>
      </c>
      <c r="E240" s="295" t="s">
        <v>691</v>
      </c>
    </row>
    <row r="241" spans="2:5" x14ac:dyDescent="0.3">
      <c r="B241" s="299">
        <v>23680503</v>
      </c>
      <c r="C241" s="299" t="s">
        <v>867</v>
      </c>
      <c r="D241" s="295" t="s">
        <v>745</v>
      </c>
      <c r="E241" s="295" t="s">
        <v>691</v>
      </c>
    </row>
    <row r="242" spans="2:5" x14ac:dyDescent="0.3">
      <c r="B242" s="297">
        <v>2380</v>
      </c>
      <c r="C242" s="297" t="s">
        <v>868</v>
      </c>
      <c r="D242" s="295" t="s">
        <v>745</v>
      </c>
      <c r="E242" s="295" t="s">
        <v>687</v>
      </c>
    </row>
    <row r="243" spans="2:5" x14ac:dyDescent="0.3">
      <c r="B243" s="298">
        <v>238005</v>
      </c>
      <c r="C243" s="298" t="s">
        <v>818</v>
      </c>
      <c r="D243" s="295" t="s">
        <v>745</v>
      </c>
      <c r="E243" s="295" t="s">
        <v>687</v>
      </c>
    </row>
    <row r="244" spans="2:5" x14ac:dyDescent="0.3">
      <c r="B244" s="299">
        <v>23800501</v>
      </c>
      <c r="C244" s="299" t="s">
        <v>818</v>
      </c>
      <c r="D244" s="295" t="s">
        <v>745</v>
      </c>
      <c r="E244" s="295" t="s">
        <v>691</v>
      </c>
    </row>
    <row r="245" spans="2:5" x14ac:dyDescent="0.3">
      <c r="B245" s="296">
        <v>24</v>
      </c>
      <c r="C245" s="296" t="s">
        <v>869</v>
      </c>
      <c r="D245" s="295" t="s">
        <v>745</v>
      </c>
      <c r="E245" s="295" t="s">
        <v>687</v>
      </c>
    </row>
    <row r="246" spans="2:5" x14ac:dyDescent="0.3">
      <c r="B246" s="297">
        <v>2404</v>
      </c>
      <c r="C246" s="297" t="s">
        <v>870</v>
      </c>
      <c r="D246" s="295" t="s">
        <v>745</v>
      </c>
      <c r="E246" s="295" t="s">
        <v>687</v>
      </c>
    </row>
    <row r="247" spans="2:5" x14ac:dyDescent="0.3">
      <c r="B247" s="298">
        <v>240405</v>
      </c>
      <c r="C247" s="298" t="s">
        <v>871</v>
      </c>
      <c r="D247" s="295" t="s">
        <v>745</v>
      </c>
      <c r="E247" s="295" t="s">
        <v>687</v>
      </c>
    </row>
    <row r="248" spans="2:5" x14ac:dyDescent="0.3">
      <c r="B248" s="299">
        <v>24040501</v>
      </c>
      <c r="C248" s="299" t="s">
        <v>872</v>
      </c>
      <c r="D248" s="295" t="s">
        <v>745</v>
      </c>
      <c r="E248" s="295" t="s">
        <v>691</v>
      </c>
    </row>
    <row r="249" spans="2:5" x14ac:dyDescent="0.3">
      <c r="B249" s="298">
        <v>240410</v>
      </c>
      <c r="C249" s="298" t="s">
        <v>873</v>
      </c>
      <c r="D249" s="295" t="s">
        <v>745</v>
      </c>
      <c r="E249" s="295" t="s">
        <v>687</v>
      </c>
    </row>
    <row r="250" spans="2:5" x14ac:dyDescent="0.3">
      <c r="B250" s="297">
        <v>2408</v>
      </c>
      <c r="C250" s="297" t="s">
        <v>874</v>
      </c>
      <c r="D250" s="295" t="s">
        <v>745</v>
      </c>
      <c r="E250" s="295" t="s">
        <v>687</v>
      </c>
    </row>
    <row r="251" spans="2:5" x14ac:dyDescent="0.3">
      <c r="B251" s="298">
        <v>240801</v>
      </c>
      <c r="C251" s="298" t="s">
        <v>875</v>
      </c>
      <c r="D251" s="295" t="s">
        <v>745</v>
      </c>
      <c r="E251" s="295" t="s">
        <v>687</v>
      </c>
    </row>
    <row r="252" spans="2:5" x14ac:dyDescent="0.3">
      <c r="B252" s="299">
        <v>24080101</v>
      </c>
      <c r="C252" s="299" t="s">
        <v>876</v>
      </c>
      <c r="D252" s="295" t="s">
        <v>745</v>
      </c>
      <c r="E252" s="295" t="s">
        <v>691</v>
      </c>
    </row>
    <row r="253" spans="2:5" x14ac:dyDescent="0.3">
      <c r="B253" s="298">
        <v>240806</v>
      </c>
      <c r="C253" s="298" t="s">
        <v>877</v>
      </c>
      <c r="D253" s="295" t="s">
        <v>745</v>
      </c>
      <c r="E253" s="295" t="s">
        <v>687</v>
      </c>
    </row>
    <row r="254" spans="2:5" x14ac:dyDescent="0.3">
      <c r="B254" s="299">
        <v>24080601</v>
      </c>
      <c r="C254" s="299" t="s">
        <v>878</v>
      </c>
      <c r="D254" s="295" t="s">
        <v>745</v>
      </c>
      <c r="E254" s="295" t="s">
        <v>691</v>
      </c>
    </row>
    <row r="255" spans="2:5" x14ac:dyDescent="0.3">
      <c r="B255" s="298">
        <v>240808</v>
      </c>
      <c r="C255" s="298" t="s">
        <v>879</v>
      </c>
      <c r="D255" s="295" t="s">
        <v>686</v>
      </c>
      <c r="E255" s="295" t="s">
        <v>687</v>
      </c>
    </row>
    <row r="256" spans="2:5" x14ac:dyDescent="0.3">
      <c r="B256" s="299">
        <v>24080801</v>
      </c>
      <c r="C256" s="299" t="s">
        <v>880</v>
      </c>
      <c r="D256" s="295" t="s">
        <v>686</v>
      </c>
      <c r="E256" s="295" t="s">
        <v>691</v>
      </c>
    </row>
    <row r="257" spans="2:5" x14ac:dyDescent="0.3">
      <c r="B257" s="298">
        <v>240815</v>
      </c>
      <c r="C257" s="298" t="s">
        <v>881</v>
      </c>
      <c r="D257" s="295" t="s">
        <v>686</v>
      </c>
      <c r="E257" s="295" t="s">
        <v>687</v>
      </c>
    </row>
    <row r="258" spans="2:5" x14ac:dyDescent="0.3">
      <c r="B258" s="299">
        <v>24081501</v>
      </c>
      <c r="C258" s="299" t="s">
        <v>880</v>
      </c>
      <c r="D258" s="295" t="s">
        <v>686</v>
      </c>
      <c r="E258" s="295" t="s">
        <v>691</v>
      </c>
    </row>
    <row r="259" spans="2:5" x14ac:dyDescent="0.3">
      <c r="B259" s="298">
        <v>240875</v>
      </c>
      <c r="C259" s="298" t="s">
        <v>882</v>
      </c>
      <c r="D259" s="295" t="s">
        <v>686</v>
      </c>
      <c r="E259" s="295" t="s">
        <v>687</v>
      </c>
    </row>
    <row r="260" spans="2:5" x14ac:dyDescent="0.3">
      <c r="B260" s="299">
        <v>24087501</v>
      </c>
      <c r="C260" s="299" t="s">
        <v>883</v>
      </c>
      <c r="D260" s="295" t="s">
        <v>686</v>
      </c>
      <c r="E260" s="295" t="s">
        <v>691</v>
      </c>
    </row>
    <row r="261" spans="2:5" x14ac:dyDescent="0.3">
      <c r="B261" s="299">
        <v>24087502</v>
      </c>
      <c r="C261" s="299" t="s">
        <v>884</v>
      </c>
      <c r="D261" s="295" t="s">
        <v>686</v>
      </c>
      <c r="E261" s="295" t="s">
        <v>691</v>
      </c>
    </row>
    <row r="262" spans="2:5" x14ac:dyDescent="0.3">
      <c r="B262" s="298">
        <v>240890</v>
      </c>
      <c r="C262" s="298" t="s">
        <v>885</v>
      </c>
      <c r="D262" s="295" t="s">
        <v>745</v>
      </c>
      <c r="E262" s="295" t="s">
        <v>687</v>
      </c>
    </row>
    <row r="263" spans="2:5" x14ac:dyDescent="0.3">
      <c r="B263" s="299">
        <v>24089001</v>
      </c>
      <c r="C263" s="299" t="s">
        <v>886</v>
      </c>
      <c r="D263" s="295" t="s">
        <v>745</v>
      </c>
      <c r="E263" s="295" t="s">
        <v>691</v>
      </c>
    </row>
    <row r="264" spans="2:5" x14ac:dyDescent="0.3">
      <c r="B264" s="297">
        <v>2412</v>
      </c>
      <c r="C264" s="297" t="s">
        <v>887</v>
      </c>
      <c r="D264" s="295" t="s">
        <v>745</v>
      </c>
      <c r="E264" s="295" t="s">
        <v>687</v>
      </c>
    </row>
    <row r="265" spans="2:5" x14ac:dyDescent="0.3">
      <c r="B265" s="298">
        <v>241205</v>
      </c>
      <c r="C265" s="298" t="s">
        <v>871</v>
      </c>
      <c r="D265" s="295" t="s">
        <v>745</v>
      </c>
      <c r="E265" s="295" t="s">
        <v>687</v>
      </c>
    </row>
    <row r="266" spans="2:5" x14ac:dyDescent="0.3">
      <c r="B266" s="299">
        <v>24120501</v>
      </c>
      <c r="C266" s="299" t="s">
        <v>872</v>
      </c>
      <c r="D266" s="295" t="s">
        <v>745</v>
      </c>
      <c r="E266" s="295" t="s">
        <v>691</v>
      </c>
    </row>
    <row r="267" spans="2:5" x14ac:dyDescent="0.3">
      <c r="B267" s="298">
        <v>241210</v>
      </c>
      <c r="C267" s="298" t="s">
        <v>888</v>
      </c>
      <c r="D267" s="295" t="s">
        <v>745</v>
      </c>
      <c r="E267" s="295" t="s">
        <v>687</v>
      </c>
    </row>
    <row r="268" spans="2:5" x14ac:dyDescent="0.3">
      <c r="B268" s="299">
        <v>24121001</v>
      </c>
      <c r="C268" s="299" t="s">
        <v>888</v>
      </c>
      <c r="D268" s="295" t="s">
        <v>745</v>
      </c>
      <c r="E268" s="295" t="s">
        <v>691</v>
      </c>
    </row>
    <row r="269" spans="2:5" x14ac:dyDescent="0.3">
      <c r="B269" s="296">
        <v>25</v>
      </c>
      <c r="C269" s="296" t="s">
        <v>889</v>
      </c>
      <c r="D269" s="295" t="s">
        <v>745</v>
      </c>
      <c r="E269" s="295" t="s">
        <v>687</v>
      </c>
    </row>
    <row r="270" spans="2:5" x14ac:dyDescent="0.3">
      <c r="B270" s="297">
        <v>2505</v>
      </c>
      <c r="C270" s="297" t="s">
        <v>890</v>
      </c>
      <c r="D270" s="295" t="s">
        <v>745</v>
      </c>
      <c r="E270" s="295" t="s">
        <v>687</v>
      </c>
    </row>
    <row r="271" spans="2:5" x14ac:dyDescent="0.3">
      <c r="B271" s="298">
        <v>250505</v>
      </c>
      <c r="C271" s="298" t="s">
        <v>891</v>
      </c>
      <c r="D271" s="295" t="s">
        <v>745</v>
      </c>
      <c r="E271" s="295" t="s">
        <v>687</v>
      </c>
    </row>
    <row r="272" spans="2:5" x14ac:dyDescent="0.3">
      <c r="B272" s="299">
        <v>25050501</v>
      </c>
      <c r="C272" s="299" t="s">
        <v>892</v>
      </c>
      <c r="D272" s="295" t="s">
        <v>745</v>
      </c>
      <c r="E272" s="295" t="s">
        <v>691</v>
      </c>
    </row>
    <row r="273" spans="2:5" x14ac:dyDescent="0.3">
      <c r="B273" s="297">
        <v>2510</v>
      </c>
      <c r="C273" s="297" t="s">
        <v>893</v>
      </c>
      <c r="D273" s="295" t="s">
        <v>745</v>
      </c>
      <c r="E273" s="295" t="s">
        <v>687</v>
      </c>
    </row>
    <row r="274" spans="2:5" x14ac:dyDescent="0.3">
      <c r="B274" s="298">
        <v>251010</v>
      </c>
      <c r="C274" s="298" t="s">
        <v>894</v>
      </c>
      <c r="D274" s="295" t="s">
        <v>745</v>
      </c>
      <c r="E274" s="295" t="s">
        <v>687</v>
      </c>
    </row>
    <row r="275" spans="2:5" x14ac:dyDescent="0.3">
      <c r="B275" s="299">
        <v>25101001</v>
      </c>
      <c r="C275" s="299" t="s">
        <v>895</v>
      </c>
      <c r="D275" s="295" t="s">
        <v>745</v>
      </c>
      <c r="E275" s="295" t="s">
        <v>691</v>
      </c>
    </row>
    <row r="276" spans="2:5" x14ac:dyDescent="0.3">
      <c r="B276" s="299">
        <v>25101090</v>
      </c>
      <c r="C276" s="299" t="s">
        <v>896</v>
      </c>
      <c r="D276" s="295" t="s">
        <v>745</v>
      </c>
      <c r="E276" s="295" t="s">
        <v>691</v>
      </c>
    </row>
    <row r="277" spans="2:5" x14ac:dyDescent="0.3">
      <c r="B277" s="297">
        <v>2515</v>
      </c>
      <c r="C277" s="297" t="s">
        <v>897</v>
      </c>
      <c r="D277" s="295" t="s">
        <v>745</v>
      </c>
      <c r="E277" s="295" t="s">
        <v>687</v>
      </c>
    </row>
    <row r="278" spans="2:5" x14ac:dyDescent="0.3">
      <c r="B278" s="298">
        <v>251505</v>
      </c>
      <c r="C278" s="298" t="s">
        <v>897</v>
      </c>
      <c r="D278" s="295" t="s">
        <v>745</v>
      </c>
      <c r="E278" s="295" t="s">
        <v>687</v>
      </c>
    </row>
    <row r="279" spans="2:5" x14ac:dyDescent="0.3">
      <c r="B279" s="299">
        <v>25150501</v>
      </c>
      <c r="C279" s="299" t="s">
        <v>898</v>
      </c>
      <c r="D279" s="295" t="s">
        <v>745</v>
      </c>
      <c r="E279" s="295" t="s">
        <v>691</v>
      </c>
    </row>
    <row r="280" spans="2:5" x14ac:dyDescent="0.3">
      <c r="B280" s="299">
        <v>25150590</v>
      </c>
      <c r="C280" s="299" t="s">
        <v>899</v>
      </c>
      <c r="D280" s="295" t="s">
        <v>745</v>
      </c>
      <c r="E280" s="295" t="s">
        <v>691</v>
      </c>
    </row>
    <row r="281" spans="2:5" x14ac:dyDescent="0.3">
      <c r="B281" s="297">
        <v>2520</v>
      </c>
      <c r="C281" s="297" t="s">
        <v>900</v>
      </c>
      <c r="D281" s="295" t="s">
        <v>745</v>
      </c>
      <c r="E281" s="295" t="s">
        <v>687</v>
      </c>
    </row>
    <row r="282" spans="2:5" x14ac:dyDescent="0.3">
      <c r="B282" s="298">
        <v>252005</v>
      </c>
      <c r="C282" s="298" t="s">
        <v>900</v>
      </c>
      <c r="D282" s="295" t="s">
        <v>745</v>
      </c>
      <c r="E282" s="295" t="s">
        <v>687</v>
      </c>
    </row>
    <row r="283" spans="2:5" x14ac:dyDescent="0.3">
      <c r="B283" s="299">
        <v>25200501</v>
      </c>
      <c r="C283" s="299" t="s">
        <v>901</v>
      </c>
      <c r="D283" s="295" t="s">
        <v>745</v>
      </c>
      <c r="E283" s="295" t="s">
        <v>691</v>
      </c>
    </row>
    <row r="284" spans="2:5" x14ac:dyDescent="0.3">
      <c r="B284" s="299">
        <v>25200590</v>
      </c>
      <c r="C284" s="299" t="s">
        <v>902</v>
      </c>
      <c r="D284" s="295" t="s">
        <v>745</v>
      </c>
      <c r="E284" s="295" t="s">
        <v>691</v>
      </c>
    </row>
    <row r="285" spans="2:5" x14ac:dyDescent="0.3">
      <c r="B285" s="297">
        <v>2525</v>
      </c>
      <c r="C285" s="297" t="s">
        <v>903</v>
      </c>
      <c r="D285" s="295" t="s">
        <v>745</v>
      </c>
      <c r="E285" s="295" t="s">
        <v>687</v>
      </c>
    </row>
    <row r="286" spans="2:5" x14ac:dyDescent="0.3">
      <c r="B286" s="298">
        <v>252510</v>
      </c>
      <c r="C286" s="298" t="s">
        <v>903</v>
      </c>
      <c r="D286" s="295" t="s">
        <v>745</v>
      </c>
      <c r="E286" s="295" t="s">
        <v>687</v>
      </c>
    </row>
    <row r="287" spans="2:5" x14ac:dyDescent="0.3">
      <c r="B287" s="299">
        <v>25251001</v>
      </c>
      <c r="C287" s="299" t="s">
        <v>904</v>
      </c>
      <c r="D287" s="295" t="s">
        <v>745</v>
      </c>
      <c r="E287" s="295" t="s">
        <v>691</v>
      </c>
    </row>
    <row r="288" spans="2:5" x14ac:dyDescent="0.3">
      <c r="B288" s="299">
        <v>25251090</v>
      </c>
      <c r="C288" s="299" t="s">
        <v>905</v>
      </c>
      <c r="D288" s="295" t="s">
        <v>745</v>
      </c>
      <c r="E288" s="295" t="s">
        <v>691</v>
      </c>
    </row>
    <row r="289" spans="2:5" x14ac:dyDescent="0.3">
      <c r="B289" s="297">
        <v>2540</v>
      </c>
      <c r="C289" s="297" t="s">
        <v>906</v>
      </c>
      <c r="D289" s="295" t="s">
        <v>745</v>
      </c>
      <c r="E289" s="295" t="s">
        <v>687</v>
      </c>
    </row>
    <row r="290" spans="2:5" x14ac:dyDescent="0.3">
      <c r="B290" s="298">
        <v>254005</v>
      </c>
      <c r="C290" s="298" t="s">
        <v>906</v>
      </c>
      <c r="D290" s="295" t="s">
        <v>745</v>
      </c>
      <c r="E290" s="295" t="s">
        <v>687</v>
      </c>
    </row>
    <row r="291" spans="2:5" x14ac:dyDescent="0.3">
      <c r="B291" s="299">
        <v>25400501</v>
      </c>
      <c r="C291" s="299" t="s">
        <v>906</v>
      </c>
      <c r="D291" s="295" t="s">
        <v>745</v>
      </c>
      <c r="E291" s="295" t="s">
        <v>691</v>
      </c>
    </row>
    <row r="292" spans="2:5" x14ac:dyDescent="0.3">
      <c r="B292" s="297">
        <v>2570</v>
      </c>
      <c r="C292" s="297" t="s">
        <v>907</v>
      </c>
      <c r="D292" s="295" t="s">
        <v>745</v>
      </c>
      <c r="E292" s="295" t="s">
        <v>687</v>
      </c>
    </row>
    <row r="293" spans="2:5" x14ac:dyDescent="0.3">
      <c r="B293" s="298">
        <v>257005</v>
      </c>
      <c r="C293" s="298" t="s">
        <v>908</v>
      </c>
      <c r="D293" s="295" t="s">
        <v>745</v>
      </c>
      <c r="E293" s="295" t="s">
        <v>687</v>
      </c>
    </row>
    <row r="294" spans="2:5" x14ac:dyDescent="0.3">
      <c r="B294" s="299">
        <v>25700501</v>
      </c>
      <c r="C294" s="299" t="s">
        <v>909</v>
      </c>
      <c r="D294" s="295" t="s">
        <v>745</v>
      </c>
      <c r="E294" s="295" t="s">
        <v>691</v>
      </c>
    </row>
    <row r="295" spans="2:5" x14ac:dyDescent="0.3">
      <c r="B295" s="298">
        <v>257006</v>
      </c>
      <c r="C295" s="298" t="s">
        <v>910</v>
      </c>
      <c r="D295" s="295" t="s">
        <v>745</v>
      </c>
      <c r="E295" s="295" t="s">
        <v>687</v>
      </c>
    </row>
    <row r="296" spans="2:5" x14ac:dyDescent="0.3">
      <c r="B296" s="299">
        <v>25700601</v>
      </c>
      <c r="C296" s="299" t="s">
        <v>911</v>
      </c>
      <c r="D296" s="295" t="s">
        <v>745</v>
      </c>
      <c r="E296" s="295" t="s">
        <v>691</v>
      </c>
    </row>
    <row r="297" spans="2:5" x14ac:dyDescent="0.3">
      <c r="B297" s="298">
        <v>257010</v>
      </c>
      <c r="C297" s="298" t="s">
        <v>912</v>
      </c>
      <c r="D297" s="295" t="s">
        <v>745</v>
      </c>
      <c r="E297" s="295" t="s">
        <v>687</v>
      </c>
    </row>
    <row r="298" spans="2:5" x14ac:dyDescent="0.3">
      <c r="B298" s="299">
        <v>25701001</v>
      </c>
      <c r="C298" s="299" t="s">
        <v>913</v>
      </c>
      <c r="D298" s="295" t="s">
        <v>745</v>
      </c>
      <c r="E298" s="295" t="s">
        <v>691</v>
      </c>
    </row>
    <row r="299" spans="2:5" x14ac:dyDescent="0.3">
      <c r="B299" s="298">
        <v>257025</v>
      </c>
      <c r="C299" s="298" t="s">
        <v>914</v>
      </c>
      <c r="D299" s="295" t="s">
        <v>745</v>
      </c>
      <c r="E299" s="295" t="s">
        <v>687</v>
      </c>
    </row>
    <row r="300" spans="2:5" x14ac:dyDescent="0.3">
      <c r="B300" s="299">
        <v>25702501</v>
      </c>
      <c r="C300" s="299" t="s">
        <v>914</v>
      </c>
      <c r="D300" s="295" t="s">
        <v>745</v>
      </c>
      <c r="E300" s="295" t="s">
        <v>691</v>
      </c>
    </row>
    <row r="301" spans="2:5" x14ac:dyDescent="0.3">
      <c r="B301" s="298">
        <v>257045</v>
      </c>
      <c r="C301" s="298" t="s">
        <v>915</v>
      </c>
      <c r="D301" s="295" t="s">
        <v>745</v>
      </c>
      <c r="E301" s="295" t="s">
        <v>687</v>
      </c>
    </row>
    <row r="302" spans="2:5" x14ac:dyDescent="0.3">
      <c r="B302" s="299">
        <v>25704501</v>
      </c>
      <c r="C302" s="299" t="s">
        <v>916</v>
      </c>
      <c r="D302" s="295" t="s">
        <v>745</v>
      </c>
      <c r="E302" s="295" t="s">
        <v>691</v>
      </c>
    </row>
    <row r="303" spans="2:5" x14ac:dyDescent="0.3">
      <c r="B303" s="297">
        <v>2580</v>
      </c>
      <c r="C303" s="297" t="s">
        <v>917</v>
      </c>
      <c r="D303" s="295" t="s">
        <v>745</v>
      </c>
      <c r="E303" s="295" t="s">
        <v>687</v>
      </c>
    </row>
    <row r="304" spans="2:5" x14ac:dyDescent="0.3">
      <c r="B304" s="298">
        <v>258030</v>
      </c>
      <c r="C304" s="298" t="s">
        <v>918</v>
      </c>
      <c r="D304" s="295" t="s">
        <v>745</v>
      </c>
      <c r="E304" s="295" t="s">
        <v>687</v>
      </c>
    </row>
    <row r="305" spans="2:5" x14ac:dyDescent="0.3">
      <c r="B305" s="299">
        <v>25803001</v>
      </c>
      <c r="C305" s="299" t="s">
        <v>919</v>
      </c>
      <c r="D305" s="295" t="s">
        <v>745</v>
      </c>
      <c r="E305" s="295" t="s">
        <v>691</v>
      </c>
    </row>
    <row r="306" spans="2:5" x14ac:dyDescent="0.3">
      <c r="B306" s="296">
        <v>27</v>
      </c>
      <c r="C306" s="296" t="s">
        <v>804</v>
      </c>
      <c r="D306" s="295" t="s">
        <v>745</v>
      </c>
      <c r="E306" s="295" t="s">
        <v>687</v>
      </c>
    </row>
    <row r="307" spans="2:5" x14ac:dyDescent="0.3">
      <c r="B307" s="297">
        <v>2705</v>
      </c>
      <c r="C307" s="297" t="s">
        <v>920</v>
      </c>
      <c r="D307" s="295" t="s">
        <v>745</v>
      </c>
      <c r="E307" s="295" t="s">
        <v>687</v>
      </c>
    </row>
    <row r="308" spans="2:5" x14ac:dyDescent="0.3">
      <c r="B308" s="298">
        <v>270505</v>
      </c>
      <c r="C308" s="298" t="s">
        <v>921</v>
      </c>
      <c r="D308" s="295" t="s">
        <v>745</v>
      </c>
      <c r="E308" s="295" t="s">
        <v>687</v>
      </c>
    </row>
    <row r="309" spans="2:5" x14ac:dyDescent="0.3">
      <c r="B309" s="299">
        <v>27050501</v>
      </c>
      <c r="C309" s="299" t="s">
        <v>921</v>
      </c>
      <c r="D309" s="295" t="s">
        <v>745</v>
      </c>
      <c r="E309" s="295" t="s">
        <v>691</v>
      </c>
    </row>
    <row r="310" spans="2:5" x14ac:dyDescent="0.3">
      <c r="B310" s="296">
        <v>28</v>
      </c>
      <c r="C310" s="296" t="s">
        <v>922</v>
      </c>
      <c r="D310" s="295" t="s">
        <v>745</v>
      </c>
      <c r="E310" s="295" t="s">
        <v>687</v>
      </c>
    </row>
    <row r="311" spans="2:5" x14ac:dyDescent="0.3">
      <c r="B311" s="297">
        <v>2805</v>
      </c>
      <c r="C311" s="297" t="s">
        <v>923</v>
      </c>
      <c r="D311" s="295" t="s">
        <v>745</v>
      </c>
      <c r="E311" s="295" t="s">
        <v>687</v>
      </c>
    </row>
    <row r="312" spans="2:5" x14ac:dyDescent="0.3">
      <c r="B312" s="298">
        <v>280505</v>
      </c>
      <c r="C312" s="298" t="s">
        <v>921</v>
      </c>
      <c r="D312" s="295" t="s">
        <v>745</v>
      </c>
      <c r="E312" s="295" t="s">
        <v>687</v>
      </c>
    </row>
    <row r="313" spans="2:5" x14ac:dyDescent="0.3">
      <c r="B313" s="299">
        <v>28050501</v>
      </c>
      <c r="C313" s="299" t="s">
        <v>706</v>
      </c>
      <c r="D313" s="295" t="s">
        <v>745</v>
      </c>
      <c r="E313" s="295" t="s">
        <v>691</v>
      </c>
    </row>
    <row r="314" spans="2:5" x14ac:dyDescent="0.3">
      <c r="B314" s="297">
        <v>2810</v>
      </c>
      <c r="C314" s="297" t="s">
        <v>924</v>
      </c>
      <c r="D314" s="295" t="s">
        <v>745</v>
      </c>
      <c r="E314" s="295" t="s">
        <v>687</v>
      </c>
    </row>
    <row r="315" spans="2:5" x14ac:dyDescent="0.3">
      <c r="B315" s="298">
        <v>281005</v>
      </c>
      <c r="C315" s="298" t="s">
        <v>925</v>
      </c>
      <c r="D315" s="295" t="s">
        <v>745</v>
      </c>
      <c r="E315" s="295" t="s">
        <v>687</v>
      </c>
    </row>
    <row r="316" spans="2:5" x14ac:dyDescent="0.3">
      <c r="B316" s="299">
        <v>28100501</v>
      </c>
      <c r="C316" s="299" t="s">
        <v>925</v>
      </c>
      <c r="D316" s="295" t="s">
        <v>745</v>
      </c>
      <c r="E316" s="295" t="s">
        <v>691</v>
      </c>
    </row>
    <row r="317" spans="2:5" x14ac:dyDescent="0.3">
      <c r="B317" s="298">
        <v>281010</v>
      </c>
      <c r="C317" s="298" t="s">
        <v>921</v>
      </c>
      <c r="D317" s="295" t="s">
        <v>745</v>
      </c>
      <c r="E317" s="295" t="s">
        <v>687</v>
      </c>
    </row>
    <row r="318" spans="2:5" x14ac:dyDescent="0.3">
      <c r="B318" s="299">
        <v>28101001</v>
      </c>
      <c r="C318" s="299" t="s">
        <v>926</v>
      </c>
      <c r="D318" s="295" t="s">
        <v>745</v>
      </c>
      <c r="E318" s="295" t="s">
        <v>691</v>
      </c>
    </row>
    <row r="319" spans="2:5" x14ac:dyDescent="0.3">
      <c r="B319" s="297">
        <v>2815</v>
      </c>
      <c r="C319" s="297" t="s">
        <v>927</v>
      </c>
      <c r="D319" s="295" t="s">
        <v>745</v>
      </c>
      <c r="E319" s="295" t="s">
        <v>687</v>
      </c>
    </row>
    <row r="320" spans="2:5" x14ac:dyDescent="0.3">
      <c r="B320" s="298">
        <v>281505</v>
      </c>
      <c r="C320" s="298" t="s">
        <v>928</v>
      </c>
      <c r="D320" s="295" t="s">
        <v>745</v>
      </c>
      <c r="E320" s="295" t="s">
        <v>687</v>
      </c>
    </row>
    <row r="321" spans="2:5" x14ac:dyDescent="0.3">
      <c r="B321" s="299">
        <v>28150501</v>
      </c>
      <c r="C321" s="299" t="s">
        <v>928</v>
      </c>
      <c r="D321" s="295" t="s">
        <v>745</v>
      </c>
      <c r="E321" s="295" t="s">
        <v>691</v>
      </c>
    </row>
    <row r="322" spans="2:5" x14ac:dyDescent="0.3">
      <c r="B322" s="294">
        <v>3</v>
      </c>
      <c r="C322" s="294" t="s">
        <v>929</v>
      </c>
      <c r="D322" s="295" t="s">
        <v>745</v>
      </c>
      <c r="E322" s="295" t="s">
        <v>687</v>
      </c>
    </row>
    <row r="323" spans="2:5" x14ac:dyDescent="0.3">
      <c r="B323" s="296">
        <v>31</v>
      </c>
      <c r="C323" s="296" t="s">
        <v>930</v>
      </c>
      <c r="D323" s="295" t="s">
        <v>745</v>
      </c>
      <c r="E323" s="295" t="s">
        <v>687</v>
      </c>
    </row>
    <row r="324" spans="2:5" x14ac:dyDescent="0.3">
      <c r="B324" s="297">
        <v>3115</v>
      </c>
      <c r="C324" s="297" t="s">
        <v>931</v>
      </c>
      <c r="D324" s="295" t="s">
        <v>745</v>
      </c>
      <c r="E324" s="295" t="s">
        <v>687</v>
      </c>
    </row>
    <row r="325" spans="2:5" x14ac:dyDescent="0.3">
      <c r="B325" s="298">
        <v>311501</v>
      </c>
      <c r="C325" s="298" t="s">
        <v>931</v>
      </c>
      <c r="D325" s="295" t="s">
        <v>745</v>
      </c>
      <c r="E325" s="295" t="s">
        <v>687</v>
      </c>
    </row>
    <row r="326" spans="2:5" x14ac:dyDescent="0.3">
      <c r="B326" s="299">
        <v>31150101</v>
      </c>
      <c r="C326" s="299" t="s">
        <v>932</v>
      </c>
      <c r="D326" s="295" t="s">
        <v>745</v>
      </c>
      <c r="E326" s="295" t="s">
        <v>691</v>
      </c>
    </row>
    <row r="327" spans="2:5" x14ac:dyDescent="0.3">
      <c r="B327" s="296">
        <v>33</v>
      </c>
      <c r="C327" s="296" t="s">
        <v>933</v>
      </c>
      <c r="D327" s="295" t="s">
        <v>745</v>
      </c>
      <c r="E327" s="295" t="s">
        <v>687</v>
      </c>
    </row>
    <row r="328" spans="2:5" x14ac:dyDescent="0.3">
      <c r="B328" s="297">
        <v>3305</v>
      </c>
      <c r="C328" s="297" t="s">
        <v>934</v>
      </c>
      <c r="D328" s="295" t="s">
        <v>745</v>
      </c>
      <c r="E328" s="295" t="s">
        <v>687</v>
      </c>
    </row>
    <row r="329" spans="2:5" x14ac:dyDescent="0.3">
      <c r="B329" s="298">
        <v>330501</v>
      </c>
      <c r="C329" s="298" t="s">
        <v>935</v>
      </c>
      <c r="D329" s="295" t="s">
        <v>745</v>
      </c>
      <c r="E329" s="295" t="s">
        <v>687</v>
      </c>
    </row>
    <row r="330" spans="2:5" x14ac:dyDescent="0.3">
      <c r="B330" s="299">
        <v>33050101</v>
      </c>
      <c r="C330" s="299" t="s">
        <v>935</v>
      </c>
      <c r="D330" s="295" t="s">
        <v>745</v>
      </c>
      <c r="E330" s="295" t="s">
        <v>691</v>
      </c>
    </row>
    <row r="331" spans="2:5" x14ac:dyDescent="0.3">
      <c r="B331" s="297">
        <v>3310</v>
      </c>
      <c r="C331" s="297" t="s">
        <v>936</v>
      </c>
      <c r="D331" s="295" t="s">
        <v>745</v>
      </c>
      <c r="E331" s="295" t="s">
        <v>687</v>
      </c>
    </row>
    <row r="332" spans="2:5" x14ac:dyDescent="0.3">
      <c r="B332" s="298">
        <v>331005</v>
      </c>
      <c r="C332" s="298" t="s">
        <v>937</v>
      </c>
      <c r="D332" s="295" t="s">
        <v>745</v>
      </c>
      <c r="E332" s="295" t="s">
        <v>687</v>
      </c>
    </row>
    <row r="333" spans="2:5" x14ac:dyDescent="0.3">
      <c r="B333" s="299">
        <v>33100501</v>
      </c>
      <c r="C333" s="299" t="s">
        <v>937</v>
      </c>
      <c r="D333" s="295" t="s">
        <v>745</v>
      </c>
      <c r="E333" s="295" t="s">
        <v>691</v>
      </c>
    </row>
    <row r="334" spans="2:5" x14ac:dyDescent="0.3">
      <c r="B334" s="296">
        <v>34</v>
      </c>
      <c r="C334" s="296" t="s">
        <v>938</v>
      </c>
      <c r="D334" s="295" t="s">
        <v>745</v>
      </c>
      <c r="E334" s="295" t="s">
        <v>687</v>
      </c>
    </row>
    <row r="335" spans="2:5" x14ac:dyDescent="0.3">
      <c r="B335" s="297">
        <v>3405</v>
      </c>
      <c r="C335" s="297" t="s">
        <v>939</v>
      </c>
      <c r="D335" s="295" t="s">
        <v>745</v>
      </c>
      <c r="E335" s="295" t="s">
        <v>687</v>
      </c>
    </row>
    <row r="336" spans="2:5" x14ac:dyDescent="0.3">
      <c r="B336" s="298">
        <v>340505</v>
      </c>
      <c r="C336" s="298" t="s">
        <v>940</v>
      </c>
      <c r="D336" s="295" t="s">
        <v>745</v>
      </c>
      <c r="E336" s="295" t="s">
        <v>687</v>
      </c>
    </row>
    <row r="337" spans="2:5" x14ac:dyDescent="0.3">
      <c r="B337" s="296">
        <v>36</v>
      </c>
      <c r="C337" s="296" t="s">
        <v>941</v>
      </c>
      <c r="D337" s="295" t="s">
        <v>745</v>
      </c>
      <c r="E337" s="295" t="s">
        <v>687</v>
      </c>
    </row>
    <row r="338" spans="2:5" x14ac:dyDescent="0.3">
      <c r="B338" s="297">
        <v>3605</v>
      </c>
      <c r="C338" s="297" t="s">
        <v>942</v>
      </c>
      <c r="D338" s="295" t="s">
        <v>745</v>
      </c>
      <c r="E338" s="295" t="s">
        <v>687</v>
      </c>
    </row>
    <row r="339" spans="2:5" x14ac:dyDescent="0.3">
      <c r="B339" s="298">
        <v>360505</v>
      </c>
      <c r="C339" s="298" t="s">
        <v>941</v>
      </c>
      <c r="D339" s="295" t="s">
        <v>745</v>
      </c>
      <c r="E339" s="295" t="s">
        <v>687</v>
      </c>
    </row>
    <row r="340" spans="2:5" x14ac:dyDescent="0.3">
      <c r="B340" s="299">
        <v>36050501</v>
      </c>
      <c r="C340" s="300" t="s">
        <v>943</v>
      </c>
      <c r="D340" s="295" t="s">
        <v>745</v>
      </c>
      <c r="E340" s="295" t="s">
        <v>691</v>
      </c>
    </row>
    <row r="341" spans="2:5" x14ac:dyDescent="0.3">
      <c r="B341" s="297">
        <v>3610</v>
      </c>
      <c r="C341" s="297" t="s">
        <v>944</v>
      </c>
      <c r="D341" s="295" t="s">
        <v>686</v>
      </c>
      <c r="E341" s="295" t="s">
        <v>687</v>
      </c>
    </row>
    <row r="342" spans="2:5" x14ac:dyDescent="0.3">
      <c r="B342" s="298">
        <v>361005</v>
      </c>
      <c r="C342" s="298" t="s">
        <v>944</v>
      </c>
      <c r="D342" s="295" t="s">
        <v>686</v>
      </c>
      <c r="E342" s="295" t="s">
        <v>687</v>
      </c>
    </row>
    <row r="343" spans="2:5" x14ac:dyDescent="0.3">
      <c r="B343" s="299">
        <v>36100501</v>
      </c>
      <c r="C343" s="300" t="s">
        <v>945</v>
      </c>
      <c r="D343" s="295" t="s">
        <v>686</v>
      </c>
      <c r="E343" s="295" t="s">
        <v>691</v>
      </c>
    </row>
    <row r="344" spans="2:5" x14ac:dyDescent="0.3">
      <c r="B344" s="296">
        <v>37</v>
      </c>
      <c r="C344" s="296" t="s">
        <v>946</v>
      </c>
      <c r="D344" s="295" t="s">
        <v>745</v>
      </c>
      <c r="E344" s="295" t="s">
        <v>687</v>
      </c>
    </row>
    <row r="345" spans="2:5" x14ac:dyDescent="0.3">
      <c r="B345" s="297">
        <v>3705</v>
      </c>
      <c r="C345" s="297" t="s">
        <v>947</v>
      </c>
      <c r="D345" s="295" t="s">
        <v>745</v>
      </c>
      <c r="E345" s="295" t="s">
        <v>687</v>
      </c>
    </row>
    <row r="346" spans="2:5" x14ac:dyDescent="0.3">
      <c r="B346" s="298">
        <v>370505</v>
      </c>
      <c r="C346" s="298" t="s">
        <v>948</v>
      </c>
      <c r="D346" s="295" t="s">
        <v>745</v>
      </c>
      <c r="E346" s="295" t="s">
        <v>687</v>
      </c>
    </row>
    <row r="347" spans="2:5" x14ac:dyDescent="0.3">
      <c r="B347" s="299">
        <v>37050501</v>
      </c>
      <c r="C347" s="300" t="s">
        <v>948</v>
      </c>
      <c r="D347" s="295" t="s">
        <v>745</v>
      </c>
      <c r="E347" s="295" t="s">
        <v>691</v>
      </c>
    </row>
    <row r="348" spans="2:5" x14ac:dyDescent="0.3">
      <c r="B348" s="297">
        <v>3710</v>
      </c>
      <c r="C348" s="297" t="s">
        <v>949</v>
      </c>
      <c r="D348" s="295" t="s">
        <v>686</v>
      </c>
      <c r="E348" s="295" t="s">
        <v>687</v>
      </c>
    </row>
    <row r="349" spans="2:5" x14ac:dyDescent="0.3">
      <c r="B349" s="298">
        <v>371005</v>
      </c>
      <c r="C349" s="298" t="s">
        <v>950</v>
      </c>
      <c r="D349" s="295" t="s">
        <v>686</v>
      </c>
      <c r="E349" s="295" t="s">
        <v>687</v>
      </c>
    </row>
    <row r="350" spans="2:5" x14ac:dyDescent="0.3">
      <c r="B350" s="299">
        <v>37100501</v>
      </c>
      <c r="C350" s="300" t="s">
        <v>950</v>
      </c>
      <c r="D350" s="295" t="s">
        <v>686</v>
      </c>
      <c r="E350" s="295" t="s">
        <v>691</v>
      </c>
    </row>
    <row r="351" spans="2:5" x14ac:dyDescent="0.3">
      <c r="B351" s="294">
        <v>4</v>
      </c>
      <c r="C351" s="294" t="s">
        <v>951</v>
      </c>
      <c r="D351" s="295" t="s">
        <v>745</v>
      </c>
      <c r="E351" s="295" t="s">
        <v>687</v>
      </c>
    </row>
    <row r="352" spans="2:5" x14ac:dyDescent="0.3">
      <c r="B352" s="296">
        <v>41</v>
      </c>
      <c r="C352" s="296" t="s">
        <v>952</v>
      </c>
      <c r="D352" s="295" t="s">
        <v>745</v>
      </c>
      <c r="E352" s="295" t="s">
        <v>687</v>
      </c>
    </row>
    <row r="353" spans="2:5" x14ac:dyDescent="0.3">
      <c r="B353" s="297">
        <v>4110</v>
      </c>
      <c r="C353" s="297" t="s">
        <v>953</v>
      </c>
      <c r="D353" s="295" t="s">
        <v>745</v>
      </c>
      <c r="E353" s="295" t="s">
        <v>687</v>
      </c>
    </row>
    <row r="354" spans="2:5" x14ac:dyDescent="0.3">
      <c r="B354" s="298">
        <v>411005</v>
      </c>
      <c r="C354" s="298" t="s">
        <v>953</v>
      </c>
      <c r="D354" s="295" t="s">
        <v>745</v>
      </c>
      <c r="E354" s="295" t="s">
        <v>687</v>
      </c>
    </row>
    <row r="355" spans="2:5" x14ac:dyDescent="0.3">
      <c r="B355" s="299">
        <v>41100501</v>
      </c>
      <c r="C355" s="300" t="s">
        <v>954</v>
      </c>
      <c r="D355" s="295" t="s">
        <v>745</v>
      </c>
      <c r="E355" s="295" t="s">
        <v>691</v>
      </c>
    </row>
    <row r="356" spans="2:5" x14ac:dyDescent="0.3">
      <c r="B356" s="299">
        <v>41100502</v>
      </c>
      <c r="C356" s="300" t="s">
        <v>955</v>
      </c>
      <c r="D356" s="295" t="s">
        <v>745</v>
      </c>
      <c r="E356" s="295" t="s">
        <v>691</v>
      </c>
    </row>
    <row r="357" spans="2:5" x14ac:dyDescent="0.3">
      <c r="B357" s="297">
        <v>4175</v>
      </c>
      <c r="C357" s="297" t="s">
        <v>956</v>
      </c>
      <c r="D357" s="295" t="s">
        <v>686</v>
      </c>
      <c r="E357" s="295" t="s">
        <v>687</v>
      </c>
    </row>
    <row r="358" spans="2:5" x14ac:dyDescent="0.3">
      <c r="B358" s="298">
        <v>417505</v>
      </c>
      <c r="C358" s="298" t="s">
        <v>956</v>
      </c>
      <c r="D358" s="295" t="s">
        <v>686</v>
      </c>
      <c r="E358" s="295" t="s">
        <v>687</v>
      </c>
    </row>
    <row r="359" spans="2:5" x14ac:dyDescent="0.3">
      <c r="B359" s="299">
        <v>41750501</v>
      </c>
      <c r="C359" s="299" t="s">
        <v>957</v>
      </c>
      <c r="D359" s="295" t="s">
        <v>686</v>
      </c>
      <c r="E359" s="295" t="s">
        <v>691</v>
      </c>
    </row>
    <row r="360" spans="2:5" x14ac:dyDescent="0.3">
      <c r="B360" s="296">
        <v>42</v>
      </c>
      <c r="C360" s="296" t="s">
        <v>958</v>
      </c>
      <c r="D360" s="295" t="s">
        <v>745</v>
      </c>
      <c r="E360" s="295" t="s">
        <v>687</v>
      </c>
    </row>
    <row r="361" spans="2:5" x14ac:dyDescent="0.3">
      <c r="B361" s="297">
        <v>4210</v>
      </c>
      <c r="C361" s="297" t="s">
        <v>959</v>
      </c>
      <c r="D361" s="295" t="s">
        <v>745</v>
      </c>
      <c r="E361" s="295" t="s">
        <v>687</v>
      </c>
    </row>
    <row r="362" spans="2:5" x14ac:dyDescent="0.3">
      <c r="B362" s="298">
        <v>421001</v>
      </c>
      <c r="C362" s="298" t="s">
        <v>960</v>
      </c>
      <c r="D362" s="295" t="s">
        <v>745</v>
      </c>
      <c r="E362" s="295" t="s">
        <v>687</v>
      </c>
    </row>
    <row r="363" spans="2:5" x14ac:dyDescent="0.3">
      <c r="B363" s="299">
        <v>42100101</v>
      </c>
      <c r="C363" s="299" t="s">
        <v>961</v>
      </c>
      <c r="D363" s="295" t="s">
        <v>745</v>
      </c>
      <c r="E363" s="295" t="s">
        <v>691</v>
      </c>
    </row>
    <row r="364" spans="2:5" x14ac:dyDescent="0.3">
      <c r="B364" s="297">
        <v>4250</v>
      </c>
      <c r="C364" s="297" t="s">
        <v>962</v>
      </c>
      <c r="D364" s="295" t="s">
        <v>745</v>
      </c>
      <c r="E364" s="295" t="s">
        <v>687</v>
      </c>
    </row>
    <row r="365" spans="2:5" x14ac:dyDescent="0.3">
      <c r="B365" s="298">
        <v>425005</v>
      </c>
      <c r="C365" s="298" t="s">
        <v>962</v>
      </c>
      <c r="D365" s="295" t="s">
        <v>745</v>
      </c>
      <c r="E365" s="295" t="s">
        <v>687</v>
      </c>
    </row>
    <row r="366" spans="2:5" x14ac:dyDescent="0.3">
      <c r="B366" s="299">
        <v>42500501</v>
      </c>
      <c r="C366" s="299" t="s">
        <v>962</v>
      </c>
      <c r="D366" s="295" t="s">
        <v>745</v>
      </c>
      <c r="E366" s="295" t="s">
        <v>691</v>
      </c>
    </row>
    <row r="367" spans="2:5" x14ac:dyDescent="0.3">
      <c r="B367" s="297">
        <v>4265</v>
      </c>
      <c r="C367" s="297" t="s">
        <v>963</v>
      </c>
      <c r="D367" s="295" t="s">
        <v>745</v>
      </c>
      <c r="E367" s="295" t="s">
        <v>687</v>
      </c>
    </row>
    <row r="368" spans="2:5" x14ac:dyDescent="0.3">
      <c r="B368" s="298">
        <v>426505</v>
      </c>
      <c r="C368" s="298" t="s">
        <v>963</v>
      </c>
      <c r="D368" s="295" t="s">
        <v>745</v>
      </c>
      <c r="E368" s="295" t="s">
        <v>687</v>
      </c>
    </row>
    <row r="369" spans="2:5" x14ac:dyDescent="0.3">
      <c r="B369" s="299">
        <v>42650501</v>
      </c>
      <c r="C369" s="300" t="s">
        <v>964</v>
      </c>
      <c r="D369" s="295" t="s">
        <v>745</v>
      </c>
      <c r="E369" s="295" t="s">
        <v>691</v>
      </c>
    </row>
    <row r="370" spans="2:5" x14ac:dyDescent="0.3">
      <c r="B370" s="299">
        <v>42650502</v>
      </c>
      <c r="C370" s="300" t="s">
        <v>965</v>
      </c>
      <c r="D370" s="295" t="s">
        <v>745</v>
      </c>
      <c r="E370" s="295"/>
    </row>
    <row r="371" spans="2:5" x14ac:dyDescent="0.3">
      <c r="B371" s="297">
        <v>4295</v>
      </c>
      <c r="C371" s="297" t="s">
        <v>966</v>
      </c>
      <c r="D371" s="295" t="s">
        <v>745</v>
      </c>
      <c r="E371" s="295" t="s">
        <v>687</v>
      </c>
    </row>
    <row r="372" spans="2:5" x14ac:dyDescent="0.3">
      <c r="B372" s="298">
        <v>429505</v>
      </c>
      <c r="C372" s="298" t="s">
        <v>967</v>
      </c>
      <c r="D372" s="295" t="s">
        <v>745</v>
      </c>
      <c r="E372" s="295" t="s">
        <v>687</v>
      </c>
    </row>
    <row r="373" spans="2:5" x14ac:dyDescent="0.3">
      <c r="B373" s="299">
        <v>42950501</v>
      </c>
      <c r="C373" s="299" t="s">
        <v>968</v>
      </c>
      <c r="D373" s="295" t="s">
        <v>745</v>
      </c>
      <c r="E373" s="295" t="s">
        <v>691</v>
      </c>
    </row>
    <row r="374" spans="2:5" x14ac:dyDescent="0.3">
      <c r="B374" s="298">
        <v>429510</v>
      </c>
      <c r="C374" s="298" t="s">
        <v>969</v>
      </c>
      <c r="D374" s="295" t="s">
        <v>745</v>
      </c>
      <c r="E374" s="295" t="s">
        <v>687</v>
      </c>
    </row>
    <row r="375" spans="2:5" x14ac:dyDescent="0.3">
      <c r="B375" s="299">
        <v>42951001</v>
      </c>
      <c r="C375" s="299" t="s">
        <v>970</v>
      </c>
      <c r="D375" s="295" t="s">
        <v>745</v>
      </c>
      <c r="E375" s="295" t="s">
        <v>691</v>
      </c>
    </row>
    <row r="376" spans="2:5" x14ac:dyDescent="0.3">
      <c r="B376" s="298">
        <v>429581</v>
      </c>
      <c r="C376" s="298" t="s">
        <v>971</v>
      </c>
      <c r="D376" s="295" t="s">
        <v>745</v>
      </c>
      <c r="E376" s="295" t="s">
        <v>687</v>
      </c>
    </row>
    <row r="377" spans="2:5" x14ac:dyDescent="0.3">
      <c r="B377" s="299">
        <v>42958101</v>
      </c>
      <c r="C377" s="299" t="s">
        <v>972</v>
      </c>
      <c r="D377" s="295" t="s">
        <v>745</v>
      </c>
      <c r="E377" s="295" t="s">
        <v>691</v>
      </c>
    </row>
    <row r="378" spans="2:5" x14ac:dyDescent="0.3">
      <c r="B378" s="294">
        <v>5</v>
      </c>
      <c r="C378" s="294" t="s">
        <v>973</v>
      </c>
      <c r="D378" s="295" t="s">
        <v>686</v>
      </c>
      <c r="E378" s="295" t="s">
        <v>687</v>
      </c>
    </row>
    <row r="379" spans="2:5" x14ac:dyDescent="0.3">
      <c r="B379" s="296">
        <v>51</v>
      </c>
      <c r="C379" s="296" t="s">
        <v>974</v>
      </c>
      <c r="D379" s="295" t="s">
        <v>686</v>
      </c>
      <c r="E379" s="295" t="s">
        <v>687</v>
      </c>
    </row>
    <row r="380" spans="2:5" x14ac:dyDescent="0.3">
      <c r="B380" s="297">
        <v>5105</v>
      </c>
      <c r="C380" s="297" t="s">
        <v>975</v>
      </c>
      <c r="D380" s="295" t="s">
        <v>686</v>
      </c>
      <c r="E380" s="295" t="s">
        <v>687</v>
      </c>
    </row>
    <row r="381" spans="2:5" x14ac:dyDescent="0.3">
      <c r="B381" s="298">
        <v>510505</v>
      </c>
      <c r="C381" s="298" t="s">
        <v>976</v>
      </c>
      <c r="D381" s="295" t="s">
        <v>686</v>
      </c>
      <c r="E381" s="295" t="s">
        <v>687</v>
      </c>
    </row>
    <row r="382" spans="2:5" x14ac:dyDescent="0.3">
      <c r="B382" s="298">
        <v>510506</v>
      </c>
      <c r="C382" s="298" t="s">
        <v>977</v>
      </c>
      <c r="D382" s="295" t="s">
        <v>686</v>
      </c>
      <c r="E382" s="295" t="s">
        <v>687</v>
      </c>
    </row>
    <row r="383" spans="2:5" x14ac:dyDescent="0.3">
      <c r="B383" s="299">
        <v>51050601</v>
      </c>
      <c r="C383" s="299" t="s">
        <v>978</v>
      </c>
      <c r="D383" s="295" t="s">
        <v>686</v>
      </c>
      <c r="E383" s="295" t="s">
        <v>691</v>
      </c>
    </row>
    <row r="384" spans="2:5" x14ac:dyDescent="0.3">
      <c r="B384" s="298">
        <v>510515</v>
      </c>
      <c r="C384" s="298" t="s">
        <v>979</v>
      </c>
      <c r="D384" s="295" t="s">
        <v>686</v>
      </c>
      <c r="E384" s="295" t="s">
        <v>687</v>
      </c>
    </row>
    <row r="385" spans="2:5" x14ac:dyDescent="0.3">
      <c r="B385" s="299">
        <v>51051501</v>
      </c>
      <c r="C385" s="299" t="s">
        <v>980</v>
      </c>
      <c r="D385" s="295" t="s">
        <v>686</v>
      </c>
      <c r="E385" s="295" t="s">
        <v>691</v>
      </c>
    </row>
    <row r="386" spans="2:5" x14ac:dyDescent="0.3">
      <c r="B386" s="298">
        <v>510521</v>
      </c>
      <c r="C386" s="298" t="s">
        <v>981</v>
      </c>
      <c r="D386" s="295" t="s">
        <v>686</v>
      </c>
      <c r="E386" s="295" t="s">
        <v>687</v>
      </c>
    </row>
    <row r="387" spans="2:5" x14ac:dyDescent="0.3">
      <c r="B387" s="299">
        <v>51052101</v>
      </c>
      <c r="C387" s="299" t="s">
        <v>981</v>
      </c>
      <c r="D387" s="295" t="s">
        <v>686</v>
      </c>
      <c r="E387" s="295" t="s">
        <v>691</v>
      </c>
    </row>
    <row r="388" spans="2:5" x14ac:dyDescent="0.3">
      <c r="B388" s="298">
        <v>510527</v>
      </c>
      <c r="C388" s="298" t="s">
        <v>982</v>
      </c>
      <c r="D388" s="295" t="s">
        <v>686</v>
      </c>
      <c r="E388" s="295" t="s">
        <v>687</v>
      </c>
    </row>
    <row r="389" spans="2:5" x14ac:dyDescent="0.3">
      <c r="B389" s="299">
        <v>51052701</v>
      </c>
      <c r="C389" s="299" t="s">
        <v>982</v>
      </c>
      <c r="D389" s="295" t="s">
        <v>686</v>
      </c>
      <c r="E389" s="295" t="s">
        <v>691</v>
      </c>
    </row>
    <row r="390" spans="2:5" x14ac:dyDescent="0.3">
      <c r="B390" s="298">
        <v>510530</v>
      </c>
      <c r="C390" s="298" t="s">
        <v>983</v>
      </c>
      <c r="D390" s="295" t="s">
        <v>686</v>
      </c>
      <c r="E390" s="295" t="s">
        <v>687</v>
      </c>
    </row>
    <row r="391" spans="2:5" x14ac:dyDescent="0.3">
      <c r="B391" s="299">
        <v>51053001</v>
      </c>
      <c r="C391" s="299" t="s">
        <v>983</v>
      </c>
      <c r="D391" s="295" t="s">
        <v>686</v>
      </c>
      <c r="E391" s="295" t="s">
        <v>691</v>
      </c>
    </row>
    <row r="392" spans="2:5" x14ac:dyDescent="0.3">
      <c r="B392" s="298">
        <v>510533</v>
      </c>
      <c r="C392" s="298" t="s">
        <v>897</v>
      </c>
      <c r="D392" s="295" t="s">
        <v>686</v>
      </c>
      <c r="E392" s="295" t="s">
        <v>687</v>
      </c>
    </row>
    <row r="393" spans="2:5" x14ac:dyDescent="0.3">
      <c r="B393" s="299">
        <v>51053301</v>
      </c>
      <c r="C393" s="299" t="s">
        <v>897</v>
      </c>
      <c r="D393" s="295" t="s">
        <v>686</v>
      </c>
      <c r="E393" s="295" t="s">
        <v>691</v>
      </c>
    </row>
    <row r="394" spans="2:5" x14ac:dyDescent="0.3">
      <c r="B394" s="298">
        <v>510536</v>
      </c>
      <c r="C394" s="298" t="s">
        <v>900</v>
      </c>
      <c r="D394" s="295" t="s">
        <v>686</v>
      </c>
      <c r="E394" s="295" t="s">
        <v>687</v>
      </c>
    </row>
    <row r="395" spans="2:5" x14ac:dyDescent="0.3">
      <c r="B395" s="299">
        <v>51053601</v>
      </c>
      <c r="C395" s="299" t="s">
        <v>900</v>
      </c>
      <c r="D395" s="295" t="s">
        <v>686</v>
      </c>
      <c r="E395" s="295" t="s">
        <v>691</v>
      </c>
    </row>
    <row r="396" spans="2:5" x14ac:dyDescent="0.3">
      <c r="B396" s="298">
        <v>510539</v>
      </c>
      <c r="C396" s="298" t="s">
        <v>984</v>
      </c>
      <c r="D396" s="295" t="s">
        <v>686</v>
      </c>
      <c r="E396" s="295" t="s">
        <v>687</v>
      </c>
    </row>
    <row r="397" spans="2:5" x14ac:dyDescent="0.3">
      <c r="B397" s="299">
        <v>51053901</v>
      </c>
      <c r="C397" s="299" t="s">
        <v>984</v>
      </c>
      <c r="D397" s="295" t="s">
        <v>686</v>
      </c>
      <c r="E397" s="295" t="s">
        <v>691</v>
      </c>
    </row>
    <row r="398" spans="2:5" x14ac:dyDescent="0.3">
      <c r="B398" s="298">
        <v>510548</v>
      </c>
      <c r="C398" s="298" t="s">
        <v>985</v>
      </c>
      <c r="D398" s="295" t="s">
        <v>686</v>
      </c>
      <c r="E398" s="295" t="s">
        <v>687</v>
      </c>
    </row>
    <row r="399" spans="2:5" x14ac:dyDescent="0.3">
      <c r="B399" s="299">
        <v>51054801</v>
      </c>
      <c r="C399" s="299" t="s">
        <v>985</v>
      </c>
      <c r="D399" s="295" t="s">
        <v>686</v>
      </c>
      <c r="E399" s="295" t="s">
        <v>691</v>
      </c>
    </row>
    <row r="400" spans="2:5" x14ac:dyDescent="0.3">
      <c r="B400" s="298">
        <v>510551</v>
      </c>
      <c r="C400" s="298" t="s">
        <v>986</v>
      </c>
      <c r="D400" s="295" t="s">
        <v>686</v>
      </c>
      <c r="E400" s="295" t="s">
        <v>687</v>
      </c>
    </row>
    <row r="401" spans="2:5" x14ac:dyDescent="0.3">
      <c r="B401" s="299">
        <v>51055101</v>
      </c>
      <c r="C401" s="299" t="s">
        <v>987</v>
      </c>
      <c r="D401" s="295" t="s">
        <v>686</v>
      </c>
      <c r="E401" s="295" t="s">
        <v>691</v>
      </c>
    </row>
    <row r="402" spans="2:5" x14ac:dyDescent="0.3">
      <c r="B402" s="298">
        <v>510560</v>
      </c>
      <c r="C402" s="298" t="s">
        <v>988</v>
      </c>
      <c r="D402" s="295" t="s">
        <v>686</v>
      </c>
      <c r="E402" s="295" t="s">
        <v>687</v>
      </c>
    </row>
    <row r="403" spans="2:5" x14ac:dyDescent="0.3">
      <c r="B403" s="299">
        <v>51056001</v>
      </c>
      <c r="C403" s="299" t="s">
        <v>988</v>
      </c>
      <c r="D403" s="295" t="s">
        <v>686</v>
      </c>
      <c r="E403" s="295" t="s">
        <v>691</v>
      </c>
    </row>
    <row r="404" spans="2:5" x14ac:dyDescent="0.3">
      <c r="B404" s="298">
        <v>510563</v>
      </c>
      <c r="C404" s="298" t="s">
        <v>989</v>
      </c>
      <c r="D404" s="295" t="s">
        <v>686</v>
      </c>
      <c r="E404" s="295" t="s">
        <v>687</v>
      </c>
    </row>
    <row r="405" spans="2:5" x14ac:dyDescent="0.3">
      <c r="B405" s="299">
        <v>51056301</v>
      </c>
      <c r="C405" s="299" t="s">
        <v>990</v>
      </c>
      <c r="D405" s="295" t="s">
        <v>686</v>
      </c>
      <c r="E405" s="295" t="s">
        <v>691</v>
      </c>
    </row>
    <row r="406" spans="2:5" x14ac:dyDescent="0.3">
      <c r="B406" s="298">
        <v>510568</v>
      </c>
      <c r="C406" s="298" t="s">
        <v>991</v>
      </c>
      <c r="D406" s="295" t="s">
        <v>686</v>
      </c>
      <c r="E406" s="295" t="s">
        <v>687</v>
      </c>
    </row>
    <row r="407" spans="2:5" x14ac:dyDescent="0.3">
      <c r="B407" s="299">
        <v>51056801</v>
      </c>
      <c r="C407" s="299" t="s">
        <v>991</v>
      </c>
      <c r="D407" s="295" t="s">
        <v>686</v>
      </c>
      <c r="E407" s="295" t="s">
        <v>691</v>
      </c>
    </row>
    <row r="408" spans="2:5" x14ac:dyDescent="0.3">
      <c r="B408" s="298">
        <v>510569</v>
      </c>
      <c r="C408" s="298" t="s">
        <v>992</v>
      </c>
      <c r="D408" s="295" t="s">
        <v>686</v>
      </c>
      <c r="E408" s="295" t="s">
        <v>687</v>
      </c>
    </row>
    <row r="409" spans="2:5" x14ac:dyDescent="0.3">
      <c r="B409" s="299">
        <v>51056901</v>
      </c>
      <c r="C409" s="299" t="s">
        <v>993</v>
      </c>
      <c r="D409" s="295" t="s">
        <v>686</v>
      </c>
      <c r="E409" s="295" t="s">
        <v>691</v>
      </c>
    </row>
    <row r="410" spans="2:5" x14ac:dyDescent="0.3">
      <c r="B410" s="298">
        <v>510570</v>
      </c>
      <c r="C410" s="298" t="s">
        <v>994</v>
      </c>
      <c r="D410" s="295" t="s">
        <v>686</v>
      </c>
      <c r="E410" s="295" t="s">
        <v>687</v>
      </c>
    </row>
    <row r="411" spans="2:5" x14ac:dyDescent="0.3">
      <c r="B411" s="299">
        <v>51057001</v>
      </c>
      <c r="C411" s="299" t="s">
        <v>994</v>
      </c>
      <c r="D411" s="295" t="s">
        <v>686</v>
      </c>
      <c r="E411" s="295" t="s">
        <v>691</v>
      </c>
    </row>
    <row r="412" spans="2:5" x14ac:dyDescent="0.3">
      <c r="B412" s="298">
        <v>510572</v>
      </c>
      <c r="C412" s="298" t="s">
        <v>995</v>
      </c>
      <c r="D412" s="295" t="s">
        <v>686</v>
      </c>
      <c r="E412" s="295" t="s">
        <v>687</v>
      </c>
    </row>
    <row r="413" spans="2:5" x14ac:dyDescent="0.3">
      <c r="B413" s="299">
        <v>51057201</v>
      </c>
      <c r="C413" s="299" t="s">
        <v>995</v>
      </c>
      <c r="D413" s="295" t="s">
        <v>686</v>
      </c>
      <c r="E413" s="295" t="s">
        <v>691</v>
      </c>
    </row>
    <row r="414" spans="2:5" x14ac:dyDescent="0.3">
      <c r="B414" s="298">
        <v>510595</v>
      </c>
      <c r="C414" s="298" t="s">
        <v>996</v>
      </c>
      <c r="D414" s="295" t="s">
        <v>686</v>
      </c>
      <c r="E414" s="295" t="s">
        <v>687</v>
      </c>
    </row>
    <row r="415" spans="2:5" x14ac:dyDescent="0.3">
      <c r="B415" s="299">
        <v>51059501</v>
      </c>
      <c r="C415" s="299" t="s">
        <v>996</v>
      </c>
      <c r="D415" s="295" t="s">
        <v>686</v>
      </c>
      <c r="E415" s="295" t="s">
        <v>691</v>
      </c>
    </row>
    <row r="416" spans="2:5" x14ac:dyDescent="0.3">
      <c r="B416" s="297">
        <v>5110</v>
      </c>
      <c r="C416" s="297" t="s">
        <v>825</v>
      </c>
      <c r="D416" s="295" t="s">
        <v>686</v>
      </c>
      <c r="E416" s="295" t="s">
        <v>687</v>
      </c>
    </row>
    <row r="417" spans="2:5" x14ac:dyDescent="0.3">
      <c r="B417" s="298">
        <v>511010</v>
      </c>
      <c r="C417" s="298" t="s">
        <v>997</v>
      </c>
      <c r="D417" s="295" t="s">
        <v>686</v>
      </c>
      <c r="E417" s="295" t="s">
        <v>687</v>
      </c>
    </row>
    <row r="418" spans="2:5" x14ac:dyDescent="0.3">
      <c r="B418" s="299">
        <v>51101001</v>
      </c>
      <c r="C418" s="300" t="s">
        <v>998</v>
      </c>
      <c r="D418" s="295" t="s">
        <v>686</v>
      </c>
      <c r="E418" s="295" t="s">
        <v>691</v>
      </c>
    </row>
    <row r="419" spans="2:5" x14ac:dyDescent="0.3">
      <c r="B419" s="299">
        <v>51101002</v>
      </c>
      <c r="C419" s="300" t="s">
        <v>999</v>
      </c>
      <c r="D419" s="295" t="s">
        <v>686</v>
      </c>
      <c r="E419" s="295" t="s">
        <v>691</v>
      </c>
    </row>
    <row r="420" spans="2:5" x14ac:dyDescent="0.3">
      <c r="B420" s="299">
        <v>51101003</v>
      </c>
      <c r="C420" s="300" t="s">
        <v>1000</v>
      </c>
      <c r="D420" s="295" t="s">
        <v>686</v>
      </c>
      <c r="E420" s="295" t="s">
        <v>691</v>
      </c>
    </row>
    <row r="421" spans="2:5" x14ac:dyDescent="0.3">
      <c r="B421" s="298">
        <v>511015</v>
      </c>
      <c r="C421" s="298" t="s">
        <v>1001</v>
      </c>
      <c r="D421" s="295" t="s">
        <v>686</v>
      </c>
      <c r="E421" s="295" t="s">
        <v>687</v>
      </c>
    </row>
    <row r="422" spans="2:5" x14ac:dyDescent="0.3">
      <c r="B422" s="299">
        <v>51101501</v>
      </c>
      <c r="C422" s="300" t="s">
        <v>1002</v>
      </c>
      <c r="D422" s="295" t="s">
        <v>686</v>
      </c>
      <c r="E422" s="295" t="s">
        <v>691</v>
      </c>
    </row>
    <row r="423" spans="2:5" x14ac:dyDescent="0.3">
      <c r="B423" s="299">
        <v>51101502</v>
      </c>
      <c r="C423" s="300" t="s">
        <v>1003</v>
      </c>
      <c r="D423" s="295" t="s">
        <v>686</v>
      </c>
      <c r="E423" s="295" t="s">
        <v>691</v>
      </c>
    </row>
    <row r="424" spans="2:5" x14ac:dyDescent="0.3">
      <c r="B424" s="299">
        <v>51101503</v>
      </c>
      <c r="C424" s="300" t="s">
        <v>1004</v>
      </c>
      <c r="D424" s="295" t="s">
        <v>686</v>
      </c>
      <c r="E424" s="295" t="s">
        <v>691</v>
      </c>
    </row>
    <row r="425" spans="2:5" x14ac:dyDescent="0.3">
      <c r="B425" s="298">
        <v>511020</v>
      </c>
      <c r="C425" s="298" t="s">
        <v>1005</v>
      </c>
      <c r="D425" s="295" t="s">
        <v>686</v>
      </c>
      <c r="E425" s="295" t="s">
        <v>687</v>
      </c>
    </row>
    <row r="426" spans="2:5" x14ac:dyDescent="0.3">
      <c r="B426" s="302">
        <v>51102001</v>
      </c>
      <c r="C426" s="300" t="s">
        <v>1006</v>
      </c>
      <c r="D426" s="295" t="s">
        <v>686</v>
      </c>
      <c r="E426" s="295" t="s">
        <v>691</v>
      </c>
    </row>
    <row r="427" spans="2:5" x14ac:dyDescent="0.3">
      <c r="B427" s="302">
        <v>51102002</v>
      </c>
      <c r="C427" s="300" t="s">
        <v>1007</v>
      </c>
      <c r="D427" s="295" t="s">
        <v>686</v>
      </c>
      <c r="E427" s="295" t="s">
        <v>691</v>
      </c>
    </row>
    <row r="428" spans="2:5" x14ac:dyDescent="0.3">
      <c r="B428" s="302">
        <v>51102003</v>
      </c>
      <c r="C428" s="300" t="s">
        <v>1008</v>
      </c>
      <c r="D428" s="295" t="s">
        <v>686</v>
      </c>
      <c r="E428" s="295" t="s">
        <v>691</v>
      </c>
    </row>
    <row r="429" spans="2:5" x14ac:dyDescent="0.3">
      <c r="B429" s="298">
        <v>511025</v>
      </c>
      <c r="C429" s="298" t="s">
        <v>1009</v>
      </c>
      <c r="D429" s="295" t="s">
        <v>686</v>
      </c>
      <c r="E429" s="295" t="s">
        <v>687</v>
      </c>
    </row>
    <row r="430" spans="2:5" x14ac:dyDescent="0.3">
      <c r="B430" s="299">
        <v>51102501</v>
      </c>
      <c r="C430" s="300" t="s">
        <v>1010</v>
      </c>
      <c r="D430" s="295" t="s">
        <v>686</v>
      </c>
      <c r="E430" s="295" t="s">
        <v>691</v>
      </c>
    </row>
    <row r="431" spans="2:5" x14ac:dyDescent="0.3">
      <c r="B431" s="299">
        <v>51102502</v>
      </c>
      <c r="C431" s="300" t="s">
        <v>1011</v>
      </c>
      <c r="D431" s="295" t="s">
        <v>686</v>
      </c>
      <c r="E431" s="295" t="s">
        <v>691</v>
      </c>
    </row>
    <row r="432" spans="2:5" x14ac:dyDescent="0.3">
      <c r="B432" s="299">
        <v>51102503</v>
      </c>
      <c r="C432" s="300" t="s">
        <v>1012</v>
      </c>
      <c r="D432" s="295" t="s">
        <v>686</v>
      </c>
      <c r="E432" s="295" t="s">
        <v>691</v>
      </c>
    </row>
    <row r="433" spans="2:5" x14ac:dyDescent="0.3">
      <c r="B433" s="298">
        <v>511035</v>
      </c>
      <c r="C433" s="298" t="s">
        <v>1013</v>
      </c>
      <c r="D433" s="295" t="s">
        <v>686</v>
      </c>
      <c r="E433" s="295" t="s">
        <v>687</v>
      </c>
    </row>
    <row r="434" spans="2:5" x14ac:dyDescent="0.3">
      <c r="B434" s="299">
        <v>51103501</v>
      </c>
      <c r="C434" s="300" t="s">
        <v>1014</v>
      </c>
      <c r="D434" s="295" t="s">
        <v>686</v>
      </c>
      <c r="E434" s="295" t="s">
        <v>691</v>
      </c>
    </row>
    <row r="435" spans="2:5" x14ac:dyDescent="0.3">
      <c r="B435" s="299">
        <v>51103502</v>
      </c>
      <c r="C435" s="300" t="s">
        <v>1015</v>
      </c>
      <c r="D435" s="295" t="s">
        <v>686</v>
      </c>
      <c r="E435" s="295" t="s">
        <v>691</v>
      </c>
    </row>
    <row r="436" spans="2:5" x14ac:dyDescent="0.3">
      <c r="B436" s="299">
        <v>51103503</v>
      </c>
      <c r="C436" s="300" t="s">
        <v>1016</v>
      </c>
      <c r="D436" s="295" t="s">
        <v>686</v>
      </c>
      <c r="E436" s="295" t="s">
        <v>691</v>
      </c>
    </row>
    <row r="437" spans="2:5" x14ac:dyDescent="0.3">
      <c r="B437" s="298">
        <v>511095</v>
      </c>
      <c r="C437" s="298" t="s">
        <v>743</v>
      </c>
      <c r="D437" s="295" t="s">
        <v>686</v>
      </c>
      <c r="E437" s="295" t="s">
        <v>687</v>
      </c>
    </row>
    <row r="438" spans="2:5" x14ac:dyDescent="0.3">
      <c r="B438" s="299">
        <v>51109501</v>
      </c>
      <c r="C438" s="300" t="s">
        <v>1017</v>
      </c>
      <c r="D438" s="295" t="s">
        <v>686</v>
      </c>
      <c r="E438" s="295" t="s">
        <v>691</v>
      </c>
    </row>
    <row r="439" spans="2:5" x14ac:dyDescent="0.3">
      <c r="B439" s="299">
        <v>51109502</v>
      </c>
      <c r="C439" s="300" t="s">
        <v>1018</v>
      </c>
      <c r="D439" s="295" t="s">
        <v>686</v>
      </c>
      <c r="E439" s="295" t="s">
        <v>691</v>
      </c>
    </row>
    <row r="440" spans="2:5" x14ac:dyDescent="0.3">
      <c r="B440" s="299">
        <v>51109503</v>
      </c>
      <c r="C440" s="300" t="s">
        <v>1019</v>
      </c>
      <c r="D440" s="295" t="s">
        <v>686</v>
      </c>
      <c r="E440" s="295" t="s">
        <v>691</v>
      </c>
    </row>
    <row r="441" spans="2:5" x14ac:dyDescent="0.3">
      <c r="B441" s="297">
        <v>5115</v>
      </c>
      <c r="C441" s="297" t="s">
        <v>1020</v>
      </c>
      <c r="D441" s="295" t="s">
        <v>686</v>
      </c>
      <c r="E441" s="295" t="s">
        <v>687</v>
      </c>
    </row>
    <row r="442" spans="2:5" x14ac:dyDescent="0.3">
      <c r="B442" s="298">
        <v>511515</v>
      </c>
      <c r="C442" s="298" t="s">
        <v>1021</v>
      </c>
      <c r="D442" s="295" t="s">
        <v>686</v>
      </c>
      <c r="E442" s="295" t="s">
        <v>687</v>
      </c>
    </row>
    <row r="443" spans="2:5" x14ac:dyDescent="0.3">
      <c r="B443" s="299">
        <v>51151501</v>
      </c>
      <c r="C443" s="300" t="s">
        <v>1022</v>
      </c>
      <c r="D443" s="295" t="s">
        <v>686</v>
      </c>
      <c r="E443" s="295" t="s">
        <v>691</v>
      </c>
    </row>
    <row r="444" spans="2:5" x14ac:dyDescent="0.3">
      <c r="B444" s="299">
        <v>51151501</v>
      </c>
      <c r="C444" s="300" t="s">
        <v>1023</v>
      </c>
      <c r="D444" s="295" t="s">
        <v>686</v>
      </c>
      <c r="E444" s="295" t="s">
        <v>691</v>
      </c>
    </row>
    <row r="445" spans="2:5" x14ac:dyDescent="0.3">
      <c r="B445" s="298">
        <v>511570</v>
      </c>
      <c r="C445" s="298" t="s">
        <v>1024</v>
      </c>
      <c r="D445" s="295" t="s">
        <v>686</v>
      </c>
      <c r="E445" s="295" t="s">
        <v>687</v>
      </c>
    </row>
    <row r="446" spans="2:5" x14ac:dyDescent="0.3">
      <c r="B446" s="299">
        <v>51157001</v>
      </c>
      <c r="C446" s="300" t="s">
        <v>1025</v>
      </c>
      <c r="D446" s="295" t="s">
        <v>686</v>
      </c>
      <c r="E446" s="295" t="s">
        <v>691</v>
      </c>
    </row>
    <row r="447" spans="2:5" x14ac:dyDescent="0.3">
      <c r="B447" s="299">
        <v>51157002</v>
      </c>
      <c r="C447" s="300" t="s">
        <v>1026</v>
      </c>
      <c r="D447" s="295" t="s">
        <v>686</v>
      </c>
      <c r="E447" s="295" t="s">
        <v>691</v>
      </c>
    </row>
    <row r="448" spans="2:5" x14ac:dyDescent="0.3">
      <c r="B448" s="299">
        <v>51157003</v>
      </c>
      <c r="C448" s="300" t="s">
        <v>1027</v>
      </c>
      <c r="D448" s="295" t="s">
        <v>686</v>
      </c>
      <c r="E448" s="295" t="s">
        <v>691</v>
      </c>
    </row>
    <row r="449" spans="2:5" x14ac:dyDescent="0.3">
      <c r="B449" s="297">
        <v>5120</v>
      </c>
      <c r="C449" s="297" t="s">
        <v>828</v>
      </c>
      <c r="D449" s="295" t="s">
        <v>686</v>
      </c>
      <c r="E449" s="295" t="s">
        <v>687</v>
      </c>
    </row>
    <row r="450" spans="2:5" x14ac:dyDescent="0.3">
      <c r="B450" s="298">
        <v>512005</v>
      </c>
      <c r="C450" s="298" t="s">
        <v>1028</v>
      </c>
      <c r="D450" s="295" t="s">
        <v>686</v>
      </c>
      <c r="E450" s="295" t="s">
        <v>687</v>
      </c>
    </row>
    <row r="451" spans="2:5" x14ac:dyDescent="0.3">
      <c r="B451" s="299">
        <v>51200501</v>
      </c>
      <c r="C451" s="300" t="s">
        <v>1029</v>
      </c>
      <c r="D451" s="295" t="s">
        <v>686</v>
      </c>
      <c r="E451" s="295" t="s">
        <v>691</v>
      </c>
    </row>
    <row r="452" spans="2:5" x14ac:dyDescent="0.3">
      <c r="B452" s="299">
        <v>51200502</v>
      </c>
      <c r="C452" s="300" t="s">
        <v>1030</v>
      </c>
      <c r="D452" s="295" t="s">
        <v>686</v>
      </c>
      <c r="E452" s="295" t="s">
        <v>691</v>
      </c>
    </row>
    <row r="453" spans="2:5" x14ac:dyDescent="0.3">
      <c r="B453" s="298">
        <v>512010</v>
      </c>
      <c r="C453" s="298" t="s">
        <v>830</v>
      </c>
      <c r="D453" s="295" t="s">
        <v>686</v>
      </c>
      <c r="E453" s="295" t="s">
        <v>687</v>
      </c>
    </row>
    <row r="454" spans="2:5" x14ac:dyDescent="0.3">
      <c r="B454" s="299">
        <v>51201001</v>
      </c>
      <c r="C454" s="300" t="s">
        <v>1031</v>
      </c>
      <c r="D454" s="295" t="s">
        <v>686</v>
      </c>
      <c r="E454" s="295" t="s">
        <v>691</v>
      </c>
    </row>
    <row r="455" spans="2:5" x14ac:dyDescent="0.3">
      <c r="B455" s="299">
        <v>51201002</v>
      </c>
      <c r="C455" s="300" t="s">
        <v>1032</v>
      </c>
      <c r="D455" s="295" t="s">
        <v>686</v>
      </c>
      <c r="E455" s="295" t="s">
        <v>691</v>
      </c>
    </row>
    <row r="456" spans="2:5" x14ac:dyDescent="0.3">
      <c r="B456" s="297">
        <v>5130</v>
      </c>
      <c r="C456" s="297" t="s">
        <v>835</v>
      </c>
      <c r="D456" s="295" t="s">
        <v>686</v>
      </c>
      <c r="E456" s="295" t="s">
        <v>687</v>
      </c>
    </row>
    <row r="457" spans="2:5" x14ac:dyDescent="0.3">
      <c r="B457" s="298">
        <v>513010</v>
      </c>
      <c r="C457" s="298" t="s">
        <v>1033</v>
      </c>
      <c r="D457" s="295" t="s">
        <v>686</v>
      </c>
      <c r="E457" s="295" t="s">
        <v>687</v>
      </c>
    </row>
    <row r="458" spans="2:5" x14ac:dyDescent="0.3">
      <c r="B458" s="299">
        <v>51301001</v>
      </c>
      <c r="C458" s="299" t="s">
        <v>1033</v>
      </c>
      <c r="D458" s="295" t="s">
        <v>686</v>
      </c>
      <c r="E458" s="295" t="s">
        <v>691</v>
      </c>
    </row>
    <row r="459" spans="2:5" x14ac:dyDescent="0.3">
      <c r="B459" s="298">
        <v>513040</v>
      </c>
      <c r="C459" s="298" t="s">
        <v>779</v>
      </c>
      <c r="D459" s="295" t="s">
        <v>686</v>
      </c>
      <c r="E459" s="295" t="s">
        <v>687</v>
      </c>
    </row>
    <row r="460" spans="2:5" x14ac:dyDescent="0.3">
      <c r="B460" s="299">
        <v>51304001</v>
      </c>
      <c r="C460" s="299" t="s">
        <v>1034</v>
      </c>
      <c r="D460" s="295" t="s">
        <v>686</v>
      </c>
      <c r="E460" s="295" t="s">
        <v>691</v>
      </c>
    </row>
    <row r="461" spans="2:5" x14ac:dyDescent="0.3">
      <c r="B461" s="298">
        <v>513060</v>
      </c>
      <c r="C461" s="298" t="s">
        <v>1035</v>
      </c>
      <c r="D461" s="295" t="s">
        <v>686</v>
      </c>
      <c r="E461" s="295" t="s">
        <v>687</v>
      </c>
    </row>
    <row r="462" spans="2:5" x14ac:dyDescent="0.3">
      <c r="B462" s="299">
        <v>51306001</v>
      </c>
      <c r="C462" s="299" t="s">
        <v>1035</v>
      </c>
      <c r="D462" s="295" t="s">
        <v>686</v>
      </c>
      <c r="E462" s="295" t="s">
        <v>691</v>
      </c>
    </row>
    <row r="463" spans="2:5" x14ac:dyDescent="0.3">
      <c r="B463" s="297">
        <v>5135</v>
      </c>
      <c r="C463" s="297" t="s">
        <v>844</v>
      </c>
      <c r="D463" s="295" t="s">
        <v>686</v>
      </c>
      <c r="E463" s="295" t="s">
        <v>687</v>
      </c>
    </row>
    <row r="464" spans="2:5" x14ac:dyDescent="0.3">
      <c r="B464" s="298">
        <v>513505</v>
      </c>
      <c r="C464" s="298" t="s">
        <v>1036</v>
      </c>
      <c r="D464" s="295" t="s">
        <v>686</v>
      </c>
      <c r="E464" s="295" t="s">
        <v>687</v>
      </c>
    </row>
    <row r="465" spans="2:5" x14ac:dyDescent="0.3">
      <c r="B465" s="299">
        <v>51350501</v>
      </c>
      <c r="C465" s="299" t="s">
        <v>1036</v>
      </c>
      <c r="D465" s="295" t="s">
        <v>686</v>
      </c>
      <c r="E465" s="295" t="s">
        <v>691</v>
      </c>
    </row>
    <row r="466" spans="2:5" x14ac:dyDescent="0.3">
      <c r="B466" s="298">
        <v>513525</v>
      </c>
      <c r="C466" s="298" t="s">
        <v>834</v>
      </c>
      <c r="D466" s="295" t="s">
        <v>686</v>
      </c>
      <c r="E466" s="295" t="s">
        <v>687</v>
      </c>
    </row>
    <row r="467" spans="2:5" x14ac:dyDescent="0.3">
      <c r="B467" s="299">
        <v>51352501</v>
      </c>
      <c r="C467" s="299" t="s">
        <v>834</v>
      </c>
      <c r="D467" s="295" t="s">
        <v>686</v>
      </c>
      <c r="E467" s="295" t="s">
        <v>691</v>
      </c>
    </row>
    <row r="468" spans="2:5" x14ac:dyDescent="0.3">
      <c r="B468" s="298">
        <v>513530</v>
      </c>
      <c r="C468" s="298" t="s">
        <v>1037</v>
      </c>
      <c r="D468" s="295" t="s">
        <v>686</v>
      </c>
      <c r="E468" s="295" t="s">
        <v>687</v>
      </c>
    </row>
    <row r="469" spans="2:5" x14ac:dyDescent="0.3">
      <c r="B469" s="299">
        <v>51353001</v>
      </c>
      <c r="C469" s="299" t="s">
        <v>1037</v>
      </c>
      <c r="D469" s="295" t="s">
        <v>686</v>
      </c>
      <c r="E469" s="295" t="s">
        <v>691</v>
      </c>
    </row>
    <row r="470" spans="2:5" x14ac:dyDescent="0.3">
      <c r="B470" s="298">
        <v>513535</v>
      </c>
      <c r="C470" s="298" t="s">
        <v>1038</v>
      </c>
      <c r="D470" s="295" t="s">
        <v>686</v>
      </c>
      <c r="E470" s="295" t="s">
        <v>687</v>
      </c>
    </row>
    <row r="471" spans="2:5" x14ac:dyDescent="0.3">
      <c r="B471" s="299">
        <v>51353501</v>
      </c>
      <c r="C471" s="299" t="s">
        <v>1039</v>
      </c>
      <c r="D471" s="295" t="s">
        <v>686</v>
      </c>
      <c r="E471" s="295" t="s">
        <v>691</v>
      </c>
    </row>
    <row r="472" spans="2:5" x14ac:dyDescent="0.3">
      <c r="B472" s="299">
        <v>51353502</v>
      </c>
      <c r="C472" s="299" t="s">
        <v>1040</v>
      </c>
      <c r="D472" s="295" t="s">
        <v>686</v>
      </c>
      <c r="E472" s="295" t="s">
        <v>691</v>
      </c>
    </row>
    <row r="473" spans="2:5" x14ac:dyDescent="0.3">
      <c r="B473" s="298">
        <v>513536</v>
      </c>
      <c r="C473" s="298" t="s">
        <v>1041</v>
      </c>
      <c r="D473" s="295" t="s">
        <v>686</v>
      </c>
      <c r="E473" s="295" t="s">
        <v>687</v>
      </c>
    </row>
    <row r="474" spans="2:5" x14ac:dyDescent="0.3">
      <c r="B474" s="299">
        <v>51353601</v>
      </c>
      <c r="C474" s="299" t="s">
        <v>1041</v>
      </c>
      <c r="D474" s="295" t="s">
        <v>686</v>
      </c>
      <c r="E474" s="295" t="s">
        <v>691</v>
      </c>
    </row>
    <row r="475" spans="2:5" x14ac:dyDescent="0.3">
      <c r="B475" s="298">
        <v>513540</v>
      </c>
      <c r="C475" s="298" t="s">
        <v>1042</v>
      </c>
      <c r="D475" s="295" t="s">
        <v>686</v>
      </c>
      <c r="E475" s="295" t="s">
        <v>687</v>
      </c>
    </row>
    <row r="476" spans="2:5" x14ac:dyDescent="0.3">
      <c r="B476" s="299">
        <v>51354001</v>
      </c>
      <c r="C476" s="299" t="s">
        <v>1042</v>
      </c>
      <c r="D476" s="295" t="s">
        <v>686</v>
      </c>
      <c r="E476" s="295" t="s">
        <v>691</v>
      </c>
    </row>
    <row r="477" spans="2:5" x14ac:dyDescent="0.3">
      <c r="B477" s="298">
        <v>513550</v>
      </c>
      <c r="C477" s="298" t="s">
        <v>1043</v>
      </c>
      <c r="D477" s="295" t="s">
        <v>686</v>
      </c>
      <c r="E477" s="295" t="s">
        <v>687</v>
      </c>
    </row>
    <row r="478" spans="2:5" x14ac:dyDescent="0.3">
      <c r="B478" s="299">
        <v>51355001</v>
      </c>
      <c r="C478" s="299" t="s">
        <v>1043</v>
      </c>
      <c r="D478" s="295" t="s">
        <v>686</v>
      </c>
      <c r="E478" s="295" t="s">
        <v>691</v>
      </c>
    </row>
    <row r="479" spans="2:5" x14ac:dyDescent="0.3">
      <c r="B479" s="298">
        <v>513595</v>
      </c>
      <c r="C479" s="298" t="s">
        <v>996</v>
      </c>
      <c r="D479" s="295" t="s">
        <v>686</v>
      </c>
      <c r="E479" s="295" t="s">
        <v>687</v>
      </c>
    </row>
    <row r="480" spans="2:5" x14ac:dyDescent="0.3">
      <c r="B480" s="299">
        <v>51359501</v>
      </c>
      <c r="C480" s="299" t="s">
        <v>996</v>
      </c>
      <c r="D480" s="295" t="s">
        <v>686</v>
      </c>
      <c r="E480" s="295" t="s">
        <v>691</v>
      </c>
    </row>
    <row r="481" spans="2:5" x14ac:dyDescent="0.3">
      <c r="B481" s="297">
        <v>5140</v>
      </c>
      <c r="C481" s="297" t="s">
        <v>1044</v>
      </c>
      <c r="D481" s="295" t="s">
        <v>686</v>
      </c>
      <c r="E481" s="295" t="s">
        <v>687</v>
      </c>
    </row>
    <row r="482" spans="2:5" x14ac:dyDescent="0.3">
      <c r="B482" s="298">
        <v>514005</v>
      </c>
      <c r="C482" s="298" t="s">
        <v>1045</v>
      </c>
      <c r="D482" s="295" t="s">
        <v>686</v>
      </c>
      <c r="E482" s="295" t="s">
        <v>687</v>
      </c>
    </row>
    <row r="483" spans="2:5" x14ac:dyDescent="0.3">
      <c r="B483" s="299">
        <v>51400501</v>
      </c>
      <c r="C483" s="299" t="s">
        <v>1045</v>
      </c>
      <c r="D483" s="295" t="s">
        <v>686</v>
      </c>
      <c r="E483" s="295" t="s">
        <v>691</v>
      </c>
    </row>
    <row r="484" spans="2:5" x14ac:dyDescent="0.3">
      <c r="B484" s="298">
        <v>514010</v>
      </c>
      <c r="C484" s="298" t="s">
        <v>1046</v>
      </c>
      <c r="D484" s="295" t="s">
        <v>686</v>
      </c>
      <c r="E484" s="295" t="s">
        <v>687</v>
      </c>
    </row>
    <row r="485" spans="2:5" x14ac:dyDescent="0.3">
      <c r="B485" s="299">
        <v>51401001</v>
      </c>
      <c r="C485" s="299" t="s">
        <v>1046</v>
      </c>
      <c r="D485" s="295" t="s">
        <v>686</v>
      </c>
      <c r="E485" s="295" t="s">
        <v>691</v>
      </c>
    </row>
    <row r="486" spans="2:5" x14ac:dyDescent="0.3">
      <c r="B486" s="298">
        <v>514015</v>
      </c>
      <c r="C486" s="298" t="s">
        <v>1047</v>
      </c>
      <c r="D486" s="295" t="s">
        <v>686</v>
      </c>
      <c r="E486" s="295" t="s">
        <v>687</v>
      </c>
    </row>
    <row r="487" spans="2:5" x14ac:dyDescent="0.3">
      <c r="B487" s="299">
        <v>51401501</v>
      </c>
      <c r="C487" s="299" t="s">
        <v>1047</v>
      </c>
      <c r="D487" s="295" t="s">
        <v>686</v>
      </c>
      <c r="E487" s="295" t="s">
        <v>691</v>
      </c>
    </row>
    <row r="488" spans="2:5" x14ac:dyDescent="0.3">
      <c r="B488" s="298">
        <v>514020</v>
      </c>
      <c r="C488" s="298" t="s">
        <v>1048</v>
      </c>
      <c r="D488" s="295" t="s">
        <v>686</v>
      </c>
      <c r="E488" s="295" t="s">
        <v>687</v>
      </c>
    </row>
    <row r="489" spans="2:5" x14ac:dyDescent="0.3">
      <c r="B489" s="299">
        <v>51402001</v>
      </c>
      <c r="C489" s="299" t="s">
        <v>1049</v>
      </c>
      <c r="D489" s="295" t="s">
        <v>686</v>
      </c>
      <c r="E489" s="295" t="s">
        <v>691</v>
      </c>
    </row>
    <row r="490" spans="2:5" x14ac:dyDescent="0.3">
      <c r="B490" s="298">
        <v>514095</v>
      </c>
      <c r="C490" s="298" t="s">
        <v>743</v>
      </c>
      <c r="D490" s="295" t="s">
        <v>686</v>
      </c>
      <c r="E490" s="295" t="s">
        <v>687</v>
      </c>
    </row>
    <row r="491" spans="2:5" x14ac:dyDescent="0.3">
      <c r="B491" s="297">
        <v>5145</v>
      </c>
      <c r="C491" s="297" t="s">
        <v>1050</v>
      </c>
      <c r="D491" s="295" t="s">
        <v>686</v>
      </c>
      <c r="E491" s="295" t="s">
        <v>687</v>
      </c>
    </row>
    <row r="492" spans="2:5" x14ac:dyDescent="0.3">
      <c r="B492" s="298">
        <v>514510</v>
      </c>
      <c r="C492" s="298" t="s">
        <v>756</v>
      </c>
      <c r="D492" s="295" t="s">
        <v>686</v>
      </c>
      <c r="E492" s="295" t="s">
        <v>687</v>
      </c>
    </row>
    <row r="493" spans="2:5" x14ac:dyDescent="0.3">
      <c r="B493" s="299">
        <v>51451001</v>
      </c>
      <c r="C493" s="299" t="s">
        <v>1051</v>
      </c>
      <c r="D493" s="295" t="s">
        <v>686</v>
      </c>
      <c r="E493" s="295" t="s">
        <v>691</v>
      </c>
    </row>
    <row r="494" spans="2:5" x14ac:dyDescent="0.3">
      <c r="B494" s="299">
        <v>51451002</v>
      </c>
      <c r="C494" s="299" t="s">
        <v>1052</v>
      </c>
      <c r="D494" s="295" t="s">
        <v>686</v>
      </c>
      <c r="E494" s="295" t="s">
        <v>691</v>
      </c>
    </row>
    <row r="495" spans="2:5" x14ac:dyDescent="0.3">
      <c r="B495" s="298">
        <v>514525</v>
      </c>
      <c r="C495" s="298" t="s">
        <v>774</v>
      </c>
      <c r="D495" s="295" t="s">
        <v>686</v>
      </c>
      <c r="E495" s="295" t="s">
        <v>687</v>
      </c>
    </row>
    <row r="496" spans="2:5" x14ac:dyDescent="0.3">
      <c r="B496" s="299">
        <v>51452501</v>
      </c>
      <c r="C496" s="299" t="s">
        <v>774</v>
      </c>
      <c r="D496" s="295" t="s">
        <v>686</v>
      </c>
      <c r="E496" s="295" t="s">
        <v>691</v>
      </c>
    </row>
    <row r="497" spans="2:5" x14ac:dyDescent="0.3">
      <c r="B497" s="298">
        <v>514540</v>
      </c>
      <c r="C497" s="298" t="s">
        <v>779</v>
      </c>
      <c r="D497" s="295" t="s">
        <v>686</v>
      </c>
      <c r="E497" s="295" t="s">
        <v>687</v>
      </c>
    </row>
    <row r="498" spans="2:5" x14ac:dyDescent="0.3">
      <c r="B498" s="299">
        <v>51454001</v>
      </c>
      <c r="C498" s="299" t="s">
        <v>1053</v>
      </c>
      <c r="D498" s="295" t="s">
        <v>686</v>
      </c>
      <c r="E498" s="295" t="s">
        <v>691</v>
      </c>
    </row>
    <row r="499" spans="2:5" x14ac:dyDescent="0.3">
      <c r="B499" s="297">
        <v>5150</v>
      </c>
      <c r="C499" s="297" t="s">
        <v>1054</v>
      </c>
      <c r="D499" s="295" t="s">
        <v>686</v>
      </c>
      <c r="E499" s="295" t="s">
        <v>687</v>
      </c>
    </row>
    <row r="500" spans="2:5" x14ac:dyDescent="0.3">
      <c r="B500" s="298">
        <v>515015</v>
      </c>
      <c r="C500" s="298" t="s">
        <v>1055</v>
      </c>
      <c r="D500" s="295" t="s">
        <v>686</v>
      </c>
      <c r="E500" s="295" t="s">
        <v>687</v>
      </c>
    </row>
    <row r="501" spans="2:5" x14ac:dyDescent="0.3">
      <c r="B501" s="299">
        <v>51501501</v>
      </c>
      <c r="C501" s="299" t="s">
        <v>1056</v>
      </c>
      <c r="D501" s="295" t="s">
        <v>686</v>
      </c>
      <c r="E501" s="295" t="s">
        <v>691</v>
      </c>
    </row>
    <row r="502" spans="2:5" x14ac:dyDescent="0.3">
      <c r="B502" s="297">
        <v>5155</v>
      </c>
      <c r="C502" s="297" t="s">
        <v>1057</v>
      </c>
      <c r="D502" s="295" t="s">
        <v>686</v>
      </c>
      <c r="E502" s="295" t="s">
        <v>687</v>
      </c>
    </row>
    <row r="503" spans="2:5" x14ac:dyDescent="0.3">
      <c r="B503" s="298">
        <v>515505</v>
      </c>
      <c r="C503" s="298" t="s">
        <v>1058</v>
      </c>
      <c r="D503" s="295" t="s">
        <v>686</v>
      </c>
      <c r="E503" s="295" t="s">
        <v>687</v>
      </c>
    </row>
    <row r="504" spans="2:5" x14ac:dyDescent="0.3">
      <c r="B504" s="299">
        <v>51550501</v>
      </c>
      <c r="C504" s="299" t="s">
        <v>1058</v>
      </c>
      <c r="D504" s="295" t="s">
        <v>686</v>
      </c>
      <c r="E504" s="295" t="s">
        <v>691</v>
      </c>
    </row>
    <row r="505" spans="2:5" x14ac:dyDescent="0.3">
      <c r="B505" s="298">
        <v>515515</v>
      </c>
      <c r="C505" s="298" t="s">
        <v>1059</v>
      </c>
      <c r="D505" s="295" t="s">
        <v>686</v>
      </c>
      <c r="E505" s="295" t="s">
        <v>687</v>
      </c>
    </row>
    <row r="506" spans="2:5" x14ac:dyDescent="0.3">
      <c r="B506" s="299">
        <v>51551501</v>
      </c>
      <c r="C506" s="299" t="s">
        <v>1060</v>
      </c>
      <c r="D506" s="295" t="s">
        <v>686</v>
      </c>
      <c r="E506" s="295" t="s">
        <v>691</v>
      </c>
    </row>
    <row r="507" spans="2:5" x14ac:dyDescent="0.3">
      <c r="B507" s="298">
        <v>515520</v>
      </c>
      <c r="C507" s="298" t="s">
        <v>1061</v>
      </c>
      <c r="D507" s="295" t="s">
        <v>686</v>
      </c>
      <c r="E507" s="295" t="s">
        <v>687</v>
      </c>
    </row>
    <row r="508" spans="2:5" x14ac:dyDescent="0.3">
      <c r="B508" s="299">
        <v>51552001</v>
      </c>
      <c r="C508" s="299" t="s">
        <v>1061</v>
      </c>
      <c r="D508" s="295" t="s">
        <v>686</v>
      </c>
      <c r="E508" s="295" t="s">
        <v>691</v>
      </c>
    </row>
    <row r="509" spans="2:5" x14ac:dyDescent="0.3">
      <c r="B509" s="297">
        <v>5160</v>
      </c>
      <c r="C509" s="297" t="s">
        <v>1062</v>
      </c>
      <c r="D509" s="295" t="s">
        <v>686</v>
      </c>
      <c r="E509" s="295" t="s">
        <v>687</v>
      </c>
    </row>
    <row r="510" spans="2:5" x14ac:dyDescent="0.3">
      <c r="B510" s="298">
        <v>516005</v>
      </c>
      <c r="C510" s="298" t="s">
        <v>756</v>
      </c>
      <c r="D510" s="295" t="s">
        <v>686</v>
      </c>
      <c r="E510" s="295" t="s">
        <v>687</v>
      </c>
    </row>
    <row r="511" spans="2:5" x14ac:dyDescent="0.3">
      <c r="B511" s="299">
        <v>51600501</v>
      </c>
      <c r="C511" s="299" t="s">
        <v>756</v>
      </c>
      <c r="D511" s="295" t="s">
        <v>686</v>
      </c>
      <c r="E511" s="295" t="s">
        <v>691</v>
      </c>
    </row>
    <row r="512" spans="2:5" x14ac:dyDescent="0.3">
      <c r="B512" s="298">
        <v>516010</v>
      </c>
      <c r="C512" s="298" t="s">
        <v>759</v>
      </c>
      <c r="D512" s="295" t="s">
        <v>686</v>
      </c>
      <c r="E512" s="295" t="s">
        <v>687</v>
      </c>
    </row>
    <row r="513" spans="2:5" x14ac:dyDescent="0.3">
      <c r="B513" s="299">
        <v>51600501</v>
      </c>
      <c r="C513" s="299" t="s">
        <v>759</v>
      </c>
      <c r="D513" s="295" t="s">
        <v>686</v>
      </c>
      <c r="E513" s="295" t="s">
        <v>691</v>
      </c>
    </row>
    <row r="514" spans="2:5" x14ac:dyDescent="0.3">
      <c r="B514" s="298">
        <v>516015</v>
      </c>
      <c r="C514" s="298" t="s">
        <v>761</v>
      </c>
      <c r="D514" s="295" t="s">
        <v>686</v>
      </c>
      <c r="E514" s="295" t="s">
        <v>687</v>
      </c>
    </row>
    <row r="515" spans="2:5" x14ac:dyDescent="0.3">
      <c r="B515" s="299">
        <v>51601501</v>
      </c>
      <c r="C515" s="299" t="s">
        <v>761</v>
      </c>
      <c r="D515" s="295" t="s">
        <v>686</v>
      </c>
      <c r="E515" s="295" t="s">
        <v>691</v>
      </c>
    </row>
    <row r="516" spans="2:5" x14ac:dyDescent="0.3">
      <c r="B516" s="298">
        <v>516020</v>
      </c>
      <c r="C516" s="298" t="s">
        <v>774</v>
      </c>
      <c r="D516" s="295" t="s">
        <v>686</v>
      </c>
      <c r="E516" s="295" t="s">
        <v>687</v>
      </c>
    </row>
    <row r="517" spans="2:5" x14ac:dyDescent="0.3">
      <c r="B517" s="299">
        <v>51602002</v>
      </c>
      <c r="C517" s="299" t="s">
        <v>1063</v>
      </c>
      <c r="D517" s="295" t="s">
        <v>686</v>
      </c>
      <c r="E517" s="295" t="s">
        <v>691</v>
      </c>
    </row>
    <row r="518" spans="2:5" x14ac:dyDescent="0.3">
      <c r="B518" s="298">
        <v>516035</v>
      </c>
      <c r="C518" s="298" t="s">
        <v>779</v>
      </c>
      <c r="D518" s="295" t="s">
        <v>686</v>
      </c>
      <c r="E518" s="295" t="s">
        <v>687</v>
      </c>
    </row>
    <row r="519" spans="2:5" x14ac:dyDescent="0.3">
      <c r="B519" s="299">
        <v>51603501</v>
      </c>
      <c r="C519" s="299" t="s">
        <v>779</v>
      </c>
      <c r="D519" s="295" t="s">
        <v>686</v>
      </c>
      <c r="E519" s="295" t="s">
        <v>691</v>
      </c>
    </row>
    <row r="520" spans="2:5" x14ac:dyDescent="0.3">
      <c r="B520" s="297">
        <v>5165</v>
      </c>
      <c r="C520" s="297" t="s">
        <v>1064</v>
      </c>
      <c r="D520" s="295" t="s">
        <v>686</v>
      </c>
      <c r="E520" s="295" t="s">
        <v>687</v>
      </c>
    </row>
    <row r="521" spans="2:5" x14ac:dyDescent="0.3">
      <c r="B521" s="298">
        <v>516510</v>
      </c>
      <c r="C521" s="298" t="s">
        <v>799</v>
      </c>
      <c r="D521" s="295" t="s">
        <v>686</v>
      </c>
      <c r="E521" s="295" t="s">
        <v>687</v>
      </c>
    </row>
    <row r="522" spans="2:5" x14ac:dyDescent="0.3">
      <c r="B522" s="299">
        <v>51651001</v>
      </c>
      <c r="C522" s="299" t="s">
        <v>800</v>
      </c>
      <c r="D522" s="295" t="s">
        <v>686</v>
      </c>
      <c r="E522" s="295" t="s">
        <v>691</v>
      </c>
    </row>
    <row r="523" spans="2:5" x14ac:dyDescent="0.3">
      <c r="B523" s="297">
        <v>5195</v>
      </c>
      <c r="C523" s="297" t="s">
        <v>966</v>
      </c>
      <c r="D523" s="295" t="s">
        <v>686</v>
      </c>
      <c r="E523" s="295" t="s">
        <v>687</v>
      </c>
    </row>
    <row r="524" spans="2:5" x14ac:dyDescent="0.3">
      <c r="B524" s="298">
        <v>519505</v>
      </c>
      <c r="C524" s="298" t="s">
        <v>966</v>
      </c>
      <c r="D524" s="295" t="s">
        <v>686</v>
      </c>
      <c r="E524" s="295" t="s">
        <v>687</v>
      </c>
    </row>
    <row r="525" spans="2:5" x14ac:dyDescent="0.3">
      <c r="B525" s="299">
        <v>51950501</v>
      </c>
      <c r="C525" s="299" t="s">
        <v>1065</v>
      </c>
      <c r="D525" s="295" t="s">
        <v>686</v>
      </c>
      <c r="E525" s="295" t="s">
        <v>691</v>
      </c>
    </row>
    <row r="526" spans="2:5" x14ac:dyDescent="0.3">
      <c r="B526" s="299">
        <v>51950502</v>
      </c>
      <c r="C526" s="299" t="s">
        <v>1057</v>
      </c>
      <c r="D526" s="295" t="s">
        <v>686</v>
      </c>
      <c r="E526" s="295" t="s">
        <v>691</v>
      </c>
    </row>
    <row r="527" spans="2:5" x14ac:dyDescent="0.3">
      <c r="B527" s="299">
        <v>51950503</v>
      </c>
      <c r="C527" s="299" t="s">
        <v>1066</v>
      </c>
      <c r="D527" s="295" t="s">
        <v>686</v>
      </c>
      <c r="E527" s="295" t="s">
        <v>691</v>
      </c>
    </row>
    <row r="528" spans="2:5" x14ac:dyDescent="0.3">
      <c r="B528" s="299">
        <v>51950504</v>
      </c>
      <c r="C528" s="299" t="s">
        <v>1067</v>
      </c>
      <c r="D528" s="295" t="s">
        <v>686</v>
      </c>
      <c r="E528" s="295" t="s">
        <v>691</v>
      </c>
    </row>
    <row r="529" spans="2:5" x14ac:dyDescent="0.3">
      <c r="B529" s="299">
        <v>51950505</v>
      </c>
      <c r="C529" s="299" t="s">
        <v>1068</v>
      </c>
      <c r="D529" s="295" t="s">
        <v>686</v>
      </c>
      <c r="E529" s="295" t="s">
        <v>691</v>
      </c>
    </row>
    <row r="530" spans="2:5" x14ac:dyDescent="0.3">
      <c r="B530" s="299">
        <v>51950506</v>
      </c>
      <c r="C530" s="299" t="s">
        <v>1069</v>
      </c>
      <c r="D530" s="295" t="s">
        <v>686</v>
      </c>
      <c r="E530" s="295" t="s">
        <v>691</v>
      </c>
    </row>
    <row r="531" spans="2:5" x14ac:dyDescent="0.3">
      <c r="B531" s="299">
        <v>51950507</v>
      </c>
      <c r="C531" s="299" t="s">
        <v>1070</v>
      </c>
      <c r="D531" s="295" t="s">
        <v>686</v>
      </c>
      <c r="E531" s="295" t="s">
        <v>691</v>
      </c>
    </row>
    <row r="532" spans="2:5" x14ac:dyDescent="0.3">
      <c r="B532" s="299">
        <v>51950508</v>
      </c>
      <c r="C532" s="299" t="s">
        <v>1071</v>
      </c>
      <c r="D532" s="295" t="s">
        <v>686</v>
      </c>
      <c r="E532" s="295" t="s">
        <v>691</v>
      </c>
    </row>
    <row r="533" spans="2:5" x14ac:dyDescent="0.3">
      <c r="B533" s="299">
        <v>51950509</v>
      </c>
      <c r="C533" s="299" t="s">
        <v>971</v>
      </c>
      <c r="D533" s="295" t="s">
        <v>686</v>
      </c>
      <c r="E533" s="295" t="s">
        <v>691</v>
      </c>
    </row>
    <row r="534" spans="2:5" x14ac:dyDescent="0.3">
      <c r="B534" s="299">
        <v>51950595</v>
      </c>
      <c r="C534" s="299" t="s">
        <v>743</v>
      </c>
      <c r="D534" s="295" t="s">
        <v>686</v>
      </c>
      <c r="E534" s="295" t="s">
        <v>691</v>
      </c>
    </row>
    <row r="535" spans="2:5" x14ac:dyDescent="0.3">
      <c r="B535" s="296">
        <v>53</v>
      </c>
      <c r="C535" s="296" t="s">
        <v>958</v>
      </c>
      <c r="D535" s="295" t="s">
        <v>686</v>
      </c>
      <c r="E535" s="295" t="s">
        <v>687</v>
      </c>
    </row>
    <row r="536" spans="2:5" x14ac:dyDescent="0.3">
      <c r="B536" s="297">
        <v>5305</v>
      </c>
      <c r="C536" s="297" t="s">
        <v>959</v>
      </c>
      <c r="D536" s="295" t="s">
        <v>686</v>
      </c>
      <c r="E536" s="295" t="s">
        <v>687</v>
      </c>
    </row>
    <row r="537" spans="2:5" x14ac:dyDescent="0.3">
      <c r="B537" s="298">
        <v>530505</v>
      </c>
      <c r="C537" s="298" t="s">
        <v>1072</v>
      </c>
      <c r="D537" s="295" t="s">
        <v>686</v>
      </c>
      <c r="E537" s="295" t="s">
        <v>687</v>
      </c>
    </row>
    <row r="538" spans="2:5" x14ac:dyDescent="0.3">
      <c r="B538" s="299">
        <v>53050501</v>
      </c>
      <c r="C538" s="299" t="s">
        <v>1072</v>
      </c>
      <c r="D538" s="295" t="s">
        <v>686</v>
      </c>
      <c r="E538" s="295" t="s">
        <v>691</v>
      </c>
    </row>
    <row r="539" spans="2:5" x14ac:dyDescent="0.3">
      <c r="B539" s="298">
        <v>530510</v>
      </c>
      <c r="C539" s="298" t="s">
        <v>1073</v>
      </c>
      <c r="D539" s="295" t="s">
        <v>686</v>
      </c>
      <c r="E539" s="295" t="s">
        <v>687</v>
      </c>
    </row>
    <row r="540" spans="2:5" x14ac:dyDescent="0.3">
      <c r="B540" s="299">
        <v>53051001</v>
      </c>
      <c r="C540" s="299" t="s">
        <v>784</v>
      </c>
      <c r="D540" s="295" t="s">
        <v>686</v>
      </c>
      <c r="E540" s="295" t="s">
        <v>691</v>
      </c>
    </row>
    <row r="541" spans="2:5" x14ac:dyDescent="0.3">
      <c r="B541" s="299">
        <v>53051002</v>
      </c>
      <c r="C541" s="299" t="s">
        <v>1074</v>
      </c>
      <c r="D541" s="295" t="s">
        <v>686</v>
      </c>
      <c r="E541" s="295" t="s">
        <v>691</v>
      </c>
    </row>
    <row r="542" spans="2:5" x14ac:dyDescent="0.3">
      <c r="B542" s="299">
        <v>53051003</v>
      </c>
      <c r="C542" s="299" t="s">
        <v>960</v>
      </c>
      <c r="D542" s="295" t="s">
        <v>686</v>
      </c>
      <c r="E542" s="295" t="s">
        <v>691</v>
      </c>
    </row>
    <row r="543" spans="2:5" x14ac:dyDescent="0.3">
      <c r="B543" s="298">
        <v>530550</v>
      </c>
      <c r="C543" s="298" t="s">
        <v>971</v>
      </c>
      <c r="D543" s="295" t="s">
        <v>686</v>
      </c>
      <c r="E543" s="295" t="s">
        <v>687</v>
      </c>
    </row>
    <row r="544" spans="2:5" x14ac:dyDescent="0.3">
      <c r="B544" s="299">
        <v>53055001</v>
      </c>
      <c r="C544" s="299" t="s">
        <v>971</v>
      </c>
      <c r="D544" s="295" t="s">
        <v>686</v>
      </c>
      <c r="E544" s="295" t="s">
        <v>691</v>
      </c>
    </row>
    <row r="545" spans="2:5" x14ac:dyDescent="0.3">
      <c r="B545" s="297">
        <v>5315</v>
      </c>
      <c r="C545" s="297" t="s">
        <v>1075</v>
      </c>
      <c r="D545" s="295" t="s">
        <v>686</v>
      </c>
      <c r="E545" s="295" t="s">
        <v>687</v>
      </c>
    </row>
    <row r="546" spans="2:5" x14ac:dyDescent="0.3">
      <c r="B546" s="298">
        <v>531515</v>
      </c>
      <c r="C546" s="298" t="s">
        <v>1076</v>
      </c>
      <c r="D546" s="295" t="s">
        <v>686</v>
      </c>
      <c r="E546" s="295" t="s">
        <v>687</v>
      </c>
    </row>
    <row r="547" spans="2:5" x14ac:dyDescent="0.3">
      <c r="B547" s="299">
        <v>53151501</v>
      </c>
      <c r="C547" s="299" t="s">
        <v>1076</v>
      </c>
      <c r="D547" s="295" t="s">
        <v>686</v>
      </c>
      <c r="E547" s="295" t="s">
        <v>691</v>
      </c>
    </row>
    <row r="548" spans="2:5" x14ac:dyDescent="0.3">
      <c r="B548" s="298">
        <v>531520</v>
      </c>
      <c r="C548" s="298" t="s">
        <v>1077</v>
      </c>
      <c r="D548" s="295" t="s">
        <v>686</v>
      </c>
      <c r="E548" s="295" t="s">
        <v>687</v>
      </c>
    </row>
    <row r="549" spans="2:5" x14ac:dyDescent="0.3">
      <c r="B549" s="299">
        <v>53152001</v>
      </c>
      <c r="C549" s="299" t="s">
        <v>1078</v>
      </c>
      <c r="D549" s="295" t="s">
        <v>686</v>
      </c>
      <c r="E549" s="295" t="s">
        <v>691</v>
      </c>
    </row>
    <row r="550" spans="2:5" x14ac:dyDescent="0.3">
      <c r="B550" s="299">
        <v>53152002</v>
      </c>
      <c r="C550" s="299" t="s">
        <v>784</v>
      </c>
      <c r="D550" s="295" t="s">
        <v>686</v>
      </c>
      <c r="E550" s="295" t="s">
        <v>691</v>
      </c>
    </row>
    <row r="551" spans="2:5" x14ac:dyDescent="0.3">
      <c r="B551" s="298">
        <v>531595</v>
      </c>
      <c r="C551" s="298" t="s">
        <v>743</v>
      </c>
      <c r="D551" s="295" t="s">
        <v>686</v>
      </c>
      <c r="E551" s="295" t="s">
        <v>687</v>
      </c>
    </row>
    <row r="552" spans="2:5" x14ac:dyDescent="0.3">
      <c r="B552" s="299">
        <v>53159501</v>
      </c>
      <c r="C552" s="299" t="s">
        <v>743</v>
      </c>
      <c r="D552" s="295" t="s">
        <v>686</v>
      </c>
      <c r="E552" s="295" t="s">
        <v>691</v>
      </c>
    </row>
    <row r="553" spans="2:5" x14ac:dyDescent="0.3">
      <c r="B553" s="297">
        <v>5395</v>
      </c>
      <c r="C553" s="297" t="s">
        <v>1079</v>
      </c>
      <c r="D553" s="295" t="s">
        <v>686</v>
      </c>
      <c r="E553" s="295" t="s">
        <v>687</v>
      </c>
    </row>
    <row r="554" spans="2:5" x14ac:dyDescent="0.3">
      <c r="B554" s="298">
        <v>539505</v>
      </c>
      <c r="C554" s="298" t="s">
        <v>1080</v>
      </c>
      <c r="D554" s="295" t="s">
        <v>686</v>
      </c>
      <c r="E554" s="295" t="s">
        <v>687</v>
      </c>
    </row>
    <row r="555" spans="2:5" x14ac:dyDescent="0.3">
      <c r="B555" s="299">
        <v>53950501</v>
      </c>
      <c r="C555" s="299" t="s">
        <v>1081</v>
      </c>
      <c r="D555" s="295" t="s">
        <v>686</v>
      </c>
      <c r="E555" s="295" t="s">
        <v>691</v>
      </c>
    </row>
    <row r="556" spans="2:5" x14ac:dyDescent="0.3">
      <c r="B556" s="299">
        <v>53950502</v>
      </c>
      <c r="C556" s="299" t="s">
        <v>1082</v>
      </c>
      <c r="D556" s="295" t="s">
        <v>686</v>
      </c>
      <c r="E556" s="295" t="s">
        <v>691</v>
      </c>
    </row>
    <row r="557" spans="2:5" x14ac:dyDescent="0.3">
      <c r="B557" s="299">
        <v>53950503</v>
      </c>
      <c r="C557" s="299" t="s">
        <v>1083</v>
      </c>
      <c r="D557" s="295" t="s">
        <v>686</v>
      </c>
      <c r="E557" s="295" t="s">
        <v>691</v>
      </c>
    </row>
    <row r="558" spans="2:5" x14ac:dyDescent="0.3">
      <c r="B558" s="299">
        <v>53950504</v>
      </c>
      <c r="C558" s="299" t="s">
        <v>743</v>
      </c>
      <c r="D558" s="295" t="s">
        <v>686</v>
      </c>
      <c r="E558" s="295" t="s">
        <v>691</v>
      </c>
    </row>
    <row r="559" spans="2:5" x14ac:dyDescent="0.3">
      <c r="B559" s="296">
        <v>54</v>
      </c>
      <c r="C559" s="296" t="s">
        <v>1084</v>
      </c>
      <c r="D559" s="295" t="s">
        <v>686</v>
      </c>
      <c r="E559" s="295" t="s">
        <v>687</v>
      </c>
    </row>
    <row r="560" spans="2:5" x14ac:dyDescent="0.3">
      <c r="B560" s="297">
        <v>5405</v>
      </c>
      <c r="C560" s="297" t="s">
        <v>1084</v>
      </c>
      <c r="D560" s="295" t="s">
        <v>686</v>
      </c>
      <c r="E560" s="295" t="s">
        <v>687</v>
      </c>
    </row>
    <row r="561" spans="2:5" x14ac:dyDescent="0.3">
      <c r="B561" s="298">
        <v>540505</v>
      </c>
      <c r="C561" s="298" t="s">
        <v>1084</v>
      </c>
      <c r="D561" s="295" t="s">
        <v>686</v>
      </c>
      <c r="E561" s="295" t="s">
        <v>687</v>
      </c>
    </row>
    <row r="562" spans="2:5" x14ac:dyDescent="0.3">
      <c r="B562" s="299">
        <v>54050501</v>
      </c>
      <c r="C562" s="299" t="s">
        <v>1085</v>
      </c>
      <c r="D562" s="295" t="s">
        <v>686</v>
      </c>
      <c r="E562" s="295" t="s">
        <v>691</v>
      </c>
    </row>
    <row r="563" spans="2:5" x14ac:dyDescent="0.3">
      <c r="B563" s="296">
        <v>59</v>
      </c>
      <c r="C563" s="296" t="s">
        <v>1086</v>
      </c>
      <c r="D563" s="295" t="s">
        <v>686</v>
      </c>
      <c r="E563" s="295" t="s">
        <v>687</v>
      </c>
    </row>
    <row r="564" spans="2:5" x14ac:dyDescent="0.3">
      <c r="B564" s="297">
        <v>5905</v>
      </c>
      <c r="C564" s="297" t="s">
        <v>1087</v>
      </c>
      <c r="D564" s="295" t="s">
        <v>686</v>
      </c>
      <c r="E564" s="295" t="s">
        <v>687</v>
      </c>
    </row>
    <row r="565" spans="2:5" x14ac:dyDescent="0.3">
      <c r="B565" s="298">
        <v>590505</v>
      </c>
      <c r="C565" s="298" t="s">
        <v>1086</v>
      </c>
      <c r="D565" s="295" t="s">
        <v>686</v>
      </c>
      <c r="E565" s="295" t="s">
        <v>687</v>
      </c>
    </row>
    <row r="566" spans="2:5" x14ac:dyDescent="0.3">
      <c r="B566" s="300">
        <v>59050501</v>
      </c>
      <c r="C566" s="300" t="s">
        <v>1086</v>
      </c>
      <c r="D566" s="295" t="s">
        <v>686</v>
      </c>
      <c r="E566" s="295" t="s">
        <v>691</v>
      </c>
    </row>
    <row r="567" spans="2:5" x14ac:dyDescent="0.3">
      <c r="B567" s="296">
        <v>61</v>
      </c>
      <c r="C567" s="296" t="s">
        <v>1088</v>
      </c>
      <c r="D567" s="295" t="s">
        <v>686</v>
      </c>
      <c r="E567" s="295" t="s">
        <v>687</v>
      </c>
    </row>
    <row r="568" spans="2:5" x14ac:dyDescent="0.3">
      <c r="B568" s="297">
        <v>6110</v>
      </c>
      <c r="C568" s="297" t="s">
        <v>1089</v>
      </c>
      <c r="D568" s="295" t="s">
        <v>686</v>
      </c>
      <c r="E568" s="295" t="s">
        <v>687</v>
      </c>
    </row>
    <row r="569" spans="2:5" x14ac:dyDescent="0.3">
      <c r="B569" s="298">
        <v>62</v>
      </c>
      <c r="C569" s="298" t="s">
        <v>1090</v>
      </c>
      <c r="D569" s="295" t="s">
        <v>686</v>
      </c>
      <c r="E569" s="295" t="s">
        <v>687</v>
      </c>
    </row>
    <row r="570" spans="2:5" x14ac:dyDescent="0.3">
      <c r="B570" s="298">
        <v>6205</v>
      </c>
      <c r="C570" s="298" t="s">
        <v>1091</v>
      </c>
      <c r="D570" s="295" t="s">
        <v>686</v>
      </c>
      <c r="E570" s="295" t="s">
        <v>687</v>
      </c>
    </row>
    <row r="571" spans="2:5" x14ac:dyDescent="0.3">
      <c r="B571" s="299">
        <v>620505</v>
      </c>
      <c r="C571" s="300" t="s">
        <v>1092</v>
      </c>
      <c r="D571" s="295" t="s">
        <v>686</v>
      </c>
      <c r="E571" s="295" t="s">
        <v>687</v>
      </c>
    </row>
    <row r="572" spans="2:5" x14ac:dyDescent="0.3">
      <c r="B572" s="299">
        <v>62050501</v>
      </c>
      <c r="C572" s="300" t="s">
        <v>1092</v>
      </c>
      <c r="D572" s="295" t="s">
        <v>686</v>
      </c>
      <c r="E572" s="295" t="s">
        <v>691</v>
      </c>
    </row>
    <row r="573" spans="2:5" x14ac:dyDescent="0.3">
      <c r="B573" s="298">
        <v>6210</v>
      </c>
      <c r="C573" s="298" t="s">
        <v>1093</v>
      </c>
      <c r="D573" s="295" t="s">
        <v>686</v>
      </c>
      <c r="E573" s="295" t="s">
        <v>687</v>
      </c>
    </row>
    <row r="574" spans="2:5" x14ac:dyDescent="0.3">
      <c r="B574" s="299">
        <v>621005</v>
      </c>
      <c r="C574" s="300" t="s">
        <v>1092</v>
      </c>
      <c r="D574" s="295" t="s">
        <v>686</v>
      </c>
      <c r="E574" s="295" t="s">
        <v>687</v>
      </c>
    </row>
    <row r="575" spans="2:5" x14ac:dyDescent="0.3">
      <c r="B575" s="299">
        <v>6210501</v>
      </c>
      <c r="C575" s="300" t="s">
        <v>1092</v>
      </c>
      <c r="D575" s="295" t="s">
        <v>686</v>
      </c>
      <c r="E575" s="295" t="s">
        <v>691</v>
      </c>
    </row>
    <row r="576" spans="2:5" x14ac:dyDescent="0.3">
      <c r="B576" s="298">
        <v>6215</v>
      </c>
      <c r="C576" s="298" t="s">
        <v>1094</v>
      </c>
      <c r="D576" s="295" t="s">
        <v>686</v>
      </c>
      <c r="E576" s="295" t="s">
        <v>687</v>
      </c>
    </row>
    <row r="577" spans="2:5" x14ac:dyDescent="0.3">
      <c r="B577" s="299">
        <v>621505</v>
      </c>
      <c r="C577" s="300" t="s">
        <v>1092</v>
      </c>
      <c r="D577" s="295" t="s">
        <v>686</v>
      </c>
      <c r="E577" s="295" t="s">
        <v>687</v>
      </c>
    </row>
    <row r="578" spans="2:5" x14ac:dyDescent="0.3">
      <c r="B578" s="299">
        <v>62150501</v>
      </c>
      <c r="C578" s="300" t="s">
        <v>1092</v>
      </c>
      <c r="D578" s="295" t="s">
        <v>686</v>
      </c>
      <c r="E578" s="295" t="s">
        <v>691</v>
      </c>
    </row>
    <row r="579" spans="2:5" x14ac:dyDescent="0.3">
      <c r="B579" s="298">
        <v>6220</v>
      </c>
      <c r="C579" s="298" t="s">
        <v>1095</v>
      </c>
      <c r="D579" s="295" t="s">
        <v>686</v>
      </c>
      <c r="E579" s="295" t="s">
        <v>687</v>
      </c>
    </row>
    <row r="580" spans="2:5" x14ac:dyDescent="0.3">
      <c r="B580" s="299">
        <v>622005</v>
      </c>
      <c r="C580" s="300" t="s">
        <v>1092</v>
      </c>
      <c r="D580" s="295" t="s">
        <v>686</v>
      </c>
      <c r="E580" s="295" t="s">
        <v>687</v>
      </c>
    </row>
    <row r="581" spans="2:5" x14ac:dyDescent="0.3">
      <c r="B581" s="299">
        <v>62200501</v>
      </c>
      <c r="C581" s="300" t="s">
        <v>1092</v>
      </c>
      <c r="D581" s="295" t="s">
        <v>686</v>
      </c>
      <c r="E581" s="295" t="s">
        <v>687</v>
      </c>
    </row>
    <row r="582" spans="2:5" x14ac:dyDescent="0.3">
      <c r="B582" s="295"/>
      <c r="C582" s="295"/>
      <c r="D582" s="295" t="s">
        <v>686</v>
      </c>
      <c r="E582" s="295" t="s">
        <v>691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0CD8-C744-49FA-AC0E-61A6C3559762}">
  <sheetPr codeName="Hoja22"/>
  <dimension ref="A1:G1000"/>
  <sheetViews>
    <sheetView showGridLines="0" workbookViewId="0">
      <selection activeCell="C15" sqref="C15"/>
    </sheetView>
  </sheetViews>
  <sheetFormatPr baseColWidth="10" defaultColWidth="14.44140625" defaultRowHeight="15" customHeight="1" x14ac:dyDescent="0.3"/>
  <cols>
    <col min="1" max="1" width="10.6640625" customWidth="1"/>
    <col min="2" max="2" width="30.33203125" customWidth="1"/>
    <col min="3" max="4" width="10.6640625" customWidth="1"/>
    <col min="5" max="5" width="22.5546875" customWidth="1"/>
    <col min="6" max="26" width="10.6640625" customWidth="1"/>
  </cols>
  <sheetData>
    <row r="1" spans="1:7" ht="14.25" customHeight="1" x14ac:dyDescent="0.3">
      <c r="A1" s="271" t="s">
        <v>1096</v>
      </c>
    </row>
    <row r="2" spans="1:7" ht="14.25" customHeight="1" x14ac:dyDescent="0.3">
      <c r="A2" s="273" t="s">
        <v>633</v>
      </c>
    </row>
    <row r="3" spans="1:7" ht="14.25" customHeight="1" x14ac:dyDescent="0.3">
      <c r="A3" s="273" t="s">
        <v>635</v>
      </c>
    </row>
    <row r="4" spans="1:7" ht="14.25" customHeight="1" x14ac:dyDescent="0.3"/>
    <row r="5" spans="1:7" ht="14.25" customHeight="1" x14ac:dyDescent="0.3"/>
    <row r="6" spans="1:7" ht="14.25" customHeight="1" x14ac:dyDescent="0.3">
      <c r="A6" s="432" t="s">
        <v>1097</v>
      </c>
      <c r="B6" s="432" t="s">
        <v>1098</v>
      </c>
      <c r="C6" s="434" t="s">
        <v>638</v>
      </c>
      <c r="D6" s="432" t="s">
        <v>1099</v>
      </c>
      <c r="E6" s="434" t="s">
        <v>1100</v>
      </c>
      <c r="F6" s="431" t="s">
        <v>1101</v>
      </c>
      <c r="G6" s="429"/>
    </row>
    <row r="7" spans="1:7" ht="14.25" customHeight="1" x14ac:dyDescent="0.3">
      <c r="A7" s="433"/>
      <c r="B7" s="433"/>
      <c r="C7" s="433"/>
      <c r="D7" s="433"/>
      <c r="E7" s="433"/>
      <c r="F7" s="303" t="s">
        <v>645</v>
      </c>
      <c r="G7" s="303" t="s">
        <v>646</v>
      </c>
    </row>
    <row r="8" spans="1:7" ht="14.25" customHeight="1" x14ac:dyDescent="0.3"/>
    <row r="9" spans="1:7" ht="14.25" customHeight="1" x14ac:dyDescent="0.3"/>
    <row r="10" spans="1:7" ht="14.25" customHeight="1" thickBot="1" x14ac:dyDescent="0.35"/>
    <row r="11" spans="1:7" ht="14.25" customHeight="1" thickBot="1" x14ac:dyDescent="0.35">
      <c r="E11" s="273" t="s">
        <v>1102</v>
      </c>
      <c r="F11" s="304">
        <v>0</v>
      </c>
      <c r="G11" s="304">
        <v>0</v>
      </c>
    </row>
    <row r="12" spans="1:7" ht="14.25" customHeight="1" x14ac:dyDescent="0.3">
      <c r="E12" s="273" t="s">
        <v>1103</v>
      </c>
      <c r="F12" s="304">
        <f>IF(F11&lt;G11,G11-F11,0)</f>
        <v>0</v>
      </c>
      <c r="G12" s="304">
        <f>IF(G11&lt;F11,F11-G11,0)</f>
        <v>0</v>
      </c>
    </row>
    <row r="13" spans="1:7" ht="14.25" customHeight="1" thickBot="1" x14ac:dyDescent="0.35">
      <c r="F13" s="305"/>
      <c r="G13" s="305"/>
    </row>
    <row r="14" spans="1:7" ht="14.25" customHeight="1" thickTop="1" x14ac:dyDescent="0.3"/>
    <row r="15" spans="1:7" ht="14.25" customHeight="1" x14ac:dyDescent="0.3"/>
    <row r="16" spans="1:7" ht="14.25" customHeight="1" x14ac:dyDescent="0.3"/>
    <row r="17" spans="1:2" ht="14.25" customHeight="1" x14ac:dyDescent="0.3"/>
    <row r="18" spans="1:2" ht="14.25" customHeight="1" x14ac:dyDescent="0.3"/>
    <row r="19" spans="1:2" ht="14.25" customHeight="1" x14ac:dyDescent="0.3"/>
    <row r="20" spans="1:2" ht="14.25" customHeight="1" x14ac:dyDescent="0.3"/>
    <row r="21" spans="1:2" ht="14.25" customHeight="1" x14ac:dyDescent="0.3"/>
    <row r="22" spans="1:2" ht="14.25" customHeight="1" x14ac:dyDescent="0.3"/>
    <row r="23" spans="1:2" ht="14.25" customHeight="1" x14ac:dyDescent="0.3">
      <c r="A23" s="306"/>
    </row>
    <row r="24" spans="1:2" ht="14.25" customHeight="1" x14ac:dyDescent="0.3">
      <c r="A24" s="306"/>
      <c r="B24" s="279"/>
    </row>
    <row r="25" spans="1:2" ht="14.25" customHeight="1" x14ac:dyDescent="0.3"/>
    <row r="26" spans="1:2" ht="14.25" customHeight="1" x14ac:dyDescent="0.3"/>
    <row r="27" spans="1:2" ht="14.25" customHeight="1" x14ac:dyDescent="0.3"/>
    <row r="28" spans="1:2" ht="14.25" customHeight="1" x14ac:dyDescent="0.3"/>
    <row r="29" spans="1:2" ht="14.25" customHeight="1" x14ac:dyDescent="0.3"/>
    <row r="30" spans="1:2" ht="14.25" customHeight="1" x14ac:dyDescent="0.3"/>
    <row r="31" spans="1:2" ht="14.25" customHeight="1" x14ac:dyDescent="0.3"/>
    <row r="32" spans="1: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6">
    <mergeCell ref="F6:G6"/>
    <mergeCell ref="A6:A7"/>
    <mergeCell ref="B6:B7"/>
    <mergeCell ref="C6:C7"/>
    <mergeCell ref="D6:D7"/>
    <mergeCell ref="E6:E7"/>
  </mergeCells>
  <conditionalFormatting sqref="E11:E12">
    <cfRule type="cellIs" dxfId="21" priority="1" stopIfTrue="1" operator="equal">
      <formula>"TRANSFERENCIA"</formula>
    </cfRule>
  </conditionalFormatting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C359-25CF-433B-A0FB-ECEB3CCD7F31}">
  <sheetPr codeName="Hoja17">
    <tabColor theme="3" tint="0.39997558519241921"/>
    <pageSetUpPr fitToPage="1"/>
  </sheetPr>
  <dimension ref="A1:Z999"/>
  <sheetViews>
    <sheetView showGridLines="0" workbookViewId="0">
      <pane ySplit="1" topLeftCell="A2" activePane="bottomLeft" state="frozen"/>
      <selection activeCell="C15" sqref="C15"/>
      <selection pane="bottomLeft" activeCell="C15" sqref="C15"/>
    </sheetView>
  </sheetViews>
  <sheetFormatPr baseColWidth="10" defaultColWidth="13.77734375" defaultRowHeight="15" customHeight="1" x14ac:dyDescent="0.25"/>
  <cols>
    <col min="1" max="1" width="4" style="220" customWidth="1"/>
    <col min="2" max="2" width="29.6640625" style="220" customWidth="1"/>
    <col min="3" max="14" width="12.77734375" style="220" customWidth="1"/>
    <col min="15" max="15" width="14.33203125" style="220" customWidth="1"/>
    <col min="16" max="16" width="4" style="220" customWidth="1"/>
    <col min="17" max="26" width="10.44140625" style="220" customWidth="1"/>
    <col min="27" max="16384" width="13.77734375" style="220"/>
  </cols>
  <sheetData>
    <row r="1" spans="1:26" s="214" customFormat="1" ht="50.25" customHeight="1" x14ac:dyDescent="0.3">
      <c r="A1" s="214" t="s">
        <v>191</v>
      </c>
      <c r="B1" s="215" t="s">
        <v>623</v>
      </c>
      <c r="C1" s="216"/>
      <c r="D1" s="216"/>
      <c r="E1" s="216"/>
      <c r="F1" s="217"/>
      <c r="G1" s="218"/>
      <c r="H1" s="218"/>
      <c r="I1" s="218"/>
    </row>
    <row r="2" spans="1:26" ht="16.2" thickBot="1" x14ac:dyDescent="0.35">
      <c r="A2" s="219"/>
    </row>
    <row r="3" spans="1:26" ht="30" x14ac:dyDescent="0.25">
      <c r="A3" s="221"/>
      <c r="B3" s="222" t="s">
        <v>624</v>
      </c>
      <c r="C3" s="223" t="s">
        <v>559</v>
      </c>
      <c r="D3" s="224" t="s">
        <v>564</v>
      </c>
      <c r="E3" s="225" t="s">
        <v>565</v>
      </c>
      <c r="F3" s="226" t="s">
        <v>566</v>
      </c>
      <c r="G3" s="227" t="s">
        <v>567</v>
      </c>
      <c r="H3" s="228" t="s">
        <v>568</v>
      </c>
      <c r="I3" s="229" t="s">
        <v>569</v>
      </c>
      <c r="J3" s="230" t="s">
        <v>570</v>
      </c>
      <c r="K3" s="231" t="s">
        <v>625</v>
      </c>
      <c r="L3" s="232" t="s">
        <v>572</v>
      </c>
      <c r="M3" s="233" t="s">
        <v>573</v>
      </c>
      <c r="N3" s="234" t="s">
        <v>574</v>
      </c>
      <c r="O3" s="235" t="s">
        <v>626</v>
      </c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</row>
    <row r="4" spans="1:26" ht="24" customHeight="1" x14ac:dyDescent="0.3">
      <c r="A4" s="219"/>
      <c r="B4" s="236"/>
      <c r="C4" s="237"/>
      <c r="D4" s="238"/>
      <c r="E4" s="239"/>
      <c r="F4" s="237"/>
      <c r="G4" s="238"/>
      <c r="H4" s="239"/>
      <c r="I4" s="237"/>
      <c r="J4" s="238"/>
      <c r="K4" s="239"/>
      <c r="L4" s="237"/>
      <c r="M4" s="238"/>
      <c r="N4" s="240"/>
      <c r="O4" s="241">
        <f t="shared" ref="O4:O32" si="0">SUM(C4:N4)</f>
        <v>0</v>
      </c>
    </row>
    <row r="5" spans="1:26" ht="24" customHeight="1" x14ac:dyDescent="0.3">
      <c r="A5" s="219"/>
      <c r="B5" s="242"/>
      <c r="C5" s="243"/>
      <c r="D5" s="244"/>
      <c r="E5" s="245"/>
      <c r="F5" s="243"/>
      <c r="G5" s="244"/>
      <c r="H5" s="245"/>
      <c r="I5" s="243"/>
      <c r="J5" s="244"/>
      <c r="K5" s="245"/>
      <c r="L5" s="243"/>
      <c r="M5" s="244"/>
      <c r="N5" s="246"/>
      <c r="O5" s="247">
        <f t="shared" si="0"/>
        <v>0</v>
      </c>
    </row>
    <row r="6" spans="1:26" ht="24" customHeight="1" x14ac:dyDescent="0.3">
      <c r="A6" s="219"/>
      <c r="B6" s="236"/>
      <c r="C6" s="237"/>
      <c r="D6" s="238"/>
      <c r="E6" s="239"/>
      <c r="F6" s="237"/>
      <c r="G6" s="238"/>
      <c r="H6" s="239"/>
      <c r="I6" s="237"/>
      <c r="J6" s="238"/>
      <c r="K6" s="239"/>
      <c r="L6" s="237"/>
      <c r="M6" s="238"/>
      <c r="N6" s="240"/>
      <c r="O6" s="241">
        <f t="shared" si="0"/>
        <v>0</v>
      </c>
    </row>
    <row r="7" spans="1:26" ht="24" customHeight="1" x14ac:dyDescent="0.3">
      <c r="A7" s="219"/>
      <c r="B7" s="242"/>
      <c r="C7" s="243"/>
      <c r="D7" s="244"/>
      <c r="E7" s="245"/>
      <c r="F7" s="243"/>
      <c r="G7" s="244"/>
      <c r="H7" s="245"/>
      <c r="I7" s="243"/>
      <c r="J7" s="244"/>
      <c r="K7" s="245"/>
      <c r="L7" s="243"/>
      <c r="M7" s="244"/>
      <c r="N7" s="246"/>
      <c r="O7" s="247">
        <f t="shared" si="0"/>
        <v>0</v>
      </c>
    </row>
    <row r="8" spans="1:26" ht="24" customHeight="1" x14ac:dyDescent="0.3">
      <c r="A8" s="219"/>
      <c r="B8" s="236"/>
      <c r="C8" s="237"/>
      <c r="D8" s="238"/>
      <c r="E8" s="239"/>
      <c r="F8" s="237"/>
      <c r="G8" s="238"/>
      <c r="H8" s="239"/>
      <c r="I8" s="237"/>
      <c r="J8" s="238"/>
      <c r="K8" s="239"/>
      <c r="L8" s="237"/>
      <c r="M8" s="238"/>
      <c r="N8" s="240"/>
      <c r="O8" s="241">
        <f t="shared" si="0"/>
        <v>0</v>
      </c>
    </row>
    <row r="9" spans="1:26" ht="24" customHeight="1" x14ac:dyDescent="0.3">
      <c r="A9" s="219"/>
      <c r="B9" s="242"/>
      <c r="C9" s="243"/>
      <c r="D9" s="244"/>
      <c r="E9" s="245"/>
      <c r="F9" s="243"/>
      <c r="G9" s="244"/>
      <c r="H9" s="245"/>
      <c r="I9" s="243"/>
      <c r="J9" s="244"/>
      <c r="K9" s="245"/>
      <c r="L9" s="243"/>
      <c r="M9" s="244"/>
      <c r="N9" s="246"/>
      <c r="O9" s="247">
        <f t="shared" si="0"/>
        <v>0</v>
      </c>
    </row>
    <row r="10" spans="1:26" ht="24" customHeight="1" x14ac:dyDescent="0.3">
      <c r="A10" s="219"/>
      <c r="B10" s="236"/>
      <c r="C10" s="237"/>
      <c r="D10" s="238"/>
      <c r="E10" s="239"/>
      <c r="F10" s="237"/>
      <c r="G10" s="238"/>
      <c r="H10" s="239"/>
      <c r="I10" s="237"/>
      <c r="J10" s="238"/>
      <c r="K10" s="239"/>
      <c r="L10" s="237"/>
      <c r="M10" s="238"/>
      <c r="N10" s="240"/>
      <c r="O10" s="241">
        <f t="shared" si="0"/>
        <v>0</v>
      </c>
    </row>
    <row r="11" spans="1:26" ht="24" customHeight="1" x14ac:dyDescent="0.3">
      <c r="A11" s="219"/>
      <c r="B11" s="242"/>
      <c r="C11" s="243"/>
      <c r="D11" s="244"/>
      <c r="E11" s="245"/>
      <c r="F11" s="243"/>
      <c r="G11" s="244"/>
      <c r="H11" s="245"/>
      <c r="I11" s="243"/>
      <c r="J11" s="244"/>
      <c r="K11" s="245"/>
      <c r="L11" s="243"/>
      <c r="M11" s="244"/>
      <c r="N11" s="246"/>
      <c r="O11" s="247">
        <f t="shared" si="0"/>
        <v>0</v>
      </c>
    </row>
    <row r="12" spans="1:26" ht="24" customHeight="1" x14ac:dyDescent="0.3">
      <c r="A12" s="219"/>
      <c r="B12" s="236"/>
      <c r="C12" s="237"/>
      <c r="D12" s="238"/>
      <c r="E12" s="239"/>
      <c r="F12" s="237"/>
      <c r="G12" s="238"/>
      <c r="H12" s="239"/>
      <c r="I12" s="237"/>
      <c r="J12" s="238"/>
      <c r="K12" s="239"/>
      <c r="L12" s="237"/>
      <c r="M12" s="238"/>
      <c r="N12" s="240"/>
      <c r="O12" s="241">
        <f t="shared" si="0"/>
        <v>0</v>
      </c>
    </row>
    <row r="13" spans="1:26" ht="24" customHeight="1" x14ac:dyDescent="0.3">
      <c r="A13" s="219"/>
      <c r="B13" s="242"/>
      <c r="C13" s="243"/>
      <c r="D13" s="244"/>
      <c r="E13" s="245"/>
      <c r="F13" s="243"/>
      <c r="G13" s="244"/>
      <c r="H13" s="245"/>
      <c r="I13" s="243"/>
      <c r="J13" s="244"/>
      <c r="K13" s="245"/>
      <c r="L13" s="243"/>
      <c r="M13" s="244"/>
      <c r="N13" s="246"/>
      <c r="O13" s="247">
        <f t="shared" si="0"/>
        <v>0</v>
      </c>
    </row>
    <row r="14" spans="1:26" ht="24" customHeight="1" x14ac:dyDescent="0.3">
      <c r="A14" s="219"/>
      <c r="B14" s="236"/>
      <c r="C14" s="237"/>
      <c r="D14" s="238"/>
      <c r="E14" s="239"/>
      <c r="F14" s="237"/>
      <c r="G14" s="238"/>
      <c r="H14" s="239"/>
      <c r="I14" s="237"/>
      <c r="J14" s="238"/>
      <c r="K14" s="239"/>
      <c r="L14" s="237"/>
      <c r="M14" s="238"/>
      <c r="N14" s="240"/>
      <c r="O14" s="241">
        <f t="shared" si="0"/>
        <v>0</v>
      </c>
    </row>
    <row r="15" spans="1:26" ht="24" customHeight="1" x14ac:dyDescent="0.3">
      <c r="A15" s="219"/>
      <c r="B15" s="242"/>
      <c r="C15" s="243"/>
      <c r="D15" s="244"/>
      <c r="E15" s="245"/>
      <c r="F15" s="243"/>
      <c r="G15" s="244"/>
      <c r="H15" s="245"/>
      <c r="I15" s="243"/>
      <c r="J15" s="244"/>
      <c r="K15" s="245"/>
      <c r="L15" s="243"/>
      <c r="M15" s="244"/>
      <c r="N15" s="246"/>
      <c r="O15" s="247">
        <f t="shared" si="0"/>
        <v>0</v>
      </c>
    </row>
    <row r="16" spans="1:26" ht="24" customHeight="1" x14ac:dyDescent="0.3">
      <c r="A16" s="219"/>
      <c r="B16" s="236"/>
      <c r="C16" s="237"/>
      <c r="D16" s="238"/>
      <c r="E16" s="239"/>
      <c r="F16" s="237"/>
      <c r="G16" s="238"/>
      <c r="H16" s="239"/>
      <c r="I16" s="237"/>
      <c r="J16" s="238"/>
      <c r="K16" s="239"/>
      <c r="L16" s="237"/>
      <c r="M16" s="238"/>
      <c r="N16" s="240"/>
      <c r="O16" s="241">
        <f t="shared" si="0"/>
        <v>0</v>
      </c>
    </row>
    <row r="17" spans="1:15" ht="24" customHeight="1" x14ac:dyDescent="0.3">
      <c r="A17" s="219"/>
      <c r="B17" s="242"/>
      <c r="C17" s="243"/>
      <c r="D17" s="244"/>
      <c r="E17" s="245"/>
      <c r="F17" s="243"/>
      <c r="G17" s="244"/>
      <c r="H17" s="245"/>
      <c r="I17" s="243"/>
      <c r="J17" s="244"/>
      <c r="K17" s="245"/>
      <c r="L17" s="243"/>
      <c r="M17" s="244"/>
      <c r="N17" s="246"/>
      <c r="O17" s="247">
        <f t="shared" si="0"/>
        <v>0</v>
      </c>
    </row>
    <row r="18" spans="1:15" ht="24" customHeight="1" x14ac:dyDescent="0.3">
      <c r="A18" s="219"/>
      <c r="B18" s="236"/>
      <c r="C18" s="237"/>
      <c r="D18" s="238"/>
      <c r="E18" s="239"/>
      <c r="F18" s="237"/>
      <c r="G18" s="238"/>
      <c r="H18" s="239"/>
      <c r="I18" s="237"/>
      <c r="J18" s="238"/>
      <c r="K18" s="239"/>
      <c r="L18" s="237"/>
      <c r="M18" s="238"/>
      <c r="N18" s="240"/>
      <c r="O18" s="241">
        <f t="shared" si="0"/>
        <v>0</v>
      </c>
    </row>
    <row r="19" spans="1:15" ht="24" customHeight="1" x14ac:dyDescent="0.3">
      <c r="A19" s="219"/>
      <c r="B19" s="242"/>
      <c r="C19" s="243"/>
      <c r="D19" s="244"/>
      <c r="E19" s="245"/>
      <c r="F19" s="243"/>
      <c r="G19" s="244"/>
      <c r="H19" s="245"/>
      <c r="I19" s="243"/>
      <c r="J19" s="244"/>
      <c r="K19" s="245"/>
      <c r="L19" s="243"/>
      <c r="M19" s="244"/>
      <c r="N19" s="246"/>
      <c r="O19" s="247">
        <f t="shared" si="0"/>
        <v>0</v>
      </c>
    </row>
    <row r="20" spans="1:15" ht="24" customHeight="1" x14ac:dyDescent="0.3">
      <c r="A20" s="219"/>
      <c r="B20" s="236"/>
      <c r="C20" s="237"/>
      <c r="D20" s="238"/>
      <c r="E20" s="239"/>
      <c r="F20" s="237"/>
      <c r="G20" s="238"/>
      <c r="H20" s="239"/>
      <c r="I20" s="237"/>
      <c r="J20" s="238"/>
      <c r="K20" s="239"/>
      <c r="L20" s="237"/>
      <c r="M20" s="238"/>
      <c r="N20" s="240"/>
      <c r="O20" s="241">
        <f t="shared" si="0"/>
        <v>0</v>
      </c>
    </row>
    <row r="21" spans="1:15" ht="24" customHeight="1" x14ac:dyDescent="0.3">
      <c r="A21" s="219"/>
      <c r="B21" s="242"/>
      <c r="C21" s="243"/>
      <c r="D21" s="244"/>
      <c r="E21" s="245"/>
      <c r="F21" s="243"/>
      <c r="G21" s="244"/>
      <c r="H21" s="245"/>
      <c r="I21" s="243"/>
      <c r="J21" s="244"/>
      <c r="K21" s="245"/>
      <c r="L21" s="243"/>
      <c r="M21" s="244"/>
      <c r="N21" s="246"/>
      <c r="O21" s="247">
        <f t="shared" si="0"/>
        <v>0</v>
      </c>
    </row>
    <row r="22" spans="1:15" ht="24" customHeight="1" x14ac:dyDescent="0.3">
      <c r="A22" s="219"/>
      <c r="B22" s="236"/>
      <c r="C22" s="237"/>
      <c r="D22" s="238"/>
      <c r="E22" s="239"/>
      <c r="F22" s="237"/>
      <c r="G22" s="238"/>
      <c r="H22" s="239"/>
      <c r="I22" s="237"/>
      <c r="J22" s="238"/>
      <c r="K22" s="239"/>
      <c r="L22" s="237"/>
      <c r="M22" s="238"/>
      <c r="N22" s="240"/>
      <c r="O22" s="241">
        <f t="shared" si="0"/>
        <v>0</v>
      </c>
    </row>
    <row r="23" spans="1:15" ht="24" customHeight="1" x14ac:dyDescent="0.3">
      <c r="A23" s="219"/>
      <c r="B23" s="242"/>
      <c r="C23" s="243"/>
      <c r="D23" s="244"/>
      <c r="E23" s="245"/>
      <c r="F23" s="243"/>
      <c r="G23" s="244"/>
      <c r="H23" s="245"/>
      <c r="I23" s="243"/>
      <c r="J23" s="244"/>
      <c r="K23" s="245"/>
      <c r="L23" s="243"/>
      <c r="M23" s="244"/>
      <c r="N23" s="246"/>
      <c r="O23" s="247">
        <f t="shared" si="0"/>
        <v>0</v>
      </c>
    </row>
    <row r="24" spans="1:15" ht="24" customHeight="1" x14ac:dyDescent="0.3">
      <c r="A24" s="219"/>
      <c r="B24" s="236"/>
      <c r="C24" s="237"/>
      <c r="D24" s="238"/>
      <c r="E24" s="239"/>
      <c r="F24" s="237"/>
      <c r="G24" s="238"/>
      <c r="H24" s="239"/>
      <c r="I24" s="237"/>
      <c r="J24" s="238"/>
      <c r="K24" s="239"/>
      <c r="L24" s="237"/>
      <c r="M24" s="238"/>
      <c r="N24" s="240"/>
      <c r="O24" s="241">
        <f t="shared" si="0"/>
        <v>0</v>
      </c>
    </row>
    <row r="25" spans="1:15" ht="24" customHeight="1" x14ac:dyDescent="0.3">
      <c r="A25" s="219"/>
      <c r="B25" s="242"/>
      <c r="C25" s="243"/>
      <c r="D25" s="244"/>
      <c r="E25" s="245"/>
      <c r="F25" s="243"/>
      <c r="G25" s="244"/>
      <c r="H25" s="245"/>
      <c r="I25" s="243"/>
      <c r="J25" s="244"/>
      <c r="K25" s="245"/>
      <c r="L25" s="243"/>
      <c r="M25" s="244"/>
      <c r="N25" s="246"/>
      <c r="O25" s="247">
        <f t="shared" si="0"/>
        <v>0</v>
      </c>
    </row>
    <row r="26" spans="1:15" ht="24" customHeight="1" x14ac:dyDescent="0.3">
      <c r="A26" s="219"/>
      <c r="B26" s="236"/>
      <c r="C26" s="237"/>
      <c r="D26" s="238"/>
      <c r="E26" s="239"/>
      <c r="F26" s="237"/>
      <c r="G26" s="238"/>
      <c r="H26" s="239"/>
      <c r="I26" s="237"/>
      <c r="J26" s="238"/>
      <c r="K26" s="239"/>
      <c r="L26" s="237"/>
      <c r="M26" s="238"/>
      <c r="N26" s="240"/>
      <c r="O26" s="241">
        <f t="shared" si="0"/>
        <v>0</v>
      </c>
    </row>
    <row r="27" spans="1:15" ht="24" customHeight="1" x14ac:dyDescent="0.3">
      <c r="A27" s="219"/>
      <c r="B27" s="242"/>
      <c r="C27" s="243"/>
      <c r="D27" s="244"/>
      <c r="E27" s="245"/>
      <c r="F27" s="243"/>
      <c r="G27" s="244"/>
      <c r="H27" s="245"/>
      <c r="I27" s="243"/>
      <c r="J27" s="244"/>
      <c r="K27" s="245"/>
      <c r="L27" s="243"/>
      <c r="M27" s="244"/>
      <c r="N27" s="246"/>
      <c r="O27" s="247">
        <f t="shared" si="0"/>
        <v>0</v>
      </c>
    </row>
    <row r="28" spans="1:15" ht="24" customHeight="1" x14ac:dyDescent="0.3">
      <c r="A28" s="219"/>
      <c r="B28" s="236"/>
      <c r="C28" s="237"/>
      <c r="D28" s="238"/>
      <c r="E28" s="239"/>
      <c r="F28" s="237"/>
      <c r="G28" s="238"/>
      <c r="H28" s="239"/>
      <c r="I28" s="237"/>
      <c r="J28" s="238"/>
      <c r="K28" s="239"/>
      <c r="L28" s="237"/>
      <c r="M28" s="238"/>
      <c r="N28" s="240"/>
      <c r="O28" s="241">
        <f t="shared" si="0"/>
        <v>0</v>
      </c>
    </row>
    <row r="29" spans="1:15" ht="24" customHeight="1" x14ac:dyDescent="0.3">
      <c r="A29" s="219"/>
      <c r="B29" s="242"/>
      <c r="C29" s="243"/>
      <c r="D29" s="244"/>
      <c r="E29" s="245"/>
      <c r="F29" s="243"/>
      <c r="G29" s="244"/>
      <c r="H29" s="245"/>
      <c r="I29" s="243"/>
      <c r="J29" s="244"/>
      <c r="K29" s="245"/>
      <c r="L29" s="243"/>
      <c r="M29" s="244"/>
      <c r="N29" s="246"/>
      <c r="O29" s="247">
        <f t="shared" si="0"/>
        <v>0</v>
      </c>
    </row>
    <row r="30" spans="1:15" ht="24" customHeight="1" x14ac:dyDescent="0.3">
      <c r="A30" s="219"/>
      <c r="B30" s="236"/>
      <c r="C30" s="237"/>
      <c r="D30" s="238"/>
      <c r="E30" s="239"/>
      <c r="F30" s="237"/>
      <c r="G30" s="238"/>
      <c r="H30" s="239"/>
      <c r="I30" s="237"/>
      <c r="J30" s="238"/>
      <c r="K30" s="239"/>
      <c r="L30" s="237"/>
      <c r="M30" s="238"/>
      <c r="N30" s="240"/>
      <c r="O30" s="241">
        <f t="shared" si="0"/>
        <v>0</v>
      </c>
    </row>
    <row r="31" spans="1:15" ht="24" customHeight="1" x14ac:dyDescent="0.3">
      <c r="A31" s="219"/>
      <c r="B31" s="248"/>
      <c r="C31" s="243"/>
      <c r="D31" s="244"/>
      <c r="E31" s="245"/>
      <c r="F31" s="243"/>
      <c r="G31" s="244"/>
      <c r="H31" s="245"/>
      <c r="I31" s="243"/>
      <c r="J31" s="244"/>
      <c r="K31" s="245"/>
      <c r="L31" s="243"/>
      <c r="M31" s="244"/>
      <c r="N31" s="246"/>
      <c r="O31" s="247">
        <f t="shared" si="0"/>
        <v>0</v>
      </c>
    </row>
    <row r="32" spans="1:15" ht="24" customHeight="1" x14ac:dyDescent="0.3">
      <c r="A32" s="219"/>
      <c r="B32" s="236"/>
      <c r="C32" s="237"/>
      <c r="D32" s="238"/>
      <c r="E32" s="239"/>
      <c r="F32" s="237"/>
      <c r="G32" s="238"/>
      <c r="H32" s="239"/>
      <c r="I32" s="237"/>
      <c r="J32" s="238"/>
      <c r="K32" s="239"/>
      <c r="L32" s="237"/>
      <c r="M32" s="238"/>
      <c r="N32" s="240"/>
      <c r="O32" s="241">
        <f t="shared" si="0"/>
        <v>0</v>
      </c>
    </row>
    <row r="33" spans="1:15" ht="24" customHeight="1" thickBot="1" x14ac:dyDescent="0.35">
      <c r="A33" s="219"/>
      <c r="B33" s="249" t="s">
        <v>627</v>
      </c>
      <c r="C33" s="250">
        <f t="shared" ref="C33:O33" si="1">SUM(C4:C32)</f>
        <v>0</v>
      </c>
      <c r="D33" s="251">
        <f t="shared" si="1"/>
        <v>0</v>
      </c>
      <c r="E33" s="252">
        <f t="shared" si="1"/>
        <v>0</v>
      </c>
      <c r="F33" s="253">
        <f t="shared" si="1"/>
        <v>0</v>
      </c>
      <c r="G33" s="254">
        <f t="shared" si="1"/>
        <v>0</v>
      </c>
      <c r="H33" s="255">
        <f t="shared" si="1"/>
        <v>0</v>
      </c>
      <c r="I33" s="256">
        <f t="shared" si="1"/>
        <v>0</v>
      </c>
      <c r="J33" s="257">
        <f t="shared" si="1"/>
        <v>0</v>
      </c>
      <c r="K33" s="258">
        <f t="shared" si="1"/>
        <v>0</v>
      </c>
      <c r="L33" s="259">
        <f t="shared" si="1"/>
        <v>0</v>
      </c>
      <c r="M33" s="260">
        <f t="shared" si="1"/>
        <v>0</v>
      </c>
      <c r="N33" s="261">
        <f t="shared" si="1"/>
        <v>0</v>
      </c>
      <c r="O33" s="262">
        <f t="shared" si="1"/>
        <v>0</v>
      </c>
    </row>
    <row r="34" spans="1:15" ht="10.050000000000001" customHeight="1" x14ac:dyDescent="0.25"/>
    <row r="101" spans="1:1" ht="15.6" x14ac:dyDescent="0.3">
      <c r="A101" s="219"/>
    </row>
    <row r="102" spans="1:1" ht="15.6" x14ac:dyDescent="0.3">
      <c r="A102" s="219"/>
    </row>
    <row r="103" spans="1:1" ht="15.6" x14ac:dyDescent="0.3">
      <c r="A103" s="219"/>
    </row>
    <row r="104" spans="1:1" ht="15.6" x14ac:dyDescent="0.3">
      <c r="A104" s="219"/>
    </row>
    <row r="105" spans="1:1" ht="15.6" x14ac:dyDescent="0.3">
      <c r="A105" s="219"/>
    </row>
    <row r="106" spans="1:1" ht="15.6" x14ac:dyDescent="0.3">
      <c r="A106" s="219"/>
    </row>
    <row r="107" spans="1:1" ht="15.6" x14ac:dyDescent="0.3">
      <c r="A107" s="219"/>
    </row>
    <row r="108" spans="1:1" ht="15.6" x14ac:dyDescent="0.3">
      <c r="A108" s="219"/>
    </row>
    <row r="109" spans="1:1" ht="15.6" x14ac:dyDescent="0.3">
      <c r="A109" s="219"/>
    </row>
    <row r="110" spans="1:1" ht="15.6" x14ac:dyDescent="0.3">
      <c r="A110" s="219"/>
    </row>
    <row r="111" spans="1:1" ht="15.6" x14ac:dyDescent="0.3">
      <c r="A111" s="219"/>
    </row>
    <row r="112" spans="1:1" ht="15.6" x14ac:dyDescent="0.3">
      <c r="A112" s="219"/>
    </row>
    <row r="113" spans="1:1" ht="15.6" x14ac:dyDescent="0.3">
      <c r="A113" s="219"/>
    </row>
    <row r="114" spans="1:1" ht="15.6" x14ac:dyDescent="0.3">
      <c r="A114" s="219"/>
    </row>
    <row r="115" spans="1:1" ht="15.6" x14ac:dyDescent="0.3">
      <c r="A115" s="219"/>
    </row>
    <row r="116" spans="1:1" ht="15.6" x14ac:dyDescent="0.3">
      <c r="A116" s="219"/>
    </row>
    <row r="117" spans="1:1" ht="15.6" x14ac:dyDescent="0.3">
      <c r="A117" s="219"/>
    </row>
    <row r="118" spans="1:1" ht="15.6" x14ac:dyDescent="0.3">
      <c r="A118" s="219"/>
    </row>
    <row r="119" spans="1:1" ht="15.6" x14ac:dyDescent="0.3">
      <c r="A119" s="219"/>
    </row>
    <row r="120" spans="1:1" ht="15.6" x14ac:dyDescent="0.3">
      <c r="A120" s="219"/>
    </row>
    <row r="121" spans="1:1" ht="15.6" x14ac:dyDescent="0.3">
      <c r="A121" s="219"/>
    </row>
    <row r="122" spans="1:1" ht="15.6" x14ac:dyDescent="0.3">
      <c r="A122" s="219"/>
    </row>
    <row r="123" spans="1:1" ht="15.6" x14ac:dyDescent="0.3">
      <c r="A123" s="219"/>
    </row>
    <row r="124" spans="1:1" ht="15.6" x14ac:dyDescent="0.3">
      <c r="A124" s="219"/>
    </row>
    <row r="125" spans="1:1" ht="15.6" x14ac:dyDescent="0.3">
      <c r="A125" s="219"/>
    </row>
    <row r="126" spans="1:1" ht="15.6" x14ac:dyDescent="0.3">
      <c r="A126" s="219"/>
    </row>
    <row r="127" spans="1:1" ht="15.6" x14ac:dyDescent="0.3">
      <c r="A127" s="219"/>
    </row>
    <row r="128" spans="1:1" ht="15.6" x14ac:dyDescent="0.3">
      <c r="A128" s="219"/>
    </row>
    <row r="129" spans="1:1" ht="15.6" x14ac:dyDescent="0.3">
      <c r="A129" s="219"/>
    </row>
    <row r="130" spans="1:1" ht="15.6" x14ac:dyDescent="0.3">
      <c r="A130" s="219"/>
    </row>
    <row r="131" spans="1:1" ht="15.6" x14ac:dyDescent="0.3">
      <c r="A131" s="219"/>
    </row>
    <row r="132" spans="1:1" ht="15.6" x14ac:dyDescent="0.3">
      <c r="A132" s="219"/>
    </row>
    <row r="133" spans="1:1" ht="15.6" x14ac:dyDescent="0.3">
      <c r="A133" s="219"/>
    </row>
    <row r="134" spans="1:1" ht="15.6" x14ac:dyDescent="0.3">
      <c r="A134" s="219"/>
    </row>
    <row r="135" spans="1:1" ht="15.6" x14ac:dyDescent="0.3">
      <c r="A135" s="219"/>
    </row>
    <row r="136" spans="1:1" ht="15.6" x14ac:dyDescent="0.3">
      <c r="A136" s="219"/>
    </row>
    <row r="137" spans="1:1" ht="15.6" x14ac:dyDescent="0.3">
      <c r="A137" s="219"/>
    </row>
    <row r="138" spans="1:1" ht="15.6" x14ac:dyDescent="0.3">
      <c r="A138" s="219"/>
    </row>
    <row r="139" spans="1:1" ht="15.6" x14ac:dyDescent="0.3">
      <c r="A139" s="219"/>
    </row>
    <row r="140" spans="1:1" ht="15.6" x14ac:dyDescent="0.3">
      <c r="A140" s="219"/>
    </row>
    <row r="141" spans="1:1" ht="15.6" x14ac:dyDescent="0.3">
      <c r="A141" s="219"/>
    </row>
    <row r="142" spans="1:1" ht="15.6" x14ac:dyDescent="0.3">
      <c r="A142" s="219"/>
    </row>
    <row r="143" spans="1:1" ht="15.6" x14ac:dyDescent="0.3">
      <c r="A143" s="219"/>
    </row>
    <row r="144" spans="1:1" ht="15.6" x14ac:dyDescent="0.3">
      <c r="A144" s="219"/>
    </row>
    <row r="145" spans="1:1" ht="15.6" x14ac:dyDescent="0.3">
      <c r="A145" s="219"/>
    </row>
    <row r="146" spans="1:1" ht="15.6" x14ac:dyDescent="0.3">
      <c r="A146" s="219"/>
    </row>
    <row r="147" spans="1:1" ht="15.6" x14ac:dyDescent="0.3">
      <c r="A147" s="219"/>
    </row>
    <row r="148" spans="1:1" ht="15.6" x14ac:dyDescent="0.3">
      <c r="A148" s="219"/>
    </row>
    <row r="149" spans="1:1" ht="15.6" x14ac:dyDescent="0.3">
      <c r="A149" s="219"/>
    </row>
    <row r="150" spans="1:1" ht="15.6" x14ac:dyDescent="0.3">
      <c r="A150" s="219"/>
    </row>
    <row r="151" spans="1:1" ht="15.6" x14ac:dyDescent="0.3">
      <c r="A151" s="219"/>
    </row>
    <row r="152" spans="1:1" ht="15.6" x14ac:dyDescent="0.3">
      <c r="A152" s="219"/>
    </row>
    <row r="153" spans="1:1" ht="15.6" x14ac:dyDescent="0.3">
      <c r="A153" s="219"/>
    </row>
    <row r="154" spans="1:1" ht="15.6" x14ac:dyDescent="0.3">
      <c r="A154" s="219"/>
    </row>
    <row r="155" spans="1:1" ht="15.6" x14ac:dyDescent="0.3">
      <c r="A155" s="219"/>
    </row>
    <row r="156" spans="1:1" ht="15.6" x14ac:dyDescent="0.3">
      <c r="A156" s="219"/>
    </row>
    <row r="157" spans="1:1" ht="15.6" x14ac:dyDescent="0.3">
      <c r="A157" s="219"/>
    </row>
    <row r="158" spans="1:1" ht="15.6" x14ac:dyDescent="0.3">
      <c r="A158" s="219"/>
    </row>
    <row r="159" spans="1:1" ht="15.6" x14ac:dyDescent="0.3">
      <c r="A159" s="219"/>
    </row>
    <row r="160" spans="1:1" ht="15.6" x14ac:dyDescent="0.3">
      <c r="A160" s="219"/>
    </row>
    <row r="161" spans="1:1" ht="15.6" x14ac:dyDescent="0.3">
      <c r="A161" s="219"/>
    </row>
    <row r="162" spans="1:1" ht="15.6" x14ac:dyDescent="0.3">
      <c r="A162" s="219"/>
    </row>
    <row r="163" spans="1:1" ht="15.6" x14ac:dyDescent="0.3">
      <c r="A163" s="219"/>
    </row>
    <row r="164" spans="1:1" ht="15.6" x14ac:dyDescent="0.3">
      <c r="A164" s="219"/>
    </row>
    <row r="165" spans="1:1" ht="15.6" x14ac:dyDescent="0.3">
      <c r="A165" s="219"/>
    </row>
    <row r="166" spans="1:1" ht="15.6" x14ac:dyDescent="0.3">
      <c r="A166" s="219"/>
    </row>
    <row r="167" spans="1:1" ht="15.6" x14ac:dyDescent="0.3">
      <c r="A167" s="219"/>
    </row>
    <row r="168" spans="1:1" ht="15.6" x14ac:dyDescent="0.3">
      <c r="A168" s="219"/>
    </row>
    <row r="169" spans="1:1" ht="15.6" x14ac:dyDescent="0.3">
      <c r="A169" s="219"/>
    </row>
    <row r="170" spans="1:1" ht="15.6" x14ac:dyDescent="0.3">
      <c r="A170" s="219"/>
    </row>
    <row r="171" spans="1:1" ht="15.6" x14ac:dyDescent="0.3">
      <c r="A171" s="219"/>
    </row>
    <row r="172" spans="1:1" ht="15.6" x14ac:dyDescent="0.3">
      <c r="A172" s="219"/>
    </row>
    <row r="173" spans="1:1" ht="15.6" x14ac:dyDescent="0.3">
      <c r="A173" s="219"/>
    </row>
    <row r="174" spans="1:1" ht="15.6" x14ac:dyDescent="0.3">
      <c r="A174" s="219"/>
    </row>
    <row r="175" spans="1:1" ht="15.6" x14ac:dyDescent="0.3">
      <c r="A175" s="219"/>
    </row>
    <row r="176" spans="1:1" ht="15.6" x14ac:dyDescent="0.3">
      <c r="A176" s="219"/>
    </row>
    <row r="177" spans="1:1" ht="15.6" x14ac:dyDescent="0.3">
      <c r="A177" s="219"/>
    </row>
    <row r="178" spans="1:1" ht="15.6" x14ac:dyDescent="0.3">
      <c r="A178" s="219"/>
    </row>
    <row r="179" spans="1:1" ht="15.6" x14ac:dyDescent="0.3">
      <c r="A179" s="219"/>
    </row>
    <row r="180" spans="1:1" ht="15.6" x14ac:dyDescent="0.3">
      <c r="A180" s="219"/>
    </row>
    <row r="181" spans="1:1" ht="15.6" x14ac:dyDescent="0.3">
      <c r="A181" s="219"/>
    </row>
    <row r="182" spans="1:1" ht="15.6" x14ac:dyDescent="0.3">
      <c r="A182" s="219"/>
    </row>
    <row r="183" spans="1:1" ht="15.6" x14ac:dyDescent="0.3">
      <c r="A183" s="219"/>
    </row>
    <row r="184" spans="1:1" ht="15.6" x14ac:dyDescent="0.3">
      <c r="A184" s="219"/>
    </row>
    <row r="185" spans="1:1" ht="15.6" x14ac:dyDescent="0.3">
      <c r="A185" s="219"/>
    </row>
    <row r="186" spans="1:1" ht="15.6" x14ac:dyDescent="0.3">
      <c r="A186" s="219"/>
    </row>
    <row r="187" spans="1:1" ht="15.6" x14ac:dyDescent="0.3">
      <c r="A187" s="219"/>
    </row>
    <row r="188" spans="1:1" ht="15.6" x14ac:dyDescent="0.3">
      <c r="A188" s="219"/>
    </row>
    <row r="189" spans="1:1" ht="15.6" x14ac:dyDescent="0.3">
      <c r="A189" s="219"/>
    </row>
    <row r="190" spans="1:1" ht="15.6" x14ac:dyDescent="0.3">
      <c r="A190" s="219"/>
    </row>
    <row r="191" spans="1:1" ht="15.6" x14ac:dyDescent="0.3">
      <c r="A191" s="219"/>
    </row>
    <row r="192" spans="1:1" ht="15.6" x14ac:dyDescent="0.3">
      <c r="A192" s="219"/>
    </row>
    <row r="193" spans="1:1" ht="15.6" x14ac:dyDescent="0.3">
      <c r="A193" s="219"/>
    </row>
    <row r="194" spans="1:1" ht="15.6" x14ac:dyDescent="0.3">
      <c r="A194" s="219"/>
    </row>
    <row r="195" spans="1:1" ht="15.6" x14ac:dyDescent="0.3">
      <c r="A195" s="219"/>
    </row>
    <row r="196" spans="1:1" ht="15.6" x14ac:dyDescent="0.3">
      <c r="A196" s="219"/>
    </row>
    <row r="197" spans="1:1" ht="15.6" x14ac:dyDescent="0.3">
      <c r="A197" s="219"/>
    </row>
    <row r="198" spans="1:1" ht="15.6" x14ac:dyDescent="0.3">
      <c r="A198" s="219"/>
    </row>
    <row r="199" spans="1:1" ht="15.6" x14ac:dyDescent="0.3">
      <c r="A199" s="219"/>
    </row>
    <row r="200" spans="1:1" ht="15.6" x14ac:dyDescent="0.3">
      <c r="A200" s="219"/>
    </row>
    <row r="201" spans="1:1" ht="15.6" x14ac:dyDescent="0.3">
      <c r="A201" s="219"/>
    </row>
    <row r="202" spans="1:1" ht="15.6" x14ac:dyDescent="0.3">
      <c r="A202" s="219"/>
    </row>
    <row r="203" spans="1:1" ht="15.6" x14ac:dyDescent="0.3">
      <c r="A203" s="219"/>
    </row>
    <row r="204" spans="1:1" ht="15.6" x14ac:dyDescent="0.3">
      <c r="A204" s="219"/>
    </row>
    <row r="205" spans="1:1" ht="15.6" x14ac:dyDescent="0.3">
      <c r="A205" s="219"/>
    </row>
    <row r="206" spans="1:1" ht="15.6" x14ac:dyDescent="0.3">
      <c r="A206" s="219"/>
    </row>
    <row r="207" spans="1:1" ht="15.6" x14ac:dyDescent="0.3">
      <c r="A207" s="219"/>
    </row>
    <row r="208" spans="1:1" ht="15.6" x14ac:dyDescent="0.3">
      <c r="A208" s="219"/>
    </row>
    <row r="209" spans="1:1" ht="15.6" x14ac:dyDescent="0.3">
      <c r="A209" s="219"/>
    </row>
    <row r="210" spans="1:1" ht="15.6" x14ac:dyDescent="0.3">
      <c r="A210" s="219"/>
    </row>
    <row r="211" spans="1:1" ht="15.6" x14ac:dyDescent="0.3">
      <c r="A211" s="219"/>
    </row>
    <row r="212" spans="1:1" ht="15.6" x14ac:dyDescent="0.3">
      <c r="A212" s="219"/>
    </row>
    <row r="213" spans="1:1" ht="15.6" x14ac:dyDescent="0.3">
      <c r="A213" s="219"/>
    </row>
    <row r="214" spans="1:1" ht="15.6" x14ac:dyDescent="0.3">
      <c r="A214" s="219"/>
    </row>
    <row r="215" spans="1:1" ht="15.6" x14ac:dyDescent="0.3">
      <c r="A215" s="219"/>
    </row>
    <row r="216" spans="1:1" ht="15.6" x14ac:dyDescent="0.3">
      <c r="A216" s="219"/>
    </row>
    <row r="217" spans="1:1" ht="15.6" x14ac:dyDescent="0.3">
      <c r="A217" s="219"/>
    </row>
    <row r="218" spans="1:1" ht="15.6" x14ac:dyDescent="0.3">
      <c r="A218" s="219"/>
    </row>
    <row r="219" spans="1:1" ht="15.6" x14ac:dyDescent="0.3">
      <c r="A219" s="219"/>
    </row>
    <row r="220" spans="1:1" ht="15.6" x14ac:dyDescent="0.3">
      <c r="A220" s="219"/>
    </row>
    <row r="221" spans="1:1" ht="15.6" x14ac:dyDescent="0.3">
      <c r="A221" s="219"/>
    </row>
    <row r="222" spans="1:1" ht="15.6" x14ac:dyDescent="0.3">
      <c r="A222" s="219"/>
    </row>
    <row r="223" spans="1:1" ht="15.6" x14ac:dyDescent="0.3">
      <c r="A223" s="219"/>
    </row>
    <row r="224" spans="1:1" ht="15.6" x14ac:dyDescent="0.3">
      <c r="A224" s="219"/>
    </row>
    <row r="225" spans="1:1" ht="15.6" x14ac:dyDescent="0.3">
      <c r="A225" s="219"/>
    </row>
    <row r="226" spans="1:1" ht="15.6" x14ac:dyDescent="0.3">
      <c r="A226" s="219"/>
    </row>
    <row r="227" spans="1:1" ht="15.6" x14ac:dyDescent="0.3">
      <c r="A227" s="219"/>
    </row>
    <row r="228" spans="1:1" ht="15.6" x14ac:dyDescent="0.3">
      <c r="A228" s="219"/>
    </row>
    <row r="229" spans="1:1" ht="15.6" x14ac:dyDescent="0.3">
      <c r="A229" s="219"/>
    </row>
    <row r="230" spans="1:1" ht="15.6" x14ac:dyDescent="0.3">
      <c r="A230" s="219"/>
    </row>
    <row r="231" spans="1:1" ht="15.6" x14ac:dyDescent="0.3">
      <c r="A231" s="219"/>
    </row>
    <row r="232" spans="1:1" ht="15.6" x14ac:dyDescent="0.3">
      <c r="A232" s="219"/>
    </row>
    <row r="233" spans="1:1" ht="15.6" x14ac:dyDescent="0.3">
      <c r="A233" s="219"/>
    </row>
    <row r="234" spans="1:1" ht="15.6" x14ac:dyDescent="0.3">
      <c r="A234" s="219"/>
    </row>
    <row r="235" spans="1:1" ht="15.6" x14ac:dyDescent="0.3">
      <c r="A235" s="219"/>
    </row>
    <row r="236" spans="1:1" ht="15.6" x14ac:dyDescent="0.3">
      <c r="A236" s="219"/>
    </row>
    <row r="237" spans="1:1" ht="15.6" x14ac:dyDescent="0.3">
      <c r="A237" s="219"/>
    </row>
    <row r="238" spans="1:1" ht="15.6" x14ac:dyDescent="0.3">
      <c r="A238" s="219"/>
    </row>
    <row r="239" spans="1:1" ht="15.6" x14ac:dyDescent="0.3">
      <c r="A239" s="219"/>
    </row>
    <row r="240" spans="1:1" ht="15.6" x14ac:dyDescent="0.3">
      <c r="A240" s="219"/>
    </row>
    <row r="241" spans="1:1" ht="15.6" x14ac:dyDescent="0.3">
      <c r="A241" s="219"/>
    </row>
    <row r="242" spans="1:1" ht="15.6" x14ac:dyDescent="0.3">
      <c r="A242" s="219"/>
    </row>
    <row r="243" spans="1:1" ht="15.6" x14ac:dyDescent="0.3">
      <c r="A243" s="219"/>
    </row>
    <row r="244" spans="1:1" ht="15.6" x14ac:dyDescent="0.3">
      <c r="A244" s="219"/>
    </row>
    <row r="245" spans="1:1" ht="15.6" x14ac:dyDescent="0.3">
      <c r="A245" s="219"/>
    </row>
    <row r="246" spans="1:1" ht="15.6" x14ac:dyDescent="0.3">
      <c r="A246" s="219"/>
    </row>
    <row r="247" spans="1:1" ht="15.6" x14ac:dyDescent="0.3">
      <c r="A247" s="219"/>
    </row>
    <row r="248" spans="1:1" ht="15.6" x14ac:dyDescent="0.3">
      <c r="A248" s="219"/>
    </row>
    <row r="249" spans="1:1" ht="15.6" x14ac:dyDescent="0.3">
      <c r="A249" s="219"/>
    </row>
    <row r="250" spans="1:1" ht="15.6" x14ac:dyDescent="0.3">
      <c r="A250" s="219"/>
    </row>
    <row r="251" spans="1:1" ht="15.6" x14ac:dyDescent="0.3">
      <c r="A251" s="219"/>
    </row>
    <row r="252" spans="1:1" ht="15.6" x14ac:dyDescent="0.3">
      <c r="A252" s="219"/>
    </row>
    <row r="253" spans="1:1" ht="15.6" x14ac:dyDescent="0.3">
      <c r="A253" s="219"/>
    </row>
    <row r="254" spans="1:1" ht="15.6" x14ac:dyDescent="0.3">
      <c r="A254" s="219"/>
    </row>
    <row r="255" spans="1:1" ht="15.6" x14ac:dyDescent="0.3">
      <c r="A255" s="219"/>
    </row>
    <row r="256" spans="1:1" ht="15.6" x14ac:dyDescent="0.3">
      <c r="A256" s="219"/>
    </row>
    <row r="257" spans="1:1" ht="15.6" x14ac:dyDescent="0.3">
      <c r="A257" s="219"/>
    </row>
    <row r="258" spans="1:1" ht="15.6" x14ac:dyDescent="0.3">
      <c r="A258" s="219"/>
    </row>
    <row r="259" spans="1:1" ht="15.6" x14ac:dyDescent="0.3">
      <c r="A259" s="219"/>
    </row>
    <row r="260" spans="1:1" ht="15.6" x14ac:dyDescent="0.3">
      <c r="A260" s="219"/>
    </row>
    <row r="261" spans="1:1" ht="15.6" x14ac:dyDescent="0.3">
      <c r="A261" s="219"/>
    </row>
    <row r="262" spans="1:1" ht="15.6" x14ac:dyDescent="0.3">
      <c r="A262" s="219"/>
    </row>
    <row r="263" spans="1:1" ht="15.6" x14ac:dyDescent="0.3">
      <c r="A263" s="219"/>
    </row>
    <row r="264" spans="1:1" ht="15.6" x14ac:dyDescent="0.3">
      <c r="A264" s="219"/>
    </row>
    <row r="265" spans="1:1" ht="15.6" x14ac:dyDescent="0.3">
      <c r="A265" s="219"/>
    </row>
    <row r="266" spans="1:1" ht="15.6" x14ac:dyDescent="0.3">
      <c r="A266" s="219"/>
    </row>
    <row r="267" spans="1:1" ht="15.6" x14ac:dyDescent="0.3">
      <c r="A267" s="219"/>
    </row>
    <row r="268" spans="1:1" ht="15.6" x14ac:dyDescent="0.3">
      <c r="A268" s="219"/>
    </row>
    <row r="269" spans="1:1" ht="15.6" x14ac:dyDescent="0.3">
      <c r="A269" s="219"/>
    </row>
    <row r="270" spans="1:1" ht="15.6" x14ac:dyDescent="0.3">
      <c r="A270" s="219"/>
    </row>
    <row r="271" spans="1:1" ht="15.6" x14ac:dyDescent="0.3">
      <c r="A271" s="219"/>
    </row>
    <row r="272" spans="1:1" ht="15.6" x14ac:dyDescent="0.3">
      <c r="A272" s="219"/>
    </row>
    <row r="273" spans="1:1" ht="15.6" x14ac:dyDescent="0.3">
      <c r="A273" s="219"/>
    </row>
    <row r="274" spans="1:1" ht="15.6" x14ac:dyDescent="0.3">
      <c r="A274" s="219"/>
    </row>
    <row r="275" spans="1:1" ht="15.6" x14ac:dyDescent="0.3">
      <c r="A275" s="219"/>
    </row>
    <row r="276" spans="1:1" ht="15.6" x14ac:dyDescent="0.3">
      <c r="A276" s="219"/>
    </row>
    <row r="277" spans="1:1" ht="15.6" x14ac:dyDescent="0.3">
      <c r="A277" s="219"/>
    </row>
    <row r="278" spans="1:1" ht="15.6" x14ac:dyDescent="0.3">
      <c r="A278" s="219"/>
    </row>
    <row r="279" spans="1:1" ht="15.6" x14ac:dyDescent="0.3">
      <c r="A279" s="219"/>
    </row>
    <row r="280" spans="1:1" ht="15.6" x14ac:dyDescent="0.3">
      <c r="A280" s="219"/>
    </row>
    <row r="281" spans="1:1" ht="15.6" x14ac:dyDescent="0.3">
      <c r="A281" s="219"/>
    </row>
    <row r="282" spans="1:1" ht="15.6" x14ac:dyDescent="0.3">
      <c r="A282" s="219"/>
    </row>
    <row r="283" spans="1:1" ht="15.6" x14ac:dyDescent="0.3">
      <c r="A283" s="219"/>
    </row>
    <row r="284" spans="1:1" ht="15.6" x14ac:dyDescent="0.3">
      <c r="A284" s="219"/>
    </row>
    <row r="285" spans="1:1" ht="15.6" x14ac:dyDescent="0.3">
      <c r="A285" s="219"/>
    </row>
    <row r="286" spans="1:1" ht="15.6" x14ac:dyDescent="0.3">
      <c r="A286" s="219"/>
    </row>
    <row r="287" spans="1:1" ht="15.6" x14ac:dyDescent="0.3">
      <c r="A287" s="219"/>
    </row>
    <row r="288" spans="1:1" ht="15.6" x14ac:dyDescent="0.3">
      <c r="A288" s="219"/>
    </row>
    <row r="289" spans="1:1" ht="15.6" x14ac:dyDescent="0.3">
      <c r="A289" s="219"/>
    </row>
    <row r="290" spans="1:1" ht="15.6" x14ac:dyDescent="0.3">
      <c r="A290" s="219"/>
    </row>
    <row r="291" spans="1:1" ht="15.6" x14ac:dyDescent="0.3">
      <c r="A291" s="219"/>
    </row>
    <row r="292" spans="1:1" ht="15.6" x14ac:dyDescent="0.3">
      <c r="A292" s="219"/>
    </row>
    <row r="293" spans="1:1" ht="15.6" x14ac:dyDescent="0.3">
      <c r="A293" s="219"/>
    </row>
    <row r="294" spans="1:1" ht="15.6" x14ac:dyDescent="0.3">
      <c r="A294" s="219"/>
    </row>
    <row r="295" spans="1:1" ht="15.6" x14ac:dyDescent="0.3">
      <c r="A295" s="219"/>
    </row>
    <row r="296" spans="1:1" ht="15.6" x14ac:dyDescent="0.3">
      <c r="A296" s="219"/>
    </row>
    <row r="297" spans="1:1" ht="15.6" x14ac:dyDescent="0.3">
      <c r="A297" s="219"/>
    </row>
    <row r="298" spans="1:1" ht="15.6" x14ac:dyDescent="0.3">
      <c r="A298" s="219"/>
    </row>
    <row r="299" spans="1:1" ht="15.6" x14ac:dyDescent="0.3">
      <c r="A299" s="219"/>
    </row>
    <row r="300" spans="1:1" ht="15.6" x14ac:dyDescent="0.3">
      <c r="A300" s="219"/>
    </row>
    <row r="301" spans="1:1" ht="15.6" x14ac:dyDescent="0.3">
      <c r="A301" s="219"/>
    </row>
    <row r="302" spans="1:1" ht="15.6" x14ac:dyDescent="0.3">
      <c r="A302" s="219"/>
    </row>
    <row r="303" spans="1:1" ht="15.6" x14ac:dyDescent="0.3">
      <c r="A303" s="219"/>
    </row>
    <row r="304" spans="1:1" ht="15.6" x14ac:dyDescent="0.3">
      <c r="A304" s="219"/>
    </row>
    <row r="305" spans="1:1" ht="15.6" x14ac:dyDescent="0.3">
      <c r="A305" s="219"/>
    </row>
    <row r="306" spans="1:1" ht="15.6" x14ac:dyDescent="0.3">
      <c r="A306" s="219"/>
    </row>
    <row r="307" spans="1:1" ht="15.6" x14ac:dyDescent="0.3">
      <c r="A307" s="219"/>
    </row>
    <row r="308" spans="1:1" ht="15.6" x14ac:dyDescent="0.3">
      <c r="A308" s="219"/>
    </row>
    <row r="309" spans="1:1" ht="15.6" x14ac:dyDescent="0.3">
      <c r="A309" s="219"/>
    </row>
    <row r="310" spans="1:1" ht="15.6" x14ac:dyDescent="0.3">
      <c r="A310" s="219"/>
    </row>
    <row r="311" spans="1:1" ht="15.6" x14ac:dyDescent="0.3">
      <c r="A311" s="219"/>
    </row>
    <row r="312" spans="1:1" ht="15.6" x14ac:dyDescent="0.3">
      <c r="A312" s="219"/>
    </row>
    <row r="313" spans="1:1" ht="15.6" x14ac:dyDescent="0.3">
      <c r="A313" s="219"/>
    </row>
    <row r="314" spans="1:1" ht="15.6" x14ac:dyDescent="0.3">
      <c r="A314" s="219"/>
    </row>
    <row r="315" spans="1:1" ht="15.6" x14ac:dyDescent="0.3">
      <c r="A315" s="219"/>
    </row>
    <row r="316" spans="1:1" ht="15.6" x14ac:dyDescent="0.3">
      <c r="A316" s="219"/>
    </row>
    <row r="317" spans="1:1" ht="15.6" x14ac:dyDescent="0.3">
      <c r="A317" s="219"/>
    </row>
    <row r="318" spans="1:1" ht="15.6" x14ac:dyDescent="0.3">
      <c r="A318" s="219"/>
    </row>
    <row r="319" spans="1:1" ht="15.6" x14ac:dyDescent="0.3">
      <c r="A319" s="219"/>
    </row>
    <row r="320" spans="1:1" ht="15.6" x14ac:dyDescent="0.3">
      <c r="A320" s="219"/>
    </row>
    <row r="321" spans="1:1" ht="15.6" x14ac:dyDescent="0.3">
      <c r="A321" s="219"/>
    </row>
    <row r="322" spans="1:1" ht="15.6" x14ac:dyDescent="0.3">
      <c r="A322" s="219"/>
    </row>
    <row r="323" spans="1:1" ht="15.6" x14ac:dyDescent="0.3">
      <c r="A323" s="219"/>
    </row>
    <row r="324" spans="1:1" ht="15.6" x14ac:dyDescent="0.3">
      <c r="A324" s="219"/>
    </row>
    <row r="325" spans="1:1" ht="15.6" x14ac:dyDescent="0.3">
      <c r="A325" s="219"/>
    </row>
    <row r="326" spans="1:1" ht="15.6" x14ac:dyDescent="0.3">
      <c r="A326" s="219"/>
    </row>
    <row r="327" spans="1:1" ht="15.6" x14ac:dyDescent="0.3">
      <c r="A327" s="219"/>
    </row>
    <row r="328" spans="1:1" ht="15.6" x14ac:dyDescent="0.3">
      <c r="A328" s="219"/>
    </row>
    <row r="329" spans="1:1" ht="15.6" x14ac:dyDescent="0.3">
      <c r="A329" s="219"/>
    </row>
    <row r="330" spans="1:1" ht="15.6" x14ac:dyDescent="0.3">
      <c r="A330" s="219"/>
    </row>
    <row r="331" spans="1:1" ht="15.6" x14ac:dyDescent="0.3">
      <c r="A331" s="219"/>
    </row>
    <row r="332" spans="1:1" ht="15.6" x14ac:dyDescent="0.3">
      <c r="A332" s="219"/>
    </row>
    <row r="333" spans="1:1" ht="15.6" x14ac:dyDescent="0.3">
      <c r="A333" s="219"/>
    </row>
    <row r="334" spans="1:1" ht="15.6" x14ac:dyDescent="0.3">
      <c r="A334" s="219"/>
    </row>
    <row r="335" spans="1:1" ht="15.6" x14ac:dyDescent="0.3">
      <c r="A335" s="219"/>
    </row>
    <row r="336" spans="1:1" ht="15.6" x14ac:dyDescent="0.3">
      <c r="A336" s="219"/>
    </row>
    <row r="337" spans="1:1" ht="15.6" x14ac:dyDescent="0.3">
      <c r="A337" s="219"/>
    </row>
    <row r="338" spans="1:1" ht="15.6" x14ac:dyDescent="0.3">
      <c r="A338" s="219"/>
    </row>
    <row r="339" spans="1:1" ht="15.6" x14ac:dyDescent="0.3">
      <c r="A339" s="219"/>
    </row>
    <row r="340" spans="1:1" ht="15.6" x14ac:dyDescent="0.3">
      <c r="A340" s="219"/>
    </row>
    <row r="341" spans="1:1" ht="15.6" x14ac:dyDescent="0.3">
      <c r="A341" s="219"/>
    </row>
    <row r="342" spans="1:1" ht="15.6" x14ac:dyDescent="0.3">
      <c r="A342" s="219"/>
    </row>
    <row r="343" spans="1:1" ht="15.6" x14ac:dyDescent="0.3">
      <c r="A343" s="219"/>
    </row>
    <row r="344" spans="1:1" ht="15.6" x14ac:dyDescent="0.3">
      <c r="A344" s="219"/>
    </row>
    <row r="345" spans="1:1" ht="15.6" x14ac:dyDescent="0.3">
      <c r="A345" s="219"/>
    </row>
    <row r="346" spans="1:1" ht="15.6" x14ac:dyDescent="0.3">
      <c r="A346" s="219"/>
    </row>
    <row r="347" spans="1:1" ht="15.6" x14ac:dyDescent="0.3">
      <c r="A347" s="219"/>
    </row>
    <row r="348" spans="1:1" ht="15.6" x14ac:dyDescent="0.3">
      <c r="A348" s="219"/>
    </row>
    <row r="349" spans="1:1" ht="15.6" x14ac:dyDescent="0.3">
      <c r="A349" s="219"/>
    </row>
    <row r="350" spans="1:1" ht="15.6" x14ac:dyDescent="0.3">
      <c r="A350" s="219"/>
    </row>
    <row r="351" spans="1:1" ht="15.6" x14ac:dyDescent="0.3">
      <c r="A351" s="219"/>
    </row>
    <row r="352" spans="1:1" ht="15.6" x14ac:dyDescent="0.3">
      <c r="A352" s="219"/>
    </row>
    <row r="353" spans="1:1" ht="15.6" x14ac:dyDescent="0.3">
      <c r="A353" s="219"/>
    </row>
    <row r="354" spans="1:1" ht="15.6" x14ac:dyDescent="0.3">
      <c r="A354" s="219"/>
    </row>
    <row r="355" spans="1:1" ht="15.6" x14ac:dyDescent="0.3">
      <c r="A355" s="219"/>
    </row>
    <row r="356" spans="1:1" ht="15.6" x14ac:dyDescent="0.3">
      <c r="A356" s="219"/>
    </row>
    <row r="357" spans="1:1" ht="15.6" x14ac:dyDescent="0.3">
      <c r="A357" s="219"/>
    </row>
    <row r="358" spans="1:1" ht="15.6" x14ac:dyDescent="0.3">
      <c r="A358" s="219"/>
    </row>
    <row r="359" spans="1:1" ht="15.6" x14ac:dyDescent="0.3">
      <c r="A359" s="219"/>
    </row>
    <row r="360" spans="1:1" ht="15.6" x14ac:dyDescent="0.3">
      <c r="A360" s="219"/>
    </row>
    <row r="361" spans="1:1" ht="15.6" x14ac:dyDescent="0.3">
      <c r="A361" s="219"/>
    </row>
    <row r="362" spans="1:1" ht="15.6" x14ac:dyDescent="0.3">
      <c r="A362" s="219"/>
    </row>
    <row r="363" spans="1:1" ht="15.6" x14ac:dyDescent="0.3">
      <c r="A363" s="219"/>
    </row>
    <row r="364" spans="1:1" ht="15.6" x14ac:dyDescent="0.3">
      <c r="A364" s="219"/>
    </row>
    <row r="365" spans="1:1" ht="15.6" x14ac:dyDescent="0.3">
      <c r="A365" s="219"/>
    </row>
    <row r="366" spans="1:1" ht="15.6" x14ac:dyDescent="0.3">
      <c r="A366" s="219"/>
    </row>
    <row r="367" spans="1:1" ht="15.6" x14ac:dyDescent="0.3">
      <c r="A367" s="219"/>
    </row>
    <row r="368" spans="1:1" ht="15.6" x14ac:dyDescent="0.3">
      <c r="A368" s="219"/>
    </row>
    <row r="369" spans="1:1" ht="15.6" x14ac:dyDescent="0.3">
      <c r="A369" s="219"/>
    </row>
    <row r="370" spans="1:1" ht="15.6" x14ac:dyDescent="0.3">
      <c r="A370" s="219"/>
    </row>
    <row r="371" spans="1:1" ht="15.6" x14ac:dyDescent="0.3">
      <c r="A371" s="219"/>
    </row>
    <row r="372" spans="1:1" ht="15.6" x14ac:dyDescent="0.3">
      <c r="A372" s="219"/>
    </row>
    <row r="373" spans="1:1" ht="15.6" x14ac:dyDescent="0.3">
      <c r="A373" s="219"/>
    </row>
    <row r="374" spans="1:1" ht="15.6" x14ac:dyDescent="0.3">
      <c r="A374" s="219"/>
    </row>
    <row r="375" spans="1:1" ht="15.6" x14ac:dyDescent="0.3">
      <c r="A375" s="219"/>
    </row>
    <row r="376" spans="1:1" ht="15.6" x14ac:dyDescent="0.3">
      <c r="A376" s="219"/>
    </row>
    <row r="377" spans="1:1" ht="15.6" x14ac:dyDescent="0.3">
      <c r="A377" s="219"/>
    </row>
    <row r="378" spans="1:1" ht="15.6" x14ac:dyDescent="0.3">
      <c r="A378" s="219"/>
    </row>
    <row r="379" spans="1:1" ht="15.6" x14ac:dyDescent="0.3">
      <c r="A379" s="219"/>
    </row>
    <row r="380" spans="1:1" ht="15.6" x14ac:dyDescent="0.3">
      <c r="A380" s="219"/>
    </row>
    <row r="381" spans="1:1" ht="15.6" x14ac:dyDescent="0.3">
      <c r="A381" s="219"/>
    </row>
    <row r="382" spans="1:1" ht="15.6" x14ac:dyDescent="0.3">
      <c r="A382" s="219"/>
    </row>
    <row r="383" spans="1:1" ht="15.6" x14ac:dyDescent="0.3">
      <c r="A383" s="219"/>
    </row>
    <row r="384" spans="1:1" ht="15.6" x14ac:dyDescent="0.3">
      <c r="A384" s="219"/>
    </row>
    <row r="385" spans="1:1" ht="15.6" x14ac:dyDescent="0.3">
      <c r="A385" s="219"/>
    </row>
    <row r="386" spans="1:1" ht="15.6" x14ac:dyDescent="0.3">
      <c r="A386" s="219"/>
    </row>
    <row r="387" spans="1:1" ht="15.6" x14ac:dyDescent="0.3">
      <c r="A387" s="219"/>
    </row>
    <row r="388" spans="1:1" ht="15.6" x14ac:dyDescent="0.3">
      <c r="A388" s="219"/>
    </row>
    <row r="389" spans="1:1" ht="15.6" x14ac:dyDescent="0.3">
      <c r="A389" s="219"/>
    </row>
    <row r="390" spans="1:1" ht="15.6" x14ac:dyDescent="0.3">
      <c r="A390" s="219"/>
    </row>
    <row r="391" spans="1:1" ht="15.6" x14ac:dyDescent="0.3">
      <c r="A391" s="219"/>
    </row>
    <row r="392" spans="1:1" ht="15.6" x14ac:dyDescent="0.3">
      <c r="A392" s="219"/>
    </row>
    <row r="393" spans="1:1" ht="15.6" x14ac:dyDescent="0.3">
      <c r="A393" s="219"/>
    </row>
    <row r="394" spans="1:1" ht="15.6" x14ac:dyDescent="0.3">
      <c r="A394" s="219"/>
    </row>
    <row r="395" spans="1:1" ht="15.6" x14ac:dyDescent="0.3">
      <c r="A395" s="219"/>
    </row>
    <row r="396" spans="1:1" ht="15.6" x14ac:dyDescent="0.3">
      <c r="A396" s="219"/>
    </row>
    <row r="397" spans="1:1" ht="15.6" x14ac:dyDescent="0.3">
      <c r="A397" s="219"/>
    </row>
    <row r="398" spans="1:1" ht="15.6" x14ac:dyDescent="0.3">
      <c r="A398" s="219"/>
    </row>
    <row r="399" spans="1:1" ht="15.6" x14ac:dyDescent="0.3">
      <c r="A399" s="219"/>
    </row>
    <row r="400" spans="1:1" ht="15.6" x14ac:dyDescent="0.3">
      <c r="A400" s="219"/>
    </row>
    <row r="401" spans="1:1" ht="15.6" x14ac:dyDescent="0.3">
      <c r="A401" s="219"/>
    </row>
    <row r="402" spans="1:1" ht="15.6" x14ac:dyDescent="0.3">
      <c r="A402" s="219"/>
    </row>
    <row r="403" spans="1:1" ht="15.6" x14ac:dyDescent="0.3">
      <c r="A403" s="219"/>
    </row>
    <row r="404" spans="1:1" ht="15.6" x14ac:dyDescent="0.3">
      <c r="A404" s="219"/>
    </row>
    <row r="405" spans="1:1" ht="15.6" x14ac:dyDescent="0.3">
      <c r="A405" s="219"/>
    </row>
    <row r="406" spans="1:1" ht="15.6" x14ac:dyDescent="0.3">
      <c r="A406" s="219"/>
    </row>
    <row r="407" spans="1:1" ht="15.6" x14ac:dyDescent="0.3">
      <c r="A407" s="219"/>
    </row>
    <row r="408" spans="1:1" ht="15.6" x14ac:dyDescent="0.3">
      <c r="A408" s="219"/>
    </row>
    <row r="409" spans="1:1" ht="15.6" x14ac:dyDescent="0.3">
      <c r="A409" s="219"/>
    </row>
    <row r="410" spans="1:1" ht="15.6" x14ac:dyDescent="0.3">
      <c r="A410" s="219"/>
    </row>
    <row r="411" spans="1:1" ht="15.6" x14ac:dyDescent="0.3">
      <c r="A411" s="219"/>
    </row>
    <row r="412" spans="1:1" ht="15.6" x14ac:dyDescent="0.3">
      <c r="A412" s="219"/>
    </row>
    <row r="413" spans="1:1" ht="15.6" x14ac:dyDescent="0.3">
      <c r="A413" s="219"/>
    </row>
    <row r="414" spans="1:1" ht="15.6" x14ac:dyDescent="0.3">
      <c r="A414" s="219"/>
    </row>
    <row r="415" spans="1:1" ht="15.6" x14ac:dyDescent="0.3">
      <c r="A415" s="219"/>
    </row>
    <row r="416" spans="1:1" ht="15.6" x14ac:dyDescent="0.3">
      <c r="A416" s="219"/>
    </row>
    <row r="417" spans="1:1" ht="15.6" x14ac:dyDescent="0.3">
      <c r="A417" s="219"/>
    </row>
    <row r="418" spans="1:1" ht="15.6" x14ac:dyDescent="0.3">
      <c r="A418" s="219"/>
    </row>
    <row r="419" spans="1:1" ht="15.6" x14ac:dyDescent="0.3">
      <c r="A419" s="219"/>
    </row>
    <row r="420" spans="1:1" ht="15.6" x14ac:dyDescent="0.3">
      <c r="A420" s="219"/>
    </row>
    <row r="421" spans="1:1" ht="15.6" x14ac:dyDescent="0.3">
      <c r="A421" s="219"/>
    </row>
    <row r="422" spans="1:1" ht="15.6" x14ac:dyDescent="0.3">
      <c r="A422" s="219"/>
    </row>
    <row r="423" spans="1:1" ht="15.6" x14ac:dyDescent="0.3">
      <c r="A423" s="219"/>
    </row>
    <row r="424" spans="1:1" ht="15.6" x14ac:dyDescent="0.3">
      <c r="A424" s="219"/>
    </row>
    <row r="425" spans="1:1" ht="15.6" x14ac:dyDescent="0.3">
      <c r="A425" s="219"/>
    </row>
    <row r="426" spans="1:1" ht="15.6" x14ac:dyDescent="0.3">
      <c r="A426" s="219"/>
    </row>
    <row r="427" spans="1:1" ht="15.6" x14ac:dyDescent="0.3">
      <c r="A427" s="219"/>
    </row>
    <row r="428" spans="1:1" ht="15.6" x14ac:dyDescent="0.3">
      <c r="A428" s="219"/>
    </row>
    <row r="429" spans="1:1" ht="15.6" x14ac:dyDescent="0.3">
      <c r="A429" s="219"/>
    </row>
    <row r="430" spans="1:1" ht="15.6" x14ac:dyDescent="0.3">
      <c r="A430" s="219"/>
    </row>
    <row r="431" spans="1:1" ht="15.6" x14ac:dyDescent="0.3">
      <c r="A431" s="219"/>
    </row>
    <row r="432" spans="1:1" ht="15.6" x14ac:dyDescent="0.3">
      <c r="A432" s="219"/>
    </row>
    <row r="433" spans="1:1" ht="15.6" x14ac:dyDescent="0.3">
      <c r="A433" s="219"/>
    </row>
    <row r="434" spans="1:1" ht="15.6" x14ac:dyDescent="0.3">
      <c r="A434" s="219"/>
    </row>
    <row r="435" spans="1:1" ht="15.6" x14ac:dyDescent="0.3">
      <c r="A435" s="219"/>
    </row>
    <row r="436" spans="1:1" ht="15.6" x14ac:dyDescent="0.3">
      <c r="A436" s="219"/>
    </row>
    <row r="437" spans="1:1" ht="15.6" x14ac:dyDescent="0.3">
      <c r="A437" s="219"/>
    </row>
    <row r="438" spans="1:1" ht="15.6" x14ac:dyDescent="0.3">
      <c r="A438" s="219"/>
    </row>
    <row r="439" spans="1:1" ht="15.6" x14ac:dyDescent="0.3">
      <c r="A439" s="219"/>
    </row>
    <row r="440" spans="1:1" ht="15.6" x14ac:dyDescent="0.3">
      <c r="A440" s="219"/>
    </row>
    <row r="441" spans="1:1" ht="15.6" x14ac:dyDescent="0.3">
      <c r="A441" s="219"/>
    </row>
    <row r="442" spans="1:1" ht="15.6" x14ac:dyDescent="0.3">
      <c r="A442" s="219"/>
    </row>
    <row r="443" spans="1:1" ht="15.6" x14ac:dyDescent="0.3">
      <c r="A443" s="219"/>
    </row>
    <row r="444" spans="1:1" ht="15.6" x14ac:dyDescent="0.3">
      <c r="A444" s="219"/>
    </row>
    <row r="445" spans="1:1" ht="15.6" x14ac:dyDescent="0.3">
      <c r="A445" s="219"/>
    </row>
    <row r="446" spans="1:1" ht="15.6" x14ac:dyDescent="0.3">
      <c r="A446" s="219"/>
    </row>
    <row r="447" spans="1:1" ht="15.6" x14ac:dyDescent="0.3">
      <c r="A447" s="219"/>
    </row>
    <row r="448" spans="1:1" ht="15.6" x14ac:dyDescent="0.3">
      <c r="A448" s="219"/>
    </row>
    <row r="449" spans="1:1" ht="15.6" x14ac:dyDescent="0.3">
      <c r="A449" s="219"/>
    </row>
    <row r="450" spans="1:1" ht="15.6" x14ac:dyDescent="0.3">
      <c r="A450" s="219"/>
    </row>
    <row r="451" spans="1:1" ht="15.6" x14ac:dyDescent="0.3">
      <c r="A451" s="219"/>
    </row>
    <row r="452" spans="1:1" ht="15.6" x14ac:dyDescent="0.3">
      <c r="A452" s="219"/>
    </row>
    <row r="453" spans="1:1" ht="15.6" x14ac:dyDescent="0.3">
      <c r="A453" s="219"/>
    </row>
    <row r="454" spans="1:1" ht="15.6" x14ac:dyDescent="0.3">
      <c r="A454" s="219"/>
    </row>
    <row r="455" spans="1:1" ht="15.6" x14ac:dyDescent="0.3">
      <c r="A455" s="219"/>
    </row>
    <row r="456" spans="1:1" ht="15.6" x14ac:dyDescent="0.3">
      <c r="A456" s="219"/>
    </row>
    <row r="457" spans="1:1" ht="15.6" x14ac:dyDescent="0.3">
      <c r="A457" s="219"/>
    </row>
    <row r="458" spans="1:1" ht="15.6" x14ac:dyDescent="0.3">
      <c r="A458" s="219"/>
    </row>
    <row r="459" spans="1:1" ht="15.6" x14ac:dyDescent="0.3">
      <c r="A459" s="219"/>
    </row>
    <row r="460" spans="1:1" ht="15.6" x14ac:dyDescent="0.3">
      <c r="A460" s="219"/>
    </row>
    <row r="461" spans="1:1" ht="15.6" x14ac:dyDescent="0.3">
      <c r="A461" s="219"/>
    </row>
    <row r="462" spans="1:1" ht="15.6" x14ac:dyDescent="0.3">
      <c r="A462" s="219"/>
    </row>
    <row r="463" spans="1:1" ht="15.6" x14ac:dyDescent="0.3">
      <c r="A463" s="219"/>
    </row>
    <row r="464" spans="1:1" ht="15.6" x14ac:dyDescent="0.3">
      <c r="A464" s="219"/>
    </row>
    <row r="465" spans="1:1" ht="15.6" x14ac:dyDescent="0.3">
      <c r="A465" s="219"/>
    </row>
    <row r="466" spans="1:1" ht="15.6" x14ac:dyDescent="0.3">
      <c r="A466" s="219"/>
    </row>
    <row r="467" spans="1:1" ht="15.6" x14ac:dyDescent="0.3">
      <c r="A467" s="219"/>
    </row>
    <row r="468" spans="1:1" ht="15.6" x14ac:dyDescent="0.3">
      <c r="A468" s="219"/>
    </row>
    <row r="469" spans="1:1" ht="15.6" x14ac:dyDescent="0.3">
      <c r="A469" s="219"/>
    </row>
    <row r="470" spans="1:1" ht="15.6" x14ac:dyDescent="0.3">
      <c r="A470" s="219"/>
    </row>
    <row r="471" spans="1:1" ht="15.6" x14ac:dyDescent="0.3">
      <c r="A471" s="219"/>
    </row>
    <row r="472" spans="1:1" ht="15.6" x14ac:dyDescent="0.3">
      <c r="A472" s="219"/>
    </row>
    <row r="473" spans="1:1" ht="15.6" x14ac:dyDescent="0.3">
      <c r="A473" s="219"/>
    </row>
    <row r="474" spans="1:1" ht="15.6" x14ac:dyDescent="0.3">
      <c r="A474" s="219"/>
    </row>
    <row r="475" spans="1:1" ht="15.6" x14ac:dyDescent="0.3">
      <c r="A475" s="219"/>
    </row>
    <row r="476" spans="1:1" ht="15.6" x14ac:dyDescent="0.3">
      <c r="A476" s="219"/>
    </row>
    <row r="477" spans="1:1" ht="15.6" x14ac:dyDescent="0.3">
      <c r="A477" s="219"/>
    </row>
    <row r="478" spans="1:1" ht="15.6" x14ac:dyDescent="0.3">
      <c r="A478" s="219"/>
    </row>
    <row r="479" spans="1:1" ht="15.6" x14ac:dyDescent="0.3">
      <c r="A479" s="219"/>
    </row>
    <row r="480" spans="1:1" ht="15.6" x14ac:dyDescent="0.3">
      <c r="A480" s="219"/>
    </row>
    <row r="481" spans="1:1" ht="15.6" x14ac:dyDescent="0.3">
      <c r="A481" s="219"/>
    </row>
    <row r="482" spans="1:1" ht="15.6" x14ac:dyDescent="0.3">
      <c r="A482" s="219"/>
    </row>
    <row r="483" spans="1:1" ht="15.6" x14ac:dyDescent="0.3">
      <c r="A483" s="219"/>
    </row>
    <row r="484" spans="1:1" ht="15.6" x14ac:dyDescent="0.3">
      <c r="A484" s="219"/>
    </row>
    <row r="485" spans="1:1" ht="15.6" x14ac:dyDescent="0.3">
      <c r="A485" s="219"/>
    </row>
    <row r="486" spans="1:1" ht="15.6" x14ac:dyDescent="0.3">
      <c r="A486" s="219"/>
    </row>
    <row r="487" spans="1:1" ht="15.6" x14ac:dyDescent="0.3">
      <c r="A487" s="219"/>
    </row>
    <row r="488" spans="1:1" ht="15.6" x14ac:dyDescent="0.3">
      <c r="A488" s="219"/>
    </row>
    <row r="489" spans="1:1" ht="15.6" x14ac:dyDescent="0.3">
      <c r="A489" s="219"/>
    </row>
    <row r="490" spans="1:1" ht="15.6" x14ac:dyDescent="0.3">
      <c r="A490" s="219"/>
    </row>
    <row r="491" spans="1:1" ht="15.6" x14ac:dyDescent="0.3">
      <c r="A491" s="219"/>
    </row>
    <row r="492" spans="1:1" ht="15.6" x14ac:dyDescent="0.3">
      <c r="A492" s="219"/>
    </row>
    <row r="493" spans="1:1" ht="15.6" x14ac:dyDescent="0.3">
      <c r="A493" s="219"/>
    </row>
    <row r="494" spans="1:1" ht="15.6" x14ac:dyDescent="0.3">
      <c r="A494" s="219"/>
    </row>
    <row r="495" spans="1:1" ht="15.6" x14ac:dyDescent="0.3">
      <c r="A495" s="219"/>
    </row>
    <row r="496" spans="1:1" ht="15.6" x14ac:dyDescent="0.3">
      <c r="A496" s="219"/>
    </row>
    <row r="497" spans="1:1" ht="15.6" x14ac:dyDescent="0.3">
      <c r="A497" s="219"/>
    </row>
    <row r="498" spans="1:1" ht="15.6" x14ac:dyDescent="0.3">
      <c r="A498" s="219"/>
    </row>
    <row r="499" spans="1:1" ht="15.6" x14ac:dyDescent="0.3">
      <c r="A499" s="219"/>
    </row>
    <row r="500" spans="1:1" ht="15.6" x14ac:dyDescent="0.3">
      <c r="A500" s="219"/>
    </row>
    <row r="501" spans="1:1" ht="15.6" x14ac:dyDescent="0.3">
      <c r="A501" s="219"/>
    </row>
    <row r="502" spans="1:1" ht="15.6" x14ac:dyDescent="0.3">
      <c r="A502" s="219"/>
    </row>
    <row r="503" spans="1:1" ht="15.6" x14ac:dyDescent="0.3">
      <c r="A503" s="219"/>
    </row>
    <row r="504" spans="1:1" ht="15.6" x14ac:dyDescent="0.3">
      <c r="A504" s="219"/>
    </row>
    <row r="505" spans="1:1" ht="15.6" x14ac:dyDescent="0.3">
      <c r="A505" s="219"/>
    </row>
    <row r="506" spans="1:1" ht="15.6" x14ac:dyDescent="0.3">
      <c r="A506" s="219"/>
    </row>
    <row r="507" spans="1:1" ht="15.6" x14ac:dyDescent="0.3">
      <c r="A507" s="219"/>
    </row>
    <row r="508" spans="1:1" ht="15.6" x14ac:dyDescent="0.3">
      <c r="A508" s="219"/>
    </row>
    <row r="509" spans="1:1" ht="15.6" x14ac:dyDescent="0.3">
      <c r="A509" s="219"/>
    </row>
    <row r="510" spans="1:1" ht="15.6" x14ac:dyDescent="0.3">
      <c r="A510" s="219"/>
    </row>
    <row r="511" spans="1:1" ht="15.6" x14ac:dyDescent="0.3">
      <c r="A511" s="219"/>
    </row>
    <row r="512" spans="1:1" ht="15.6" x14ac:dyDescent="0.3">
      <c r="A512" s="219"/>
    </row>
    <row r="513" spans="1:1" ht="15.6" x14ac:dyDescent="0.3">
      <c r="A513" s="219"/>
    </row>
    <row r="514" spans="1:1" ht="15.6" x14ac:dyDescent="0.3">
      <c r="A514" s="219"/>
    </row>
    <row r="515" spans="1:1" ht="15.6" x14ac:dyDescent="0.3">
      <c r="A515" s="219"/>
    </row>
    <row r="516" spans="1:1" ht="15.6" x14ac:dyDescent="0.3">
      <c r="A516" s="219"/>
    </row>
    <row r="517" spans="1:1" ht="15.6" x14ac:dyDescent="0.3">
      <c r="A517" s="219"/>
    </row>
    <row r="518" spans="1:1" ht="15.6" x14ac:dyDescent="0.3">
      <c r="A518" s="219"/>
    </row>
    <row r="519" spans="1:1" ht="15.6" x14ac:dyDescent="0.3">
      <c r="A519" s="219"/>
    </row>
    <row r="520" spans="1:1" ht="15.6" x14ac:dyDescent="0.3">
      <c r="A520" s="219"/>
    </row>
    <row r="521" spans="1:1" ht="15.6" x14ac:dyDescent="0.3">
      <c r="A521" s="219"/>
    </row>
    <row r="522" spans="1:1" ht="15.6" x14ac:dyDescent="0.3">
      <c r="A522" s="219"/>
    </row>
    <row r="523" spans="1:1" ht="15.6" x14ac:dyDescent="0.3">
      <c r="A523" s="219"/>
    </row>
    <row r="524" spans="1:1" ht="15.6" x14ac:dyDescent="0.3">
      <c r="A524" s="219"/>
    </row>
    <row r="525" spans="1:1" ht="15.6" x14ac:dyDescent="0.3">
      <c r="A525" s="219"/>
    </row>
    <row r="526" spans="1:1" ht="15.6" x14ac:dyDescent="0.3">
      <c r="A526" s="219"/>
    </row>
    <row r="527" spans="1:1" ht="15.6" x14ac:dyDescent="0.3">
      <c r="A527" s="219"/>
    </row>
    <row r="528" spans="1:1" ht="15.6" x14ac:dyDescent="0.3">
      <c r="A528" s="219"/>
    </row>
    <row r="529" spans="1:1" ht="15.6" x14ac:dyDescent="0.3">
      <c r="A529" s="219"/>
    </row>
    <row r="530" spans="1:1" ht="15.6" x14ac:dyDescent="0.3">
      <c r="A530" s="219"/>
    </row>
    <row r="531" spans="1:1" ht="15.6" x14ac:dyDescent="0.3">
      <c r="A531" s="219"/>
    </row>
    <row r="532" spans="1:1" ht="15.6" x14ac:dyDescent="0.3">
      <c r="A532" s="219"/>
    </row>
    <row r="533" spans="1:1" ht="15.6" x14ac:dyDescent="0.3">
      <c r="A533" s="219"/>
    </row>
    <row r="534" spans="1:1" ht="15.6" x14ac:dyDescent="0.3">
      <c r="A534" s="219"/>
    </row>
    <row r="535" spans="1:1" ht="15.6" x14ac:dyDescent="0.3">
      <c r="A535" s="219"/>
    </row>
    <row r="536" spans="1:1" ht="15.6" x14ac:dyDescent="0.3">
      <c r="A536" s="219"/>
    </row>
    <row r="537" spans="1:1" ht="15.6" x14ac:dyDescent="0.3">
      <c r="A537" s="219"/>
    </row>
    <row r="538" spans="1:1" ht="15.6" x14ac:dyDescent="0.3">
      <c r="A538" s="219"/>
    </row>
    <row r="539" spans="1:1" ht="15.6" x14ac:dyDescent="0.3">
      <c r="A539" s="219"/>
    </row>
    <row r="540" spans="1:1" ht="15.6" x14ac:dyDescent="0.3">
      <c r="A540" s="219"/>
    </row>
    <row r="541" spans="1:1" ht="15.6" x14ac:dyDescent="0.3">
      <c r="A541" s="219"/>
    </row>
    <row r="542" spans="1:1" ht="15.6" x14ac:dyDescent="0.3">
      <c r="A542" s="219"/>
    </row>
    <row r="543" spans="1:1" ht="15.6" x14ac:dyDescent="0.3">
      <c r="A543" s="219"/>
    </row>
    <row r="544" spans="1:1" ht="15.6" x14ac:dyDescent="0.3">
      <c r="A544" s="219"/>
    </row>
    <row r="545" spans="1:1" ht="15.6" x14ac:dyDescent="0.3">
      <c r="A545" s="219"/>
    </row>
    <row r="546" spans="1:1" ht="15.6" x14ac:dyDescent="0.3">
      <c r="A546" s="219"/>
    </row>
    <row r="547" spans="1:1" ht="15.6" x14ac:dyDescent="0.3">
      <c r="A547" s="219"/>
    </row>
    <row r="548" spans="1:1" ht="15.6" x14ac:dyDescent="0.3">
      <c r="A548" s="219"/>
    </row>
    <row r="549" spans="1:1" ht="15.6" x14ac:dyDescent="0.3">
      <c r="A549" s="219"/>
    </row>
    <row r="550" spans="1:1" ht="15.6" x14ac:dyDescent="0.3">
      <c r="A550" s="219"/>
    </row>
    <row r="551" spans="1:1" ht="15.6" x14ac:dyDescent="0.3">
      <c r="A551" s="219"/>
    </row>
    <row r="552" spans="1:1" ht="15.6" x14ac:dyDescent="0.3">
      <c r="A552" s="219"/>
    </row>
    <row r="553" spans="1:1" ht="15.6" x14ac:dyDescent="0.3">
      <c r="A553" s="219"/>
    </row>
    <row r="554" spans="1:1" ht="15.6" x14ac:dyDescent="0.3">
      <c r="A554" s="219"/>
    </row>
    <row r="555" spans="1:1" ht="15.6" x14ac:dyDescent="0.3">
      <c r="A555" s="219"/>
    </row>
    <row r="556" spans="1:1" ht="15.6" x14ac:dyDescent="0.3">
      <c r="A556" s="219"/>
    </row>
    <row r="557" spans="1:1" ht="15.6" x14ac:dyDescent="0.3">
      <c r="A557" s="219"/>
    </row>
    <row r="558" spans="1:1" ht="15.6" x14ac:dyDescent="0.3">
      <c r="A558" s="219"/>
    </row>
    <row r="559" spans="1:1" ht="15.6" x14ac:dyDescent="0.3">
      <c r="A559" s="219"/>
    </row>
    <row r="560" spans="1:1" ht="15.6" x14ac:dyDescent="0.3">
      <c r="A560" s="219"/>
    </row>
    <row r="561" spans="1:1" ht="15.6" x14ac:dyDescent="0.3">
      <c r="A561" s="219"/>
    </row>
    <row r="562" spans="1:1" ht="15.6" x14ac:dyDescent="0.3">
      <c r="A562" s="219"/>
    </row>
    <row r="563" spans="1:1" ht="15.6" x14ac:dyDescent="0.3">
      <c r="A563" s="219"/>
    </row>
    <row r="564" spans="1:1" ht="15.6" x14ac:dyDescent="0.3">
      <c r="A564" s="219"/>
    </row>
    <row r="565" spans="1:1" ht="15.6" x14ac:dyDescent="0.3">
      <c r="A565" s="219"/>
    </row>
    <row r="566" spans="1:1" ht="15.6" x14ac:dyDescent="0.3">
      <c r="A566" s="219"/>
    </row>
    <row r="567" spans="1:1" ht="15.6" x14ac:dyDescent="0.3">
      <c r="A567" s="219"/>
    </row>
    <row r="568" spans="1:1" ht="15.6" x14ac:dyDescent="0.3">
      <c r="A568" s="219"/>
    </row>
    <row r="569" spans="1:1" ht="15.6" x14ac:dyDescent="0.3">
      <c r="A569" s="219"/>
    </row>
    <row r="570" spans="1:1" ht="15.6" x14ac:dyDescent="0.3">
      <c r="A570" s="219"/>
    </row>
    <row r="571" spans="1:1" ht="15.6" x14ac:dyDescent="0.3">
      <c r="A571" s="219"/>
    </row>
    <row r="572" spans="1:1" ht="15.6" x14ac:dyDescent="0.3">
      <c r="A572" s="219"/>
    </row>
    <row r="573" spans="1:1" ht="15.6" x14ac:dyDescent="0.3">
      <c r="A573" s="219"/>
    </row>
    <row r="574" spans="1:1" ht="15.6" x14ac:dyDescent="0.3">
      <c r="A574" s="219"/>
    </row>
    <row r="575" spans="1:1" ht="15.6" x14ac:dyDescent="0.3">
      <c r="A575" s="219"/>
    </row>
    <row r="576" spans="1:1" ht="15.6" x14ac:dyDescent="0.3">
      <c r="A576" s="219"/>
    </row>
    <row r="577" spans="1:1" ht="15.6" x14ac:dyDescent="0.3">
      <c r="A577" s="219"/>
    </row>
    <row r="578" spans="1:1" ht="15.6" x14ac:dyDescent="0.3">
      <c r="A578" s="219"/>
    </row>
    <row r="579" spans="1:1" ht="15.6" x14ac:dyDescent="0.3">
      <c r="A579" s="219"/>
    </row>
    <row r="580" spans="1:1" ht="15.6" x14ac:dyDescent="0.3">
      <c r="A580" s="219"/>
    </row>
    <row r="581" spans="1:1" ht="15.6" x14ac:dyDescent="0.3">
      <c r="A581" s="219"/>
    </row>
    <row r="582" spans="1:1" ht="15.6" x14ac:dyDescent="0.3">
      <c r="A582" s="219"/>
    </row>
    <row r="583" spans="1:1" ht="15.6" x14ac:dyDescent="0.3">
      <c r="A583" s="219"/>
    </row>
    <row r="584" spans="1:1" ht="15.6" x14ac:dyDescent="0.3">
      <c r="A584" s="219"/>
    </row>
    <row r="585" spans="1:1" ht="15.6" x14ac:dyDescent="0.3">
      <c r="A585" s="219"/>
    </row>
    <row r="586" spans="1:1" ht="15.6" x14ac:dyDescent="0.3">
      <c r="A586" s="219"/>
    </row>
    <row r="587" spans="1:1" ht="15.6" x14ac:dyDescent="0.3">
      <c r="A587" s="219"/>
    </row>
    <row r="588" spans="1:1" ht="15.6" x14ac:dyDescent="0.3">
      <c r="A588" s="219"/>
    </row>
    <row r="589" spans="1:1" ht="15.6" x14ac:dyDescent="0.3">
      <c r="A589" s="219"/>
    </row>
    <row r="590" spans="1:1" ht="15.6" x14ac:dyDescent="0.3">
      <c r="A590" s="219"/>
    </row>
    <row r="591" spans="1:1" ht="15.6" x14ac:dyDescent="0.3">
      <c r="A591" s="219"/>
    </row>
    <row r="592" spans="1:1" ht="15.6" x14ac:dyDescent="0.3">
      <c r="A592" s="219"/>
    </row>
    <row r="593" spans="1:1" ht="15.6" x14ac:dyDescent="0.3">
      <c r="A593" s="219"/>
    </row>
    <row r="594" spans="1:1" ht="15.6" x14ac:dyDescent="0.3">
      <c r="A594" s="219"/>
    </row>
    <row r="595" spans="1:1" ht="15.6" x14ac:dyDescent="0.3">
      <c r="A595" s="219"/>
    </row>
    <row r="596" spans="1:1" ht="15.6" x14ac:dyDescent="0.3">
      <c r="A596" s="219"/>
    </row>
    <row r="597" spans="1:1" ht="15.6" x14ac:dyDescent="0.3">
      <c r="A597" s="219"/>
    </row>
    <row r="598" spans="1:1" ht="15.6" x14ac:dyDescent="0.3">
      <c r="A598" s="219"/>
    </row>
    <row r="599" spans="1:1" ht="15.6" x14ac:dyDescent="0.3">
      <c r="A599" s="219"/>
    </row>
    <row r="600" spans="1:1" ht="15.6" x14ac:dyDescent="0.3">
      <c r="A600" s="219"/>
    </row>
    <row r="601" spans="1:1" ht="15.6" x14ac:dyDescent="0.3">
      <c r="A601" s="219"/>
    </row>
    <row r="602" spans="1:1" ht="15.6" x14ac:dyDescent="0.3">
      <c r="A602" s="219"/>
    </row>
    <row r="603" spans="1:1" ht="15.6" x14ac:dyDescent="0.3">
      <c r="A603" s="219"/>
    </row>
    <row r="604" spans="1:1" ht="15.6" x14ac:dyDescent="0.3">
      <c r="A604" s="219"/>
    </row>
    <row r="605" spans="1:1" ht="15.6" x14ac:dyDescent="0.3">
      <c r="A605" s="219"/>
    </row>
    <row r="606" spans="1:1" ht="15.6" x14ac:dyDescent="0.3">
      <c r="A606" s="219"/>
    </row>
    <row r="607" spans="1:1" ht="15.6" x14ac:dyDescent="0.3">
      <c r="A607" s="219"/>
    </row>
    <row r="608" spans="1:1" ht="15.6" x14ac:dyDescent="0.3">
      <c r="A608" s="219"/>
    </row>
    <row r="609" spans="1:1" ht="15.6" x14ac:dyDescent="0.3">
      <c r="A609" s="219"/>
    </row>
    <row r="610" spans="1:1" ht="15.6" x14ac:dyDescent="0.3">
      <c r="A610" s="219"/>
    </row>
    <row r="611" spans="1:1" ht="15.6" x14ac:dyDescent="0.3">
      <c r="A611" s="219"/>
    </row>
    <row r="612" spans="1:1" ht="15.6" x14ac:dyDescent="0.3">
      <c r="A612" s="219"/>
    </row>
    <row r="613" spans="1:1" ht="15.6" x14ac:dyDescent="0.3">
      <c r="A613" s="219"/>
    </row>
    <row r="614" spans="1:1" ht="15.6" x14ac:dyDescent="0.3">
      <c r="A614" s="219"/>
    </row>
    <row r="615" spans="1:1" ht="15.6" x14ac:dyDescent="0.3">
      <c r="A615" s="219"/>
    </row>
    <row r="616" spans="1:1" ht="15.6" x14ac:dyDescent="0.3">
      <c r="A616" s="219"/>
    </row>
    <row r="617" spans="1:1" ht="15.6" x14ac:dyDescent="0.3">
      <c r="A617" s="219"/>
    </row>
    <row r="618" spans="1:1" ht="15.6" x14ac:dyDescent="0.3">
      <c r="A618" s="219"/>
    </row>
    <row r="619" spans="1:1" ht="15.6" x14ac:dyDescent="0.3">
      <c r="A619" s="219"/>
    </row>
    <row r="620" spans="1:1" ht="15.6" x14ac:dyDescent="0.3">
      <c r="A620" s="219"/>
    </row>
    <row r="621" spans="1:1" ht="15.6" x14ac:dyDescent="0.3">
      <c r="A621" s="219"/>
    </row>
    <row r="622" spans="1:1" ht="15.6" x14ac:dyDescent="0.3">
      <c r="A622" s="219"/>
    </row>
    <row r="623" spans="1:1" ht="15.6" x14ac:dyDescent="0.3">
      <c r="A623" s="219"/>
    </row>
    <row r="624" spans="1:1" ht="15.6" x14ac:dyDescent="0.3">
      <c r="A624" s="219"/>
    </row>
    <row r="625" spans="1:1" ht="15.6" x14ac:dyDescent="0.3">
      <c r="A625" s="219"/>
    </row>
    <row r="626" spans="1:1" ht="15.6" x14ac:dyDescent="0.3">
      <c r="A626" s="219"/>
    </row>
    <row r="627" spans="1:1" ht="15.6" x14ac:dyDescent="0.3">
      <c r="A627" s="219"/>
    </row>
    <row r="628" spans="1:1" ht="15.6" x14ac:dyDescent="0.3">
      <c r="A628" s="219"/>
    </row>
    <row r="629" spans="1:1" ht="15.6" x14ac:dyDescent="0.3">
      <c r="A629" s="219"/>
    </row>
    <row r="630" spans="1:1" ht="15.6" x14ac:dyDescent="0.3">
      <c r="A630" s="219"/>
    </row>
    <row r="631" spans="1:1" ht="15.6" x14ac:dyDescent="0.3">
      <c r="A631" s="219"/>
    </row>
    <row r="632" spans="1:1" ht="15.6" x14ac:dyDescent="0.3">
      <c r="A632" s="219"/>
    </row>
    <row r="633" spans="1:1" ht="15.6" x14ac:dyDescent="0.3">
      <c r="A633" s="219"/>
    </row>
    <row r="634" spans="1:1" ht="15.6" x14ac:dyDescent="0.3">
      <c r="A634" s="219"/>
    </row>
    <row r="635" spans="1:1" ht="15.6" x14ac:dyDescent="0.3">
      <c r="A635" s="219"/>
    </row>
    <row r="636" spans="1:1" ht="15.6" x14ac:dyDescent="0.3">
      <c r="A636" s="219"/>
    </row>
    <row r="637" spans="1:1" ht="15.6" x14ac:dyDescent="0.3">
      <c r="A637" s="219"/>
    </row>
    <row r="638" spans="1:1" ht="15.6" x14ac:dyDescent="0.3">
      <c r="A638" s="219"/>
    </row>
    <row r="639" spans="1:1" ht="15.6" x14ac:dyDescent="0.3">
      <c r="A639" s="219"/>
    </row>
    <row r="640" spans="1:1" ht="15.6" x14ac:dyDescent="0.3">
      <c r="A640" s="219"/>
    </row>
    <row r="641" spans="1:1" ht="15.6" x14ac:dyDescent="0.3">
      <c r="A641" s="219"/>
    </row>
    <row r="642" spans="1:1" ht="15.6" x14ac:dyDescent="0.3">
      <c r="A642" s="219"/>
    </row>
    <row r="643" spans="1:1" ht="15.6" x14ac:dyDescent="0.3">
      <c r="A643" s="219"/>
    </row>
    <row r="644" spans="1:1" ht="15.6" x14ac:dyDescent="0.3">
      <c r="A644" s="219"/>
    </row>
    <row r="645" spans="1:1" ht="15.6" x14ac:dyDescent="0.3">
      <c r="A645" s="219"/>
    </row>
    <row r="646" spans="1:1" ht="15.6" x14ac:dyDescent="0.3">
      <c r="A646" s="219"/>
    </row>
    <row r="647" spans="1:1" ht="15.6" x14ac:dyDescent="0.3">
      <c r="A647" s="219"/>
    </row>
    <row r="648" spans="1:1" ht="15.6" x14ac:dyDescent="0.3">
      <c r="A648" s="219"/>
    </row>
    <row r="649" spans="1:1" ht="15.6" x14ac:dyDescent="0.3">
      <c r="A649" s="219"/>
    </row>
    <row r="650" spans="1:1" ht="15.6" x14ac:dyDescent="0.3">
      <c r="A650" s="219"/>
    </row>
    <row r="651" spans="1:1" ht="15.6" x14ac:dyDescent="0.3">
      <c r="A651" s="219"/>
    </row>
    <row r="652" spans="1:1" ht="15.6" x14ac:dyDescent="0.3">
      <c r="A652" s="219"/>
    </row>
    <row r="653" spans="1:1" ht="15.6" x14ac:dyDescent="0.3">
      <c r="A653" s="219"/>
    </row>
    <row r="654" spans="1:1" ht="15.6" x14ac:dyDescent="0.3">
      <c r="A654" s="219"/>
    </row>
    <row r="655" spans="1:1" ht="15.6" x14ac:dyDescent="0.3">
      <c r="A655" s="219"/>
    </row>
    <row r="656" spans="1:1" ht="15.6" x14ac:dyDescent="0.3">
      <c r="A656" s="219"/>
    </row>
    <row r="657" spans="1:1" ht="15.6" x14ac:dyDescent="0.3">
      <c r="A657" s="219"/>
    </row>
    <row r="658" spans="1:1" ht="15.6" x14ac:dyDescent="0.3">
      <c r="A658" s="219"/>
    </row>
    <row r="659" spans="1:1" ht="15.6" x14ac:dyDescent="0.3">
      <c r="A659" s="219"/>
    </row>
    <row r="660" spans="1:1" ht="15.6" x14ac:dyDescent="0.3">
      <c r="A660" s="219"/>
    </row>
    <row r="661" spans="1:1" ht="15.6" x14ac:dyDescent="0.3">
      <c r="A661" s="219"/>
    </row>
    <row r="662" spans="1:1" ht="15.6" x14ac:dyDescent="0.3">
      <c r="A662" s="219"/>
    </row>
    <row r="663" spans="1:1" ht="15.6" x14ac:dyDescent="0.3">
      <c r="A663" s="219"/>
    </row>
    <row r="664" spans="1:1" ht="15.6" x14ac:dyDescent="0.3">
      <c r="A664" s="219"/>
    </row>
    <row r="665" spans="1:1" ht="15.6" x14ac:dyDescent="0.3">
      <c r="A665" s="219"/>
    </row>
    <row r="666" spans="1:1" ht="15.6" x14ac:dyDescent="0.3">
      <c r="A666" s="219"/>
    </row>
    <row r="667" spans="1:1" ht="15.6" x14ac:dyDescent="0.3">
      <c r="A667" s="219"/>
    </row>
    <row r="668" spans="1:1" ht="15.6" x14ac:dyDescent="0.3">
      <c r="A668" s="219"/>
    </row>
    <row r="669" spans="1:1" ht="15.6" x14ac:dyDescent="0.3">
      <c r="A669" s="219"/>
    </row>
    <row r="670" spans="1:1" ht="15.6" x14ac:dyDescent="0.3">
      <c r="A670" s="219"/>
    </row>
    <row r="671" spans="1:1" ht="15.6" x14ac:dyDescent="0.3">
      <c r="A671" s="219"/>
    </row>
    <row r="672" spans="1:1" ht="15.6" x14ac:dyDescent="0.3">
      <c r="A672" s="219"/>
    </row>
    <row r="673" spans="1:1" ht="15.6" x14ac:dyDescent="0.3">
      <c r="A673" s="219"/>
    </row>
    <row r="674" spans="1:1" ht="15.6" x14ac:dyDescent="0.3">
      <c r="A674" s="219"/>
    </row>
    <row r="675" spans="1:1" ht="15.6" x14ac:dyDescent="0.3">
      <c r="A675" s="219"/>
    </row>
    <row r="676" spans="1:1" ht="15.6" x14ac:dyDescent="0.3">
      <c r="A676" s="219"/>
    </row>
    <row r="677" spans="1:1" ht="15.6" x14ac:dyDescent="0.3">
      <c r="A677" s="219"/>
    </row>
    <row r="678" spans="1:1" ht="15.6" x14ac:dyDescent="0.3">
      <c r="A678" s="219"/>
    </row>
    <row r="679" spans="1:1" ht="15.6" x14ac:dyDescent="0.3">
      <c r="A679" s="219"/>
    </row>
    <row r="680" spans="1:1" ht="15.6" x14ac:dyDescent="0.3">
      <c r="A680" s="219"/>
    </row>
    <row r="681" spans="1:1" ht="15.6" x14ac:dyDescent="0.3">
      <c r="A681" s="219"/>
    </row>
    <row r="682" spans="1:1" ht="15.6" x14ac:dyDescent="0.3">
      <c r="A682" s="219"/>
    </row>
    <row r="683" spans="1:1" ht="15.6" x14ac:dyDescent="0.3">
      <c r="A683" s="219"/>
    </row>
    <row r="684" spans="1:1" ht="15.6" x14ac:dyDescent="0.3">
      <c r="A684" s="219"/>
    </row>
    <row r="685" spans="1:1" ht="15.6" x14ac:dyDescent="0.3">
      <c r="A685" s="219"/>
    </row>
    <row r="686" spans="1:1" ht="15.6" x14ac:dyDescent="0.3">
      <c r="A686" s="219"/>
    </row>
    <row r="687" spans="1:1" ht="15.6" x14ac:dyDescent="0.3">
      <c r="A687" s="219"/>
    </row>
    <row r="688" spans="1:1" ht="15.6" x14ac:dyDescent="0.3">
      <c r="A688" s="219"/>
    </row>
    <row r="689" spans="1:1" ht="15.6" x14ac:dyDescent="0.3">
      <c r="A689" s="219"/>
    </row>
    <row r="690" spans="1:1" ht="15.6" x14ac:dyDescent="0.3">
      <c r="A690" s="219"/>
    </row>
    <row r="691" spans="1:1" ht="15.6" x14ac:dyDescent="0.3">
      <c r="A691" s="219"/>
    </row>
    <row r="692" spans="1:1" ht="15.6" x14ac:dyDescent="0.3">
      <c r="A692" s="219"/>
    </row>
    <row r="693" spans="1:1" ht="15.6" x14ac:dyDescent="0.3">
      <c r="A693" s="219"/>
    </row>
    <row r="694" spans="1:1" ht="15.6" x14ac:dyDescent="0.3">
      <c r="A694" s="219"/>
    </row>
    <row r="695" spans="1:1" ht="15.6" x14ac:dyDescent="0.3">
      <c r="A695" s="219"/>
    </row>
    <row r="696" spans="1:1" ht="15.6" x14ac:dyDescent="0.3">
      <c r="A696" s="219"/>
    </row>
    <row r="697" spans="1:1" ht="15.6" x14ac:dyDescent="0.3">
      <c r="A697" s="219"/>
    </row>
    <row r="698" spans="1:1" ht="15.6" x14ac:dyDescent="0.3">
      <c r="A698" s="219"/>
    </row>
    <row r="699" spans="1:1" ht="15.6" x14ac:dyDescent="0.3">
      <c r="A699" s="219"/>
    </row>
    <row r="700" spans="1:1" ht="15.6" x14ac:dyDescent="0.3">
      <c r="A700" s="219"/>
    </row>
    <row r="701" spans="1:1" ht="15.6" x14ac:dyDescent="0.3">
      <c r="A701" s="219"/>
    </row>
    <row r="702" spans="1:1" ht="15.6" x14ac:dyDescent="0.3">
      <c r="A702" s="219"/>
    </row>
    <row r="703" spans="1:1" ht="15.6" x14ac:dyDescent="0.3">
      <c r="A703" s="219"/>
    </row>
    <row r="704" spans="1:1" ht="15.6" x14ac:dyDescent="0.3">
      <c r="A704" s="219"/>
    </row>
    <row r="705" spans="1:1" ht="15.6" x14ac:dyDescent="0.3">
      <c r="A705" s="219"/>
    </row>
    <row r="706" spans="1:1" ht="15.6" x14ac:dyDescent="0.3">
      <c r="A706" s="219"/>
    </row>
    <row r="707" spans="1:1" ht="15.6" x14ac:dyDescent="0.3">
      <c r="A707" s="219"/>
    </row>
    <row r="708" spans="1:1" ht="15.6" x14ac:dyDescent="0.3">
      <c r="A708" s="219"/>
    </row>
    <row r="709" spans="1:1" ht="15.6" x14ac:dyDescent="0.3">
      <c r="A709" s="219"/>
    </row>
    <row r="710" spans="1:1" ht="15.6" x14ac:dyDescent="0.3">
      <c r="A710" s="219"/>
    </row>
    <row r="711" spans="1:1" ht="15.6" x14ac:dyDescent="0.3">
      <c r="A711" s="219"/>
    </row>
    <row r="712" spans="1:1" ht="15.6" x14ac:dyDescent="0.3">
      <c r="A712" s="219"/>
    </row>
    <row r="713" spans="1:1" ht="15.6" x14ac:dyDescent="0.3">
      <c r="A713" s="219"/>
    </row>
    <row r="714" spans="1:1" ht="15.6" x14ac:dyDescent="0.3">
      <c r="A714" s="219"/>
    </row>
    <row r="715" spans="1:1" ht="15.6" x14ac:dyDescent="0.3">
      <c r="A715" s="219"/>
    </row>
    <row r="716" spans="1:1" ht="15.6" x14ac:dyDescent="0.3">
      <c r="A716" s="219"/>
    </row>
    <row r="717" spans="1:1" ht="15.6" x14ac:dyDescent="0.3">
      <c r="A717" s="219"/>
    </row>
    <row r="718" spans="1:1" ht="15.6" x14ac:dyDescent="0.3">
      <c r="A718" s="219"/>
    </row>
    <row r="719" spans="1:1" ht="15.6" x14ac:dyDescent="0.3">
      <c r="A719" s="219"/>
    </row>
    <row r="720" spans="1:1" ht="15.6" x14ac:dyDescent="0.3">
      <c r="A720" s="219"/>
    </row>
    <row r="721" spans="1:1" ht="15.6" x14ac:dyDescent="0.3">
      <c r="A721" s="219"/>
    </row>
    <row r="722" spans="1:1" ht="15.6" x14ac:dyDescent="0.3">
      <c r="A722" s="219"/>
    </row>
    <row r="723" spans="1:1" ht="15.6" x14ac:dyDescent="0.3">
      <c r="A723" s="219"/>
    </row>
    <row r="724" spans="1:1" ht="15.6" x14ac:dyDescent="0.3">
      <c r="A724" s="219"/>
    </row>
    <row r="725" spans="1:1" ht="15.6" x14ac:dyDescent="0.3">
      <c r="A725" s="219"/>
    </row>
    <row r="726" spans="1:1" ht="15.6" x14ac:dyDescent="0.3">
      <c r="A726" s="219"/>
    </row>
    <row r="727" spans="1:1" ht="15.6" x14ac:dyDescent="0.3">
      <c r="A727" s="219"/>
    </row>
    <row r="728" spans="1:1" ht="15.6" x14ac:dyDescent="0.3">
      <c r="A728" s="219"/>
    </row>
    <row r="729" spans="1:1" ht="15.6" x14ac:dyDescent="0.3">
      <c r="A729" s="219"/>
    </row>
    <row r="730" spans="1:1" ht="15.6" x14ac:dyDescent="0.3">
      <c r="A730" s="219"/>
    </row>
    <row r="731" spans="1:1" ht="15.6" x14ac:dyDescent="0.3">
      <c r="A731" s="219"/>
    </row>
    <row r="732" spans="1:1" ht="15.6" x14ac:dyDescent="0.3">
      <c r="A732" s="219"/>
    </row>
    <row r="733" spans="1:1" ht="15.6" x14ac:dyDescent="0.3">
      <c r="A733" s="219"/>
    </row>
    <row r="734" spans="1:1" ht="15.6" x14ac:dyDescent="0.3">
      <c r="A734" s="219"/>
    </row>
    <row r="735" spans="1:1" ht="15.6" x14ac:dyDescent="0.3">
      <c r="A735" s="219"/>
    </row>
    <row r="736" spans="1:1" ht="15.6" x14ac:dyDescent="0.3">
      <c r="A736" s="219"/>
    </row>
    <row r="737" spans="1:1" ht="15.6" x14ac:dyDescent="0.3">
      <c r="A737" s="219"/>
    </row>
    <row r="738" spans="1:1" ht="15.6" x14ac:dyDescent="0.3">
      <c r="A738" s="219"/>
    </row>
    <row r="739" spans="1:1" ht="15.6" x14ac:dyDescent="0.3">
      <c r="A739" s="219"/>
    </row>
    <row r="740" spans="1:1" ht="15.6" x14ac:dyDescent="0.3">
      <c r="A740" s="219"/>
    </row>
    <row r="741" spans="1:1" ht="15.6" x14ac:dyDescent="0.3">
      <c r="A741" s="219"/>
    </row>
    <row r="742" spans="1:1" ht="15.6" x14ac:dyDescent="0.3">
      <c r="A742" s="219"/>
    </row>
    <row r="743" spans="1:1" ht="15.6" x14ac:dyDescent="0.3">
      <c r="A743" s="219"/>
    </row>
    <row r="744" spans="1:1" ht="15.6" x14ac:dyDescent="0.3">
      <c r="A744" s="219"/>
    </row>
    <row r="745" spans="1:1" ht="15.6" x14ac:dyDescent="0.3">
      <c r="A745" s="219"/>
    </row>
    <row r="746" spans="1:1" ht="15.6" x14ac:dyDescent="0.3">
      <c r="A746" s="219"/>
    </row>
    <row r="747" spans="1:1" ht="15.6" x14ac:dyDescent="0.3">
      <c r="A747" s="219"/>
    </row>
    <row r="748" spans="1:1" ht="15.6" x14ac:dyDescent="0.3">
      <c r="A748" s="219"/>
    </row>
    <row r="749" spans="1:1" ht="15.6" x14ac:dyDescent="0.3">
      <c r="A749" s="219"/>
    </row>
    <row r="750" spans="1:1" ht="15.6" x14ac:dyDescent="0.3">
      <c r="A750" s="219"/>
    </row>
    <row r="751" spans="1:1" ht="15.6" x14ac:dyDescent="0.3">
      <c r="A751" s="219"/>
    </row>
    <row r="752" spans="1:1" ht="15.6" x14ac:dyDescent="0.3">
      <c r="A752" s="219"/>
    </row>
    <row r="753" spans="1:1" ht="15.6" x14ac:dyDescent="0.3">
      <c r="A753" s="219"/>
    </row>
    <row r="754" spans="1:1" ht="15.6" x14ac:dyDescent="0.3">
      <c r="A754" s="219"/>
    </row>
    <row r="755" spans="1:1" ht="15.6" x14ac:dyDescent="0.3">
      <c r="A755" s="219"/>
    </row>
    <row r="756" spans="1:1" ht="15.6" x14ac:dyDescent="0.3">
      <c r="A756" s="219"/>
    </row>
    <row r="757" spans="1:1" ht="15.6" x14ac:dyDescent="0.3">
      <c r="A757" s="219"/>
    </row>
    <row r="758" spans="1:1" ht="15.6" x14ac:dyDescent="0.3">
      <c r="A758" s="219"/>
    </row>
    <row r="759" spans="1:1" ht="15.6" x14ac:dyDescent="0.3">
      <c r="A759" s="219"/>
    </row>
    <row r="760" spans="1:1" ht="15.6" x14ac:dyDescent="0.3">
      <c r="A760" s="219"/>
    </row>
    <row r="761" spans="1:1" ht="15.6" x14ac:dyDescent="0.3">
      <c r="A761" s="219"/>
    </row>
    <row r="762" spans="1:1" ht="15.6" x14ac:dyDescent="0.3">
      <c r="A762" s="219"/>
    </row>
    <row r="763" spans="1:1" ht="15.6" x14ac:dyDescent="0.3">
      <c r="A763" s="219"/>
    </row>
    <row r="764" spans="1:1" ht="15.6" x14ac:dyDescent="0.3">
      <c r="A764" s="219"/>
    </row>
    <row r="765" spans="1:1" ht="15.6" x14ac:dyDescent="0.3">
      <c r="A765" s="219"/>
    </row>
    <row r="766" spans="1:1" ht="15.6" x14ac:dyDescent="0.3">
      <c r="A766" s="219"/>
    </row>
    <row r="767" spans="1:1" ht="15.6" x14ac:dyDescent="0.3">
      <c r="A767" s="219"/>
    </row>
    <row r="768" spans="1:1" ht="15.6" x14ac:dyDescent="0.3">
      <c r="A768" s="219"/>
    </row>
    <row r="769" spans="1:1" ht="15.6" x14ac:dyDescent="0.3">
      <c r="A769" s="219"/>
    </row>
    <row r="770" spans="1:1" ht="15.6" x14ac:dyDescent="0.3">
      <c r="A770" s="219"/>
    </row>
    <row r="771" spans="1:1" ht="15.6" x14ac:dyDescent="0.3">
      <c r="A771" s="219"/>
    </row>
    <row r="772" spans="1:1" ht="15.6" x14ac:dyDescent="0.3">
      <c r="A772" s="219"/>
    </row>
    <row r="773" spans="1:1" ht="15.6" x14ac:dyDescent="0.3">
      <c r="A773" s="219"/>
    </row>
    <row r="774" spans="1:1" ht="15.6" x14ac:dyDescent="0.3">
      <c r="A774" s="219"/>
    </row>
    <row r="775" spans="1:1" ht="15.6" x14ac:dyDescent="0.3">
      <c r="A775" s="219"/>
    </row>
    <row r="776" spans="1:1" ht="15.6" x14ac:dyDescent="0.3">
      <c r="A776" s="219"/>
    </row>
    <row r="777" spans="1:1" ht="15.6" x14ac:dyDescent="0.3">
      <c r="A777" s="219"/>
    </row>
    <row r="778" spans="1:1" ht="15.6" x14ac:dyDescent="0.3">
      <c r="A778" s="219"/>
    </row>
    <row r="779" spans="1:1" ht="15.6" x14ac:dyDescent="0.3">
      <c r="A779" s="219"/>
    </row>
    <row r="780" spans="1:1" ht="15.6" x14ac:dyDescent="0.3">
      <c r="A780" s="219"/>
    </row>
    <row r="781" spans="1:1" ht="15.6" x14ac:dyDescent="0.3">
      <c r="A781" s="219"/>
    </row>
    <row r="782" spans="1:1" ht="15.6" x14ac:dyDescent="0.3">
      <c r="A782" s="219"/>
    </row>
    <row r="783" spans="1:1" ht="15.6" x14ac:dyDescent="0.3">
      <c r="A783" s="219"/>
    </row>
    <row r="784" spans="1:1" ht="15.6" x14ac:dyDescent="0.3">
      <c r="A784" s="219"/>
    </row>
    <row r="785" spans="1:1" ht="15.6" x14ac:dyDescent="0.3">
      <c r="A785" s="219"/>
    </row>
    <row r="786" spans="1:1" ht="15.6" x14ac:dyDescent="0.3">
      <c r="A786" s="219"/>
    </row>
    <row r="787" spans="1:1" ht="15.6" x14ac:dyDescent="0.3">
      <c r="A787" s="219"/>
    </row>
    <row r="788" spans="1:1" ht="15.6" x14ac:dyDescent="0.3">
      <c r="A788" s="219"/>
    </row>
    <row r="789" spans="1:1" ht="15.6" x14ac:dyDescent="0.3">
      <c r="A789" s="219"/>
    </row>
    <row r="790" spans="1:1" ht="15.6" x14ac:dyDescent="0.3">
      <c r="A790" s="219"/>
    </row>
    <row r="791" spans="1:1" ht="15.6" x14ac:dyDescent="0.3">
      <c r="A791" s="219"/>
    </row>
    <row r="792" spans="1:1" ht="15.6" x14ac:dyDescent="0.3">
      <c r="A792" s="219"/>
    </row>
    <row r="793" spans="1:1" ht="15.6" x14ac:dyDescent="0.3">
      <c r="A793" s="219"/>
    </row>
    <row r="794" spans="1:1" ht="15.6" x14ac:dyDescent="0.3">
      <c r="A794" s="219"/>
    </row>
    <row r="795" spans="1:1" ht="15.6" x14ac:dyDescent="0.3">
      <c r="A795" s="219"/>
    </row>
    <row r="796" spans="1:1" ht="15.6" x14ac:dyDescent="0.3">
      <c r="A796" s="219"/>
    </row>
    <row r="797" spans="1:1" ht="15.6" x14ac:dyDescent="0.3">
      <c r="A797" s="219"/>
    </row>
    <row r="798" spans="1:1" ht="15.6" x14ac:dyDescent="0.3">
      <c r="A798" s="219"/>
    </row>
    <row r="799" spans="1:1" ht="15.6" x14ac:dyDescent="0.3">
      <c r="A799" s="219"/>
    </row>
    <row r="800" spans="1:1" ht="15.6" x14ac:dyDescent="0.3">
      <c r="A800" s="219"/>
    </row>
    <row r="801" spans="1:1" ht="15.6" x14ac:dyDescent="0.3">
      <c r="A801" s="219"/>
    </row>
    <row r="802" spans="1:1" ht="15.6" x14ac:dyDescent="0.3">
      <c r="A802" s="219"/>
    </row>
    <row r="803" spans="1:1" ht="15.6" x14ac:dyDescent="0.3">
      <c r="A803" s="219"/>
    </row>
    <row r="804" spans="1:1" ht="15.6" x14ac:dyDescent="0.3">
      <c r="A804" s="219"/>
    </row>
    <row r="805" spans="1:1" ht="15.6" x14ac:dyDescent="0.3">
      <c r="A805" s="219"/>
    </row>
    <row r="806" spans="1:1" ht="15.6" x14ac:dyDescent="0.3">
      <c r="A806" s="219"/>
    </row>
    <row r="807" spans="1:1" ht="15.6" x14ac:dyDescent="0.3">
      <c r="A807" s="219"/>
    </row>
    <row r="808" spans="1:1" ht="15.6" x14ac:dyDescent="0.3">
      <c r="A808" s="219"/>
    </row>
    <row r="809" spans="1:1" ht="15.6" x14ac:dyDescent="0.3">
      <c r="A809" s="219"/>
    </row>
    <row r="810" spans="1:1" ht="15.6" x14ac:dyDescent="0.3">
      <c r="A810" s="219"/>
    </row>
    <row r="811" spans="1:1" ht="15.6" x14ac:dyDescent="0.3">
      <c r="A811" s="219"/>
    </row>
    <row r="812" spans="1:1" ht="15.6" x14ac:dyDescent="0.3">
      <c r="A812" s="219"/>
    </row>
    <row r="813" spans="1:1" ht="15.6" x14ac:dyDescent="0.3">
      <c r="A813" s="219"/>
    </row>
    <row r="814" spans="1:1" ht="15.6" x14ac:dyDescent="0.3">
      <c r="A814" s="219"/>
    </row>
    <row r="815" spans="1:1" ht="15.6" x14ac:dyDescent="0.3">
      <c r="A815" s="219"/>
    </row>
    <row r="816" spans="1:1" ht="15.6" x14ac:dyDescent="0.3">
      <c r="A816" s="219"/>
    </row>
    <row r="817" spans="1:1" ht="15.6" x14ac:dyDescent="0.3">
      <c r="A817" s="219"/>
    </row>
    <row r="818" spans="1:1" ht="15.6" x14ac:dyDescent="0.3">
      <c r="A818" s="219"/>
    </row>
    <row r="819" spans="1:1" ht="15.6" x14ac:dyDescent="0.3">
      <c r="A819" s="219"/>
    </row>
    <row r="820" spans="1:1" ht="15.6" x14ac:dyDescent="0.3">
      <c r="A820" s="219"/>
    </row>
    <row r="821" spans="1:1" ht="15.6" x14ac:dyDescent="0.3">
      <c r="A821" s="219"/>
    </row>
    <row r="822" spans="1:1" ht="15.6" x14ac:dyDescent="0.3">
      <c r="A822" s="219"/>
    </row>
    <row r="823" spans="1:1" ht="15.6" x14ac:dyDescent="0.3">
      <c r="A823" s="219"/>
    </row>
    <row r="824" spans="1:1" ht="15.6" x14ac:dyDescent="0.3">
      <c r="A824" s="219"/>
    </row>
    <row r="825" spans="1:1" ht="15.6" x14ac:dyDescent="0.3">
      <c r="A825" s="219"/>
    </row>
    <row r="826" spans="1:1" ht="15.6" x14ac:dyDescent="0.3">
      <c r="A826" s="219"/>
    </row>
    <row r="827" spans="1:1" ht="15.6" x14ac:dyDescent="0.3">
      <c r="A827" s="219"/>
    </row>
    <row r="828" spans="1:1" ht="15.6" x14ac:dyDescent="0.3">
      <c r="A828" s="219"/>
    </row>
    <row r="829" spans="1:1" ht="15.6" x14ac:dyDescent="0.3">
      <c r="A829" s="219"/>
    </row>
    <row r="830" spans="1:1" ht="15.6" x14ac:dyDescent="0.3">
      <c r="A830" s="219"/>
    </row>
    <row r="831" spans="1:1" ht="15.6" x14ac:dyDescent="0.3">
      <c r="A831" s="219"/>
    </row>
    <row r="832" spans="1:1" ht="15.6" x14ac:dyDescent="0.3">
      <c r="A832" s="219"/>
    </row>
    <row r="833" spans="1:1" ht="15.6" x14ac:dyDescent="0.3">
      <c r="A833" s="219"/>
    </row>
    <row r="834" spans="1:1" ht="15.6" x14ac:dyDescent="0.3">
      <c r="A834" s="219"/>
    </row>
    <row r="835" spans="1:1" ht="15.6" x14ac:dyDescent="0.3">
      <c r="A835" s="219"/>
    </row>
    <row r="836" spans="1:1" ht="15.6" x14ac:dyDescent="0.3">
      <c r="A836" s="219"/>
    </row>
    <row r="837" spans="1:1" ht="15.6" x14ac:dyDescent="0.3">
      <c r="A837" s="219"/>
    </row>
    <row r="838" spans="1:1" ht="15.6" x14ac:dyDescent="0.3">
      <c r="A838" s="219"/>
    </row>
    <row r="839" spans="1:1" ht="15.6" x14ac:dyDescent="0.3">
      <c r="A839" s="219"/>
    </row>
    <row r="840" spans="1:1" ht="15.6" x14ac:dyDescent="0.3">
      <c r="A840" s="219"/>
    </row>
    <row r="841" spans="1:1" ht="15.6" x14ac:dyDescent="0.3">
      <c r="A841" s="219"/>
    </row>
    <row r="842" spans="1:1" ht="15.6" x14ac:dyDescent="0.3">
      <c r="A842" s="219"/>
    </row>
    <row r="843" spans="1:1" ht="15.6" x14ac:dyDescent="0.3">
      <c r="A843" s="219"/>
    </row>
    <row r="844" spans="1:1" ht="15.6" x14ac:dyDescent="0.3">
      <c r="A844" s="219"/>
    </row>
    <row r="845" spans="1:1" ht="15.6" x14ac:dyDescent="0.3">
      <c r="A845" s="219"/>
    </row>
    <row r="846" spans="1:1" ht="15.6" x14ac:dyDescent="0.3">
      <c r="A846" s="219"/>
    </row>
    <row r="847" spans="1:1" ht="15.6" x14ac:dyDescent="0.3">
      <c r="A847" s="219"/>
    </row>
    <row r="848" spans="1:1" ht="15.6" x14ac:dyDescent="0.3">
      <c r="A848" s="219"/>
    </row>
    <row r="849" spans="1:1" ht="15.6" x14ac:dyDescent="0.3">
      <c r="A849" s="219"/>
    </row>
    <row r="850" spans="1:1" ht="15.6" x14ac:dyDescent="0.3">
      <c r="A850" s="219"/>
    </row>
    <row r="851" spans="1:1" ht="15.6" x14ac:dyDescent="0.3">
      <c r="A851" s="219"/>
    </row>
    <row r="852" spans="1:1" ht="15.6" x14ac:dyDescent="0.3">
      <c r="A852" s="219"/>
    </row>
    <row r="853" spans="1:1" ht="15.6" x14ac:dyDescent="0.3">
      <c r="A853" s="219"/>
    </row>
    <row r="854" spans="1:1" ht="15.6" x14ac:dyDescent="0.3">
      <c r="A854" s="219"/>
    </row>
    <row r="855" spans="1:1" ht="15.6" x14ac:dyDescent="0.3">
      <c r="A855" s="219"/>
    </row>
    <row r="856" spans="1:1" ht="15.6" x14ac:dyDescent="0.3">
      <c r="A856" s="219"/>
    </row>
    <row r="857" spans="1:1" ht="15.6" x14ac:dyDescent="0.3">
      <c r="A857" s="219"/>
    </row>
    <row r="858" spans="1:1" ht="15.6" x14ac:dyDescent="0.3">
      <c r="A858" s="219"/>
    </row>
    <row r="859" spans="1:1" ht="15.6" x14ac:dyDescent="0.3">
      <c r="A859" s="219"/>
    </row>
    <row r="860" spans="1:1" ht="15.6" x14ac:dyDescent="0.3">
      <c r="A860" s="219"/>
    </row>
    <row r="861" spans="1:1" ht="15.6" x14ac:dyDescent="0.3">
      <c r="A861" s="219"/>
    </row>
    <row r="862" spans="1:1" ht="15.6" x14ac:dyDescent="0.3">
      <c r="A862" s="219"/>
    </row>
    <row r="863" spans="1:1" ht="15.6" x14ac:dyDescent="0.3">
      <c r="A863" s="219"/>
    </row>
    <row r="864" spans="1:1" ht="15.6" x14ac:dyDescent="0.3">
      <c r="A864" s="219"/>
    </row>
    <row r="865" spans="1:1" ht="15.6" x14ac:dyDescent="0.3">
      <c r="A865" s="219"/>
    </row>
    <row r="866" spans="1:1" ht="15.6" x14ac:dyDescent="0.3">
      <c r="A866" s="219"/>
    </row>
    <row r="867" spans="1:1" ht="15.6" x14ac:dyDescent="0.3">
      <c r="A867" s="219"/>
    </row>
    <row r="868" spans="1:1" ht="15.6" x14ac:dyDescent="0.3">
      <c r="A868" s="219"/>
    </row>
    <row r="869" spans="1:1" ht="15.6" x14ac:dyDescent="0.3">
      <c r="A869" s="219"/>
    </row>
    <row r="870" spans="1:1" ht="15.6" x14ac:dyDescent="0.3">
      <c r="A870" s="219"/>
    </row>
    <row r="871" spans="1:1" ht="15.6" x14ac:dyDescent="0.3">
      <c r="A871" s="219"/>
    </row>
    <row r="872" spans="1:1" ht="15.6" x14ac:dyDescent="0.3">
      <c r="A872" s="219"/>
    </row>
    <row r="873" spans="1:1" ht="15.6" x14ac:dyDescent="0.3">
      <c r="A873" s="219"/>
    </row>
    <row r="874" spans="1:1" ht="15.6" x14ac:dyDescent="0.3">
      <c r="A874" s="219"/>
    </row>
    <row r="875" spans="1:1" ht="15.6" x14ac:dyDescent="0.3">
      <c r="A875" s="219"/>
    </row>
    <row r="876" spans="1:1" ht="15.6" x14ac:dyDescent="0.3">
      <c r="A876" s="219"/>
    </row>
    <row r="877" spans="1:1" ht="15.6" x14ac:dyDescent="0.3">
      <c r="A877" s="219"/>
    </row>
    <row r="878" spans="1:1" ht="15.6" x14ac:dyDescent="0.3">
      <c r="A878" s="219"/>
    </row>
    <row r="879" spans="1:1" ht="15.6" x14ac:dyDescent="0.3">
      <c r="A879" s="219"/>
    </row>
    <row r="880" spans="1:1" ht="15.6" x14ac:dyDescent="0.3">
      <c r="A880" s="219"/>
    </row>
    <row r="881" spans="1:1" ht="15.6" x14ac:dyDescent="0.3">
      <c r="A881" s="219"/>
    </row>
    <row r="882" spans="1:1" ht="15.6" x14ac:dyDescent="0.3">
      <c r="A882" s="219"/>
    </row>
    <row r="883" spans="1:1" ht="15.6" x14ac:dyDescent="0.3">
      <c r="A883" s="219"/>
    </row>
    <row r="884" spans="1:1" ht="15.6" x14ac:dyDescent="0.3">
      <c r="A884" s="219"/>
    </row>
    <row r="885" spans="1:1" ht="15.6" x14ac:dyDescent="0.3">
      <c r="A885" s="219"/>
    </row>
    <row r="886" spans="1:1" ht="15.6" x14ac:dyDescent="0.3">
      <c r="A886" s="219"/>
    </row>
    <row r="887" spans="1:1" ht="15.6" x14ac:dyDescent="0.3">
      <c r="A887" s="219"/>
    </row>
    <row r="888" spans="1:1" ht="15.6" x14ac:dyDescent="0.3">
      <c r="A888" s="219"/>
    </row>
    <row r="889" spans="1:1" ht="15.6" x14ac:dyDescent="0.3">
      <c r="A889" s="219"/>
    </row>
    <row r="890" spans="1:1" ht="15.6" x14ac:dyDescent="0.3">
      <c r="A890" s="219"/>
    </row>
    <row r="891" spans="1:1" ht="15.6" x14ac:dyDescent="0.3">
      <c r="A891" s="219"/>
    </row>
    <row r="892" spans="1:1" ht="15.6" x14ac:dyDescent="0.3">
      <c r="A892" s="219"/>
    </row>
    <row r="893" spans="1:1" ht="15.6" x14ac:dyDescent="0.3">
      <c r="A893" s="219"/>
    </row>
    <row r="894" spans="1:1" ht="15.6" x14ac:dyDescent="0.3">
      <c r="A894" s="219"/>
    </row>
    <row r="895" spans="1:1" ht="15.6" x14ac:dyDescent="0.3">
      <c r="A895" s="219"/>
    </row>
    <row r="896" spans="1:1" ht="15.6" x14ac:dyDescent="0.3">
      <c r="A896" s="219"/>
    </row>
    <row r="897" spans="1:1" ht="15.6" x14ac:dyDescent="0.3">
      <c r="A897" s="219"/>
    </row>
    <row r="898" spans="1:1" ht="15.6" x14ac:dyDescent="0.3">
      <c r="A898" s="219"/>
    </row>
    <row r="899" spans="1:1" ht="15.6" x14ac:dyDescent="0.3">
      <c r="A899" s="219"/>
    </row>
    <row r="900" spans="1:1" ht="15.6" x14ac:dyDescent="0.3">
      <c r="A900" s="219"/>
    </row>
    <row r="901" spans="1:1" ht="15.6" x14ac:dyDescent="0.3">
      <c r="A901" s="219"/>
    </row>
    <row r="902" spans="1:1" ht="15.6" x14ac:dyDescent="0.3">
      <c r="A902" s="219"/>
    </row>
    <row r="903" spans="1:1" ht="15.6" x14ac:dyDescent="0.3">
      <c r="A903" s="219"/>
    </row>
    <row r="904" spans="1:1" ht="15.6" x14ac:dyDescent="0.3">
      <c r="A904" s="219"/>
    </row>
    <row r="905" spans="1:1" ht="15.6" x14ac:dyDescent="0.3">
      <c r="A905" s="219"/>
    </row>
    <row r="906" spans="1:1" ht="15.6" x14ac:dyDescent="0.3">
      <c r="A906" s="219"/>
    </row>
    <row r="907" spans="1:1" ht="15.6" x14ac:dyDescent="0.3">
      <c r="A907" s="219"/>
    </row>
    <row r="908" spans="1:1" ht="15.6" x14ac:dyDescent="0.3">
      <c r="A908" s="219"/>
    </row>
    <row r="909" spans="1:1" ht="15.6" x14ac:dyDescent="0.3">
      <c r="A909" s="219"/>
    </row>
    <row r="910" spans="1:1" ht="15.6" x14ac:dyDescent="0.3">
      <c r="A910" s="219"/>
    </row>
    <row r="911" spans="1:1" ht="15.6" x14ac:dyDescent="0.3">
      <c r="A911" s="219"/>
    </row>
    <row r="912" spans="1:1" ht="15.6" x14ac:dyDescent="0.3">
      <c r="A912" s="219"/>
    </row>
    <row r="913" spans="1:1" ht="15.6" x14ac:dyDescent="0.3">
      <c r="A913" s="219"/>
    </row>
    <row r="914" spans="1:1" ht="15.6" x14ac:dyDescent="0.3">
      <c r="A914" s="219"/>
    </row>
    <row r="915" spans="1:1" ht="15.6" x14ac:dyDescent="0.3">
      <c r="A915" s="219"/>
    </row>
    <row r="916" spans="1:1" ht="15.6" x14ac:dyDescent="0.3">
      <c r="A916" s="219"/>
    </row>
    <row r="917" spans="1:1" ht="15.6" x14ac:dyDescent="0.3">
      <c r="A917" s="219"/>
    </row>
    <row r="918" spans="1:1" ht="15.6" x14ac:dyDescent="0.3">
      <c r="A918" s="219"/>
    </row>
    <row r="919" spans="1:1" ht="15.6" x14ac:dyDescent="0.3">
      <c r="A919" s="219"/>
    </row>
    <row r="920" spans="1:1" ht="15.6" x14ac:dyDescent="0.3">
      <c r="A920" s="219"/>
    </row>
    <row r="921" spans="1:1" ht="15.6" x14ac:dyDescent="0.3">
      <c r="A921" s="219"/>
    </row>
    <row r="922" spans="1:1" ht="15.6" x14ac:dyDescent="0.3">
      <c r="A922" s="219"/>
    </row>
    <row r="923" spans="1:1" ht="15.6" x14ac:dyDescent="0.3">
      <c r="A923" s="219"/>
    </row>
    <row r="924" spans="1:1" ht="15.6" x14ac:dyDescent="0.3">
      <c r="A924" s="219"/>
    </row>
    <row r="925" spans="1:1" ht="15.6" x14ac:dyDescent="0.3">
      <c r="A925" s="219"/>
    </row>
    <row r="926" spans="1:1" ht="15.6" x14ac:dyDescent="0.3">
      <c r="A926" s="219"/>
    </row>
    <row r="927" spans="1:1" ht="15.6" x14ac:dyDescent="0.3">
      <c r="A927" s="219"/>
    </row>
    <row r="928" spans="1:1" ht="15.6" x14ac:dyDescent="0.3">
      <c r="A928" s="219"/>
    </row>
    <row r="929" spans="1:1" ht="15.6" x14ac:dyDescent="0.3">
      <c r="A929" s="219"/>
    </row>
    <row r="930" spans="1:1" ht="15.6" x14ac:dyDescent="0.3">
      <c r="A930" s="219"/>
    </row>
    <row r="931" spans="1:1" ht="15.6" x14ac:dyDescent="0.3">
      <c r="A931" s="219"/>
    </row>
    <row r="932" spans="1:1" ht="15.6" x14ac:dyDescent="0.3">
      <c r="A932" s="219"/>
    </row>
    <row r="933" spans="1:1" ht="15.6" x14ac:dyDescent="0.3">
      <c r="A933" s="219"/>
    </row>
    <row r="934" spans="1:1" ht="15.6" x14ac:dyDescent="0.3">
      <c r="A934" s="219"/>
    </row>
    <row r="935" spans="1:1" ht="15.6" x14ac:dyDescent="0.3">
      <c r="A935" s="219"/>
    </row>
    <row r="936" spans="1:1" ht="15.6" x14ac:dyDescent="0.3">
      <c r="A936" s="219"/>
    </row>
    <row r="937" spans="1:1" ht="15.6" x14ac:dyDescent="0.3">
      <c r="A937" s="219"/>
    </row>
    <row r="938" spans="1:1" ht="15.6" x14ac:dyDescent="0.3">
      <c r="A938" s="219"/>
    </row>
    <row r="939" spans="1:1" ht="15.6" x14ac:dyDescent="0.3">
      <c r="A939" s="219"/>
    </row>
    <row r="940" spans="1:1" ht="15.6" x14ac:dyDescent="0.3">
      <c r="A940" s="219"/>
    </row>
    <row r="941" spans="1:1" ht="15.6" x14ac:dyDescent="0.3">
      <c r="A941" s="219"/>
    </row>
    <row r="942" spans="1:1" ht="15.6" x14ac:dyDescent="0.3">
      <c r="A942" s="219"/>
    </row>
    <row r="943" spans="1:1" ht="15.6" x14ac:dyDescent="0.3">
      <c r="A943" s="219"/>
    </row>
    <row r="944" spans="1:1" ht="15.6" x14ac:dyDescent="0.3">
      <c r="A944" s="219"/>
    </row>
    <row r="945" spans="1:1" ht="15.6" x14ac:dyDescent="0.3">
      <c r="A945" s="219"/>
    </row>
    <row r="946" spans="1:1" ht="15.6" x14ac:dyDescent="0.3">
      <c r="A946" s="219"/>
    </row>
    <row r="947" spans="1:1" ht="15.6" x14ac:dyDescent="0.3">
      <c r="A947" s="219"/>
    </row>
    <row r="948" spans="1:1" ht="15.6" x14ac:dyDescent="0.3">
      <c r="A948" s="219"/>
    </row>
    <row r="949" spans="1:1" ht="15.6" x14ac:dyDescent="0.3">
      <c r="A949" s="219"/>
    </row>
    <row r="950" spans="1:1" ht="15.6" x14ac:dyDescent="0.3">
      <c r="A950" s="219"/>
    </row>
    <row r="951" spans="1:1" ht="15.6" x14ac:dyDescent="0.3">
      <c r="A951" s="219"/>
    </row>
    <row r="952" spans="1:1" ht="15.6" x14ac:dyDescent="0.3">
      <c r="A952" s="219"/>
    </row>
    <row r="953" spans="1:1" ht="15.6" x14ac:dyDescent="0.3">
      <c r="A953" s="219"/>
    </row>
    <row r="954" spans="1:1" ht="15.6" x14ac:dyDescent="0.3">
      <c r="A954" s="219"/>
    </row>
    <row r="955" spans="1:1" ht="15.6" x14ac:dyDescent="0.3">
      <c r="A955" s="219"/>
    </row>
    <row r="956" spans="1:1" ht="15.6" x14ac:dyDescent="0.3">
      <c r="A956" s="219"/>
    </row>
    <row r="957" spans="1:1" ht="15.6" x14ac:dyDescent="0.3">
      <c r="A957" s="219"/>
    </row>
    <row r="958" spans="1:1" ht="15.6" x14ac:dyDescent="0.3">
      <c r="A958" s="219"/>
    </row>
    <row r="959" spans="1:1" ht="15.6" x14ac:dyDescent="0.3">
      <c r="A959" s="219"/>
    </row>
    <row r="960" spans="1:1" ht="15.6" x14ac:dyDescent="0.3">
      <c r="A960" s="219"/>
    </row>
    <row r="961" spans="1:1" ht="15.6" x14ac:dyDescent="0.3">
      <c r="A961" s="219"/>
    </row>
    <row r="962" spans="1:1" ht="15.6" x14ac:dyDescent="0.3">
      <c r="A962" s="219"/>
    </row>
    <row r="963" spans="1:1" ht="15.6" x14ac:dyDescent="0.3">
      <c r="A963" s="219"/>
    </row>
    <row r="964" spans="1:1" ht="15.6" x14ac:dyDescent="0.3">
      <c r="A964" s="219"/>
    </row>
    <row r="965" spans="1:1" ht="15.6" x14ac:dyDescent="0.3">
      <c r="A965" s="219"/>
    </row>
    <row r="966" spans="1:1" ht="15.6" x14ac:dyDescent="0.3">
      <c r="A966" s="219"/>
    </row>
    <row r="967" spans="1:1" ht="15.6" x14ac:dyDescent="0.3">
      <c r="A967" s="219"/>
    </row>
    <row r="968" spans="1:1" ht="15.6" x14ac:dyDescent="0.3">
      <c r="A968" s="219"/>
    </row>
    <row r="969" spans="1:1" ht="15.6" x14ac:dyDescent="0.3">
      <c r="A969" s="219"/>
    </row>
    <row r="970" spans="1:1" ht="15.6" x14ac:dyDescent="0.3">
      <c r="A970" s="219"/>
    </row>
    <row r="971" spans="1:1" ht="15.6" x14ac:dyDescent="0.3">
      <c r="A971" s="219"/>
    </row>
    <row r="972" spans="1:1" ht="15.6" x14ac:dyDescent="0.3">
      <c r="A972" s="219"/>
    </row>
    <row r="973" spans="1:1" ht="15.6" x14ac:dyDescent="0.3">
      <c r="A973" s="219"/>
    </row>
    <row r="974" spans="1:1" ht="15.6" x14ac:dyDescent="0.3">
      <c r="A974" s="219"/>
    </row>
    <row r="975" spans="1:1" ht="15.6" x14ac:dyDescent="0.3">
      <c r="A975" s="219"/>
    </row>
    <row r="976" spans="1:1" ht="15.6" x14ac:dyDescent="0.3">
      <c r="A976" s="219"/>
    </row>
    <row r="977" spans="1:1" ht="15.6" x14ac:dyDescent="0.3">
      <c r="A977" s="219"/>
    </row>
    <row r="978" spans="1:1" ht="15.6" x14ac:dyDescent="0.3">
      <c r="A978" s="219"/>
    </row>
    <row r="979" spans="1:1" ht="15.6" x14ac:dyDescent="0.3">
      <c r="A979" s="219"/>
    </row>
    <row r="980" spans="1:1" ht="15.6" x14ac:dyDescent="0.3">
      <c r="A980" s="219"/>
    </row>
    <row r="981" spans="1:1" ht="15.6" x14ac:dyDescent="0.3">
      <c r="A981" s="219"/>
    </row>
    <row r="982" spans="1:1" ht="15.6" x14ac:dyDescent="0.3">
      <c r="A982" s="219"/>
    </row>
    <row r="983" spans="1:1" ht="15.6" x14ac:dyDescent="0.3">
      <c r="A983" s="219"/>
    </row>
    <row r="984" spans="1:1" ht="15.6" x14ac:dyDescent="0.3">
      <c r="A984" s="219"/>
    </row>
    <row r="985" spans="1:1" ht="15.6" x14ac:dyDescent="0.3">
      <c r="A985" s="219"/>
    </row>
    <row r="986" spans="1:1" ht="15.6" x14ac:dyDescent="0.3">
      <c r="A986" s="219"/>
    </row>
    <row r="987" spans="1:1" ht="15.6" x14ac:dyDescent="0.3">
      <c r="A987" s="219"/>
    </row>
    <row r="988" spans="1:1" ht="15.6" x14ac:dyDescent="0.3">
      <c r="A988" s="219"/>
    </row>
    <row r="989" spans="1:1" ht="15.6" x14ac:dyDescent="0.3">
      <c r="A989" s="219"/>
    </row>
    <row r="990" spans="1:1" ht="15.6" x14ac:dyDescent="0.3">
      <c r="A990" s="219"/>
    </row>
    <row r="991" spans="1:1" ht="15.6" x14ac:dyDescent="0.3">
      <c r="A991" s="219"/>
    </row>
    <row r="992" spans="1:1" ht="15.6" x14ac:dyDescent="0.3">
      <c r="A992" s="219"/>
    </row>
    <row r="993" spans="1:1" ht="15.6" x14ac:dyDescent="0.3">
      <c r="A993" s="219"/>
    </row>
    <row r="994" spans="1:1" ht="15.6" x14ac:dyDescent="0.3">
      <c r="A994" s="219"/>
    </row>
    <row r="995" spans="1:1" ht="15.6" x14ac:dyDescent="0.3">
      <c r="A995" s="219"/>
    </row>
    <row r="996" spans="1:1" ht="15.6" x14ac:dyDescent="0.3">
      <c r="A996" s="219"/>
    </row>
    <row r="997" spans="1:1" ht="15.6" x14ac:dyDescent="0.3">
      <c r="A997" s="219"/>
    </row>
    <row r="998" spans="1:1" ht="15.6" x14ac:dyDescent="0.3">
      <c r="A998" s="219"/>
    </row>
    <row r="999" spans="1:1" ht="15.6" x14ac:dyDescent="0.3">
      <c r="A999" s="219"/>
    </row>
  </sheetData>
  <printOptions horizontalCentered="1" verticalCentered="1"/>
  <pageMargins left="0.25" right="0.25" top="0.25" bottom="0.2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73-85E2-4E70-BA6E-C7C112C6527D}">
  <sheetPr codeName="Hoja18">
    <tabColor theme="0" tint="-0.499984740745262"/>
    <pageSetUpPr fitToPage="1"/>
  </sheetPr>
  <dimension ref="A1:Z1000"/>
  <sheetViews>
    <sheetView showGridLines="0" workbookViewId="0">
      <selection activeCell="C15" sqref="C15"/>
    </sheetView>
  </sheetViews>
  <sheetFormatPr baseColWidth="10" defaultColWidth="13.77734375" defaultRowHeight="15" customHeight="1" x14ac:dyDescent="0.25"/>
  <cols>
    <col min="1" max="1" width="4" style="220" customWidth="1"/>
    <col min="2" max="2" width="28.44140625" style="220" customWidth="1"/>
    <col min="3" max="14" width="12.77734375" style="220" customWidth="1"/>
    <col min="15" max="15" width="14.33203125" style="220" customWidth="1"/>
    <col min="16" max="16" width="4" style="220" customWidth="1"/>
    <col min="17" max="26" width="10.44140625" style="220" customWidth="1"/>
    <col min="27" max="16384" width="13.77734375" style="220"/>
  </cols>
  <sheetData>
    <row r="1" spans="1:26" ht="50.25" customHeight="1" x14ac:dyDescent="0.45">
      <c r="A1" s="220" t="s">
        <v>191</v>
      </c>
      <c r="B1" s="263" t="s">
        <v>623</v>
      </c>
      <c r="C1" s="216"/>
      <c r="D1" s="216"/>
      <c r="E1" s="216"/>
      <c r="F1" s="217"/>
      <c r="G1" s="264"/>
      <c r="H1" s="264"/>
      <c r="I1" s="264"/>
    </row>
    <row r="2" spans="1:26" ht="16.2" thickBot="1" x14ac:dyDescent="0.35">
      <c r="A2" s="219"/>
    </row>
    <row r="3" spans="1:26" ht="30" x14ac:dyDescent="0.25">
      <c r="A3" s="221"/>
      <c r="B3" s="222" t="s">
        <v>628</v>
      </c>
      <c r="C3" s="223" t="s">
        <v>559</v>
      </c>
      <c r="D3" s="224" t="s">
        <v>564</v>
      </c>
      <c r="E3" s="225" t="s">
        <v>565</v>
      </c>
      <c r="F3" s="226" t="s">
        <v>566</v>
      </c>
      <c r="G3" s="227" t="s">
        <v>567</v>
      </c>
      <c r="H3" s="228" t="s">
        <v>568</v>
      </c>
      <c r="I3" s="229" t="s">
        <v>569</v>
      </c>
      <c r="J3" s="230" t="s">
        <v>570</v>
      </c>
      <c r="K3" s="231" t="s">
        <v>625</v>
      </c>
      <c r="L3" s="232" t="s">
        <v>572</v>
      </c>
      <c r="M3" s="233" t="s">
        <v>573</v>
      </c>
      <c r="N3" s="234" t="s">
        <v>574</v>
      </c>
      <c r="O3" s="235" t="s">
        <v>626</v>
      </c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</row>
    <row r="4" spans="1:26" ht="24" customHeight="1" x14ac:dyDescent="0.3">
      <c r="A4" s="219"/>
      <c r="B4" s="236"/>
      <c r="C4" s="237"/>
      <c r="D4" s="238"/>
      <c r="E4" s="239"/>
      <c r="F4" s="237"/>
      <c r="G4" s="238"/>
      <c r="H4" s="239"/>
      <c r="I4" s="237"/>
      <c r="J4" s="238"/>
      <c r="K4" s="239"/>
      <c r="L4" s="237"/>
      <c r="M4" s="238"/>
      <c r="N4" s="240"/>
      <c r="O4" s="241">
        <f t="shared" ref="O4:O32" si="0">SUM(C4:N4)</f>
        <v>0</v>
      </c>
    </row>
    <row r="5" spans="1:26" ht="24" customHeight="1" x14ac:dyDescent="0.3">
      <c r="A5" s="219"/>
      <c r="B5" s="242"/>
      <c r="C5" s="243"/>
      <c r="D5" s="244"/>
      <c r="E5" s="245"/>
      <c r="F5" s="243"/>
      <c r="G5" s="244"/>
      <c r="H5" s="245"/>
      <c r="I5" s="243"/>
      <c r="J5" s="244"/>
      <c r="K5" s="245"/>
      <c r="L5" s="243"/>
      <c r="M5" s="244"/>
      <c r="N5" s="246"/>
      <c r="O5" s="247">
        <f t="shared" si="0"/>
        <v>0</v>
      </c>
    </row>
    <row r="6" spans="1:26" ht="24" customHeight="1" x14ac:dyDescent="0.3">
      <c r="A6" s="219"/>
      <c r="B6" s="236"/>
      <c r="C6" s="237"/>
      <c r="D6" s="238"/>
      <c r="E6" s="239"/>
      <c r="F6" s="237"/>
      <c r="G6" s="238"/>
      <c r="H6" s="239"/>
      <c r="I6" s="237"/>
      <c r="J6" s="238"/>
      <c r="K6" s="239"/>
      <c r="L6" s="237"/>
      <c r="M6" s="238"/>
      <c r="N6" s="240"/>
      <c r="O6" s="241">
        <f t="shared" si="0"/>
        <v>0</v>
      </c>
    </row>
    <row r="7" spans="1:26" ht="24" customHeight="1" x14ac:dyDescent="0.3">
      <c r="A7" s="219"/>
      <c r="B7" s="242"/>
      <c r="C7" s="243"/>
      <c r="D7" s="244"/>
      <c r="E7" s="245"/>
      <c r="F7" s="243"/>
      <c r="G7" s="244"/>
      <c r="H7" s="245"/>
      <c r="I7" s="243"/>
      <c r="J7" s="244"/>
      <c r="K7" s="245"/>
      <c r="L7" s="243"/>
      <c r="M7" s="244"/>
      <c r="N7" s="246"/>
      <c r="O7" s="247">
        <f t="shared" si="0"/>
        <v>0</v>
      </c>
    </row>
    <row r="8" spans="1:26" ht="24" customHeight="1" x14ac:dyDescent="0.3">
      <c r="A8" s="219"/>
      <c r="B8" s="236"/>
      <c r="C8" s="237"/>
      <c r="D8" s="238"/>
      <c r="E8" s="239"/>
      <c r="F8" s="237"/>
      <c r="G8" s="238"/>
      <c r="H8" s="239"/>
      <c r="I8" s="237"/>
      <c r="J8" s="238"/>
      <c r="K8" s="239"/>
      <c r="L8" s="237"/>
      <c r="M8" s="238"/>
      <c r="N8" s="240"/>
      <c r="O8" s="241">
        <f t="shared" si="0"/>
        <v>0</v>
      </c>
    </row>
    <row r="9" spans="1:26" ht="24" customHeight="1" x14ac:dyDescent="0.3">
      <c r="A9" s="219"/>
      <c r="B9" s="242"/>
      <c r="C9" s="243"/>
      <c r="D9" s="244"/>
      <c r="E9" s="245"/>
      <c r="F9" s="243"/>
      <c r="G9" s="244"/>
      <c r="H9" s="245"/>
      <c r="I9" s="243"/>
      <c r="J9" s="244"/>
      <c r="K9" s="245"/>
      <c r="L9" s="243"/>
      <c r="M9" s="244"/>
      <c r="N9" s="246"/>
      <c r="O9" s="247">
        <f t="shared" si="0"/>
        <v>0</v>
      </c>
    </row>
    <row r="10" spans="1:26" ht="24" customHeight="1" x14ac:dyDescent="0.3">
      <c r="A10" s="219"/>
      <c r="B10" s="236"/>
      <c r="C10" s="237"/>
      <c r="D10" s="238"/>
      <c r="E10" s="239"/>
      <c r="F10" s="237"/>
      <c r="G10" s="238"/>
      <c r="H10" s="239"/>
      <c r="I10" s="237"/>
      <c r="J10" s="238"/>
      <c r="K10" s="239"/>
      <c r="L10" s="237"/>
      <c r="M10" s="238"/>
      <c r="N10" s="240"/>
      <c r="O10" s="241">
        <f t="shared" si="0"/>
        <v>0</v>
      </c>
    </row>
    <row r="11" spans="1:26" ht="24" customHeight="1" x14ac:dyDescent="0.3">
      <c r="A11" s="219"/>
      <c r="B11" s="242"/>
      <c r="C11" s="243"/>
      <c r="D11" s="244"/>
      <c r="E11" s="245"/>
      <c r="F11" s="243"/>
      <c r="G11" s="244"/>
      <c r="H11" s="245"/>
      <c r="I11" s="243"/>
      <c r="J11" s="244"/>
      <c r="K11" s="245"/>
      <c r="L11" s="243"/>
      <c r="M11" s="244"/>
      <c r="N11" s="246"/>
      <c r="O11" s="247">
        <f t="shared" si="0"/>
        <v>0</v>
      </c>
    </row>
    <row r="12" spans="1:26" ht="24" customHeight="1" x14ac:dyDescent="0.3">
      <c r="A12" s="219"/>
      <c r="B12" s="236"/>
      <c r="C12" s="237"/>
      <c r="D12" s="238"/>
      <c r="E12" s="239"/>
      <c r="F12" s="237"/>
      <c r="G12" s="238"/>
      <c r="H12" s="239"/>
      <c r="I12" s="237"/>
      <c r="J12" s="238"/>
      <c r="K12" s="239"/>
      <c r="L12" s="237"/>
      <c r="M12" s="238"/>
      <c r="N12" s="240"/>
      <c r="O12" s="241">
        <f t="shared" si="0"/>
        <v>0</v>
      </c>
    </row>
    <row r="13" spans="1:26" ht="24" customHeight="1" x14ac:dyDescent="0.3">
      <c r="A13" s="219"/>
      <c r="B13" s="242"/>
      <c r="C13" s="243"/>
      <c r="D13" s="244"/>
      <c r="E13" s="245"/>
      <c r="F13" s="243"/>
      <c r="G13" s="244"/>
      <c r="H13" s="245"/>
      <c r="I13" s="243"/>
      <c r="J13" s="244"/>
      <c r="K13" s="245"/>
      <c r="L13" s="243"/>
      <c r="M13" s="244"/>
      <c r="N13" s="246"/>
      <c r="O13" s="247">
        <f t="shared" si="0"/>
        <v>0</v>
      </c>
    </row>
    <row r="14" spans="1:26" ht="24" customHeight="1" x14ac:dyDescent="0.3">
      <c r="A14" s="219"/>
      <c r="B14" s="236"/>
      <c r="C14" s="237"/>
      <c r="D14" s="238"/>
      <c r="E14" s="239"/>
      <c r="F14" s="237"/>
      <c r="G14" s="238"/>
      <c r="H14" s="239"/>
      <c r="I14" s="237"/>
      <c r="J14" s="238"/>
      <c r="K14" s="239"/>
      <c r="L14" s="237"/>
      <c r="M14" s="238"/>
      <c r="N14" s="240"/>
      <c r="O14" s="241">
        <f t="shared" si="0"/>
        <v>0</v>
      </c>
    </row>
    <row r="15" spans="1:26" ht="24" customHeight="1" x14ac:dyDescent="0.3">
      <c r="A15" s="219"/>
      <c r="B15" s="242"/>
      <c r="C15" s="243"/>
      <c r="D15" s="244"/>
      <c r="E15" s="245"/>
      <c r="F15" s="243"/>
      <c r="G15" s="244"/>
      <c r="H15" s="245"/>
      <c r="I15" s="243"/>
      <c r="J15" s="244"/>
      <c r="K15" s="245"/>
      <c r="L15" s="243"/>
      <c r="M15" s="244"/>
      <c r="N15" s="246"/>
      <c r="O15" s="247">
        <f t="shared" si="0"/>
        <v>0</v>
      </c>
    </row>
    <row r="16" spans="1:26" ht="24" customHeight="1" x14ac:dyDescent="0.3">
      <c r="A16" s="219"/>
      <c r="B16" s="236"/>
      <c r="C16" s="237"/>
      <c r="D16" s="238"/>
      <c r="E16" s="239"/>
      <c r="F16" s="237"/>
      <c r="G16" s="238"/>
      <c r="H16" s="239"/>
      <c r="I16" s="237"/>
      <c r="J16" s="238"/>
      <c r="K16" s="239"/>
      <c r="L16" s="237"/>
      <c r="M16" s="238"/>
      <c r="N16" s="240"/>
      <c r="O16" s="241">
        <f t="shared" si="0"/>
        <v>0</v>
      </c>
    </row>
    <row r="17" spans="1:15" ht="24" customHeight="1" x14ac:dyDescent="0.3">
      <c r="A17" s="219"/>
      <c r="B17" s="242"/>
      <c r="C17" s="243"/>
      <c r="D17" s="244"/>
      <c r="E17" s="245"/>
      <c r="F17" s="243"/>
      <c r="G17" s="244"/>
      <c r="H17" s="245"/>
      <c r="I17" s="243"/>
      <c r="J17" s="244"/>
      <c r="K17" s="245"/>
      <c r="L17" s="243"/>
      <c r="M17" s="244"/>
      <c r="N17" s="246"/>
      <c r="O17" s="247">
        <f t="shared" si="0"/>
        <v>0</v>
      </c>
    </row>
    <row r="18" spans="1:15" ht="24" customHeight="1" x14ac:dyDescent="0.3">
      <c r="A18" s="219"/>
      <c r="B18" s="236"/>
      <c r="C18" s="237"/>
      <c r="D18" s="238"/>
      <c r="E18" s="239"/>
      <c r="F18" s="237"/>
      <c r="G18" s="238"/>
      <c r="H18" s="239"/>
      <c r="I18" s="237"/>
      <c r="J18" s="238"/>
      <c r="K18" s="239"/>
      <c r="L18" s="237"/>
      <c r="M18" s="238"/>
      <c r="N18" s="240"/>
      <c r="O18" s="241">
        <f t="shared" si="0"/>
        <v>0</v>
      </c>
    </row>
    <row r="19" spans="1:15" ht="24" customHeight="1" x14ac:dyDescent="0.3">
      <c r="A19" s="219"/>
      <c r="B19" s="242"/>
      <c r="C19" s="243"/>
      <c r="D19" s="244"/>
      <c r="E19" s="245"/>
      <c r="F19" s="243"/>
      <c r="G19" s="244"/>
      <c r="H19" s="245"/>
      <c r="I19" s="243"/>
      <c r="J19" s="244"/>
      <c r="K19" s="245"/>
      <c r="L19" s="243"/>
      <c r="M19" s="244"/>
      <c r="N19" s="246"/>
      <c r="O19" s="247">
        <f t="shared" si="0"/>
        <v>0</v>
      </c>
    </row>
    <row r="20" spans="1:15" ht="24" customHeight="1" x14ac:dyDescent="0.3">
      <c r="A20" s="219"/>
      <c r="B20" s="236"/>
      <c r="C20" s="237"/>
      <c r="D20" s="238"/>
      <c r="E20" s="239"/>
      <c r="F20" s="237"/>
      <c r="G20" s="238"/>
      <c r="H20" s="239"/>
      <c r="I20" s="237"/>
      <c r="J20" s="238"/>
      <c r="K20" s="239"/>
      <c r="L20" s="237"/>
      <c r="M20" s="238"/>
      <c r="N20" s="240"/>
      <c r="O20" s="241">
        <f t="shared" si="0"/>
        <v>0</v>
      </c>
    </row>
    <row r="21" spans="1:15" ht="24" customHeight="1" x14ac:dyDescent="0.3">
      <c r="A21" s="219"/>
      <c r="B21" s="242"/>
      <c r="C21" s="243"/>
      <c r="D21" s="244"/>
      <c r="E21" s="245"/>
      <c r="F21" s="243"/>
      <c r="G21" s="244"/>
      <c r="H21" s="245"/>
      <c r="I21" s="243"/>
      <c r="J21" s="244"/>
      <c r="K21" s="245"/>
      <c r="L21" s="243"/>
      <c r="M21" s="244"/>
      <c r="N21" s="246"/>
      <c r="O21" s="247">
        <f t="shared" si="0"/>
        <v>0</v>
      </c>
    </row>
    <row r="22" spans="1:15" ht="24" customHeight="1" x14ac:dyDescent="0.3">
      <c r="A22" s="219"/>
      <c r="B22" s="236"/>
      <c r="C22" s="237"/>
      <c r="D22" s="238"/>
      <c r="E22" s="239"/>
      <c r="F22" s="237"/>
      <c r="G22" s="238"/>
      <c r="H22" s="239"/>
      <c r="I22" s="237"/>
      <c r="J22" s="238"/>
      <c r="K22" s="239"/>
      <c r="L22" s="237"/>
      <c r="M22" s="238"/>
      <c r="N22" s="240"/>
      <c r="O22" s="241">
        <f t="shared" si="0"/>
        <v>0</v>
      </c>
    </row>
    <row r="23" spans="1:15" ht="24" customHeight="1" x14ac:dyDescent="0.3">
      <c r="A23" s="219"/>
      <c r="B23" s="242"/>
      <c r="C23" s="243"/>
      <c r="D23" s="244"/>
      <c r="E23" s="245"/>
      <c r="F23" s="243"/>
      <c r="G23" s="244"/>
      <c r="H23" s="245"/>
      <c r="I23" s="243"/>
      <c r="J23" s="244"/>
      <c r="K23" s="245"/>
      <c r="L23" s="243"/>
      <c r="M23" s="244"/>
      <c r="N23" s="246"/>
      <c r="O23" s="247">
        <f t="shared" si="0"/>
        <v>0</v>
      </c>
    </row>
    <row r="24" spans="1:15" ht="24" customHeight="1" x14ac:dyDescent="0.3">
      <c r="A24" s="219"/>
      <c r="B24" s="236"/>
      <c r="C24" s="237"/>
      <c r="D24" s="238"/>
      <c r="E24" s="239"/>
      <c r="F24" s="237"/>
      <c r="G24" s="238"/>
      <c r="H24" s="239"/>
      <c r="I24" s="237"/>
      <c r="J24" s="238"/>
      <c r="K24" s="239"/>
      <c r="L24" s="237"/>
      <c r="M24" s="238"/>
      <c r="N24" s="240"/>
      <c r="O24" s="241">
        <f t="shared" si="0"/>
        <v>0</v>
      </c>
    </row>
    <row r="25" spans="1:15" ht="24" customHeight="1" x14ac:dyDescent="0.3">
      <c r="A25" s="219"/>
      <c r="B25" s="242"/>
      <c r="C25" s="243"/>
      <c r="D25" s="244"/>
      <c r="E25" s="245"/>
      <c r="F25" s="243"/>
      <c r="G25" s="244"/>
      <c r="H25" s="245"/>
      <c r="I25" s="243"/>
      <c r="J25" s="244"/>
      <c r="K25" s="245"/>
      <c r="L25" s="243"/>
      <c r="M25" s="244"/>
      <c r="N25" s="246"/>
      <c r="O25" s="247">
        <f t="shared" si="0"/>
        <v>0</v>
      </c>
    </row>
    <row r="26" spans="1:15" ht="24" customHeight="1" x14ac:dyDescent="0.3">
      <c r="A26" s="219"/>
      <c r="B26" s="236"/>
      <c r="C26" s="237"/>
      <c r="D26" s="238"/>
      <c r="E26" s="239"/>
      <c r="F26" s="237"/>
      <c r="G26" s="238"/>
      <c r="H26" s="239"/>
      <c r="I26" s="237"/>
      <c r="J26" s="238"/>
      <c r="K26" s="239"/>
      <c r="L26" s="237"/>
      <c r="M26" s="238"/>
      <c r="N26" s="240"/>
      <c r="O26" s="241">
        <f t="shared" si="0"/>
        <v>0</v>
      </c>
    </row>
    <row r="27" spans="1:15" ht="24" customHeight="1" x14ac:dyDescent="0.3">
      <c r="A27" s="219"/>
      <c r="B27" s="242"/>
      <c r="C27" s="243"/>
      <c r="D27" s="244"/>
      <c r="E27" s="245"/>
      <c r="F27" s="243"/>
      <c r="G27" s="244"/>
      <c r="H27" s="245"/>
      <c r="I27" s="243"/>
      <c r="J27" s="244"/>
      <c r="K27" s="245"/>
      <c r="L27" s="243"/>
      <c r="M27" s="244"/>
      <c r="N27" s="246"/>
      <c r="O27" s="247">
        <f t="shared" si="0"/>
        <v>0</v>
      </c>
    </row>
    <row r="28" spans="1:15" ht="24" customHeight="1" x14ac:dyDescent="0.3">
      <c r="A28" s="219"/>
      <c r="B28" s="236"/>
      <c r="C28" s="237"/>
      <c r="D28" s="238"/>
      <c r="E28" s="239"/>
      <c r="F28" s="237"/>
      <c r="G28" s="238"/>
      <c r="H28" s="239"/>
      <c r="I28" s="237"/>
      <c r="J28" s="238"/>
      <c r="K28" s="239"/>
      <c r="L28" s="237"/>
      <c r="M28" s="238"/>
      <c r="N28" s="240"/>
      <c r="O28" s="241">
        <f t="shared" si="0"/>
        <v>0</v>
      </c>
    </row>
    <row r="29" spans="1:15" ht="24" customHeight="1" x14ac:dyDescent="0.3">
      <c r="A29" s="219"/>
      <c r="B29" s="242"/>
      <c r="C29" s="243"/>
      <c r="D29" s="244"/>
      <c r="E29" s="245"/>
      <c r="F29" s="243"/>
      <c r="G29" s="244"/>
      <c r="H29" s="245"/>
      <c r="I29" s="243"/>
      <c r="J29" s="244"/>
      <c r="K29" s="245"/>
      <c r="L29" s="243"/>
      <c r="M29" s="244"/>
      <c r="N29" s="246"/>
      <c r="O29" s="247">
        <f t="shared" si="0"/>
        <v>0</v>
      </c>
    </row>
    <row r="30" spans="1:15" ht="24" customHeight="1" x14ac:dyDescent="0.3">
      <c r="A30" s="219"/>
      <c r="B30" s="236"/>
      <c r="C30" s="237"/>
      <c r="D30" s="238"/>
      <c r="E30" s="239"/>
      <c r="F30" s="237"/>
      <c r="G30" s="238"/>
      <c r="H30" s="239"/>
      <c r="I30" s="237"/>
      <c r="J30" s="238"/>
      <c r="K30" s="239"/>
      <c r="L30" s="237"/>
      <c r="M30" s="238"/>
      <c r="N30" s="240"/>
      <c r="O30" s="241">
        <f t="shared" si="0"/>
        <v>0</v>
      </c>
    </row>
    <row r="31" spans="1:15" ht="24" customHeight="1" x14ac:dyDescent="0.3">
      <c r="A31" s="219"/>
      <c r="B31" s="248"/>
      <c r="C31" s="243"/>
      <c r="D31" s="244"/>
      <c r="E31" s="245"/>
      <c r="F31" s="243"/>
      <c r="G31" s="244"/>
      <c r="H31" s="245"/>
      <c r="I31" s="243"/>
      <c r="J31" s="244"/>
      <c r="K31" s="245"/>
      <c r="L31" s="243"/>
      <c r="M31" s="244"/>
      <c r="N31" s="246"/>
      <c r="O31" s="247">
        <f t="shared" si="0"/>
        <v>0</v>
      </c>
    </row>
    <row r="32" spans="1:15" ht="24" customHeight="1" x14ac:dyDescent="0.3">
      <c r="A32" s="219"/>
      <c r="B32" s="236"/>
      <c r="C32" s="237"/>
      <c r="D32" s="238"/>
      <c r="E32" s="239"/>
      <c r="F32" s="237"/>
      <c r="G32" s="238"/>
      <c r="H32" s="239"/>
      <c r="I32" s="237"/>
      <c r="J32" s="238"/>
      <c r="K32" s="239"/>
      <c r="L32" s="237"/>
      <c r="M32" s="238"/>
      <c r="N32" s="240"/>
      <c r="O32" s="241">
        <f t="shared" si="0"/>
        <v>0</v>
      </c>
    </row>
    <row r="33" spans="1:15" ht="24" customHeight="1" thickBot="1" x14ac:dyDescent="0.35">
      <c r="A33" s="219"/>
      <c r="B33" s="249" t="s">
        <v>627</v>
      </c>
      <c r="C33" s="250">
        <f t="shared" ref="C33:O33" si="1">SUM(C4:C32)</f>
        <v>0</v>
      </c>
      <c r="D33" s="251">
        <f t="shared" si="1"/>
        <v>0</v>
      </c>
      <c r="E33" s="252">
        <f t="shared" si="1"/>
        <v>0</v>
      </c>
      <c r="F33" s="253">
        <f t="shared" si="1"/>
        <v>0</v>
      </c>
      <c r="G33" s="254">
        <f t="shared" si="1"/>
        <v>0</v>
      </c>
      <c r="H33" s="255">
        <f t="shared" si="1"/>
        <v>0</v>
      </c>
      <c r="I33" s="256">
        <f t="shared" si="1"/>
        <v>0</v>
      </c>
      <c r="J33" s="257">
        <f t="shared" si="1"/>
        <v>0</v>
      </c>
      <c r="K33" s="258">
        <f t="shared" si="1"/>
        <v>0</v>
      </c>
      <c r="L33" s="259">
        <f t="shared" si="1"/>
        <v>0</v>
      </c>
      <c r="M33" s="260">
        <f t="shared" si="1"/>
        <v>0</v>
      </c>
      <c r="N33" s="261">
        <f t="shared" si="1"/>
        <v>0</v>
      </c>
      <c r="O33" s="262">
        <f t="shared" si="1"/>
        <v>0</v>
      </c>
    </row>
    <row r="34" spans="1:15" ht="15.6" x14ac:dyDescent="0.3">
      <c r="A34" s="219"/>
    </row>
    <row r="35" spans="1:15" ht="15.6" x14ac:dyDescent="0.3">
      <c r="A35" s="219"/>
    </row>
    <row r="36" spans="1:15" ht="15.6" x14ac:dyDescent="0.3">
      <c r="A36" s="219"/>
    </row>
    <row r="37" spans="1:15" ht="15.6" x14ac:dyDescent="0.3">
      <c r="A37" s="219"/>
    </row>
    <row r="38" spans="1:15" ht="15.6" x14ac:dyDescent="0.3">
      <c r="A38" s="219"/>
    </row>
    <row r="39" spans="1:15" ht="15.6" x14ac:dyDescent="0.3">
      <c r="A39" s="219"/>
    </row>
    <row r="40" spans="1:15" ht="15.6" x14ac:dyDescent="0.3">
      <c r="A40" s="219"/>
    </row>
    <row r="41" spans="1:15" ht="15.6" x14ac:dyDescent="0.3">
      <c r="A41" s="219"/>
    </row>
    <row r="42" spans="1:15" ht="15.6" x14ac:dyDescent="0.3">
      <c r="A42" s="219"/>
    </row>
    <row r="43" spans="1:15" ht="15.6" x14ac:dyDescent="0.3">
      <c r="A43" s="219"/>
    </row>
    <row r="44" spans="1:15" ht="15.6" x14ac:dyDescent="0.3">
      <c r="A44" s="219"/>
    </row>
    <row r="45" spans="1:15" ht="15.6" x14ac:dyDescent="0.3">
      <c r="A45" s="219"/>
    </row>
    <row r="46" spans="1:15" ht="15.6" x14ac:dyDescent="0.3">
      <c r="A46" s="219"/>
    </row>
    <row r="47" spans="1:15" ht="15.6" x14ac:dyDescent="0.3">
      <c r="A47" s="219"/>
    </row>
    <row r="48" spans="1:15" ht="15.6" x14ac:dyDescent="0.3">
      <c r="A48" s="219"/>
    </row>
    <row r="49" spans="1:1" ht="15.6" x14ac:dyDescent="0.3">
      <c r="A49" s="219"/>
    </row>
    <row r="50" spans="1:1" ht="15.6" x14ac:dyDescent="0.3">
      <c r="A50" s="219"/>
    </row>
    <row r="51" spans="1:1" ht="15.6" x14ac:dyDescent="0.3">
      <c r="A51" s="219"/>
    </row>
    <row r="52" spans="1:1" ht="15.6" x14ac:dyDescent="0.3">
      <c r="A52" s="219"/>
    </row>
    <row r="53" spans="1:1" ht="15.6" x14ac:dyDescent="0.3">
      <c r="A53" s="219"/>
    </row>
    <row r="54" spans="1:1" ht="15.6" x14ac:dyDescent="0.3">
      <c r="A54" s="219"/>
    </row>
    <row r="55" spans="1:1" ht="15.6" x14ac:dyDescent="0.3">
      <c r="A55" s="219"/>
    </row>
    <row r="56" spans="1:1" ht="15.6" x14ac:dyDescent="0.3">
      <c r="A56" s="219"/>
    </row>
    <row r="57" spans="1:1" ht="15.6" x14ac:dyDescent="0.3">
      <c r="A57" s="219"/>
    </row>
    <row r="58" spans="1:1" ht="15.6" x14ac:dyDescent="0.3">
      <c r="A58" s="219"/>
    </row>
    <row r="59" spans="1:1" ht="15.6" x14ac:dyDescent="0.3">
      <c r="A59" s="219"/>
    </row>
    <row r="60" spans="1:1" ht="15.6" x14ac:dyDescent="0.3">
      <c r="A60" s="219"/>
    </row>
    <row r="61" spans="1:1" ht="15.6" x14ac:dyDescent="0.3">
      <c r="A61" s="219"/>
    </row>
    <row r="62" spans="1:1" ht="15.6" x14ac:dyDescent="0.3">
      <c r="A62" s="219"/>
    </row>
    <row r="63" spans="1:1" ht="15.6" x14ac:dyDescent="0.3">
      <c r="A63" s="219"/>
    </row>
    <row r="64" spans="1:1" ht="15.6" x14ac:dyDescent="0.3">
      <c r="A64" s="219"/>
    </row>
    <row r="65" spans="1:1" ht="15.6" x14ac:dyDescent="0.3">
      <c r="A65" s="219"/>
    </row>
    <row r="66" spans="1:1" ht="15.6" x14ac:dyDescent="0.3">
      <c r="A66" s="219"/>
    </row>
    <row r="67" spans="1:1" ht="15.6" x14ac:dyDescent="0.3">
      <c r="A67" s="219"/>
    </row>
    <row r="68" spans="1:1" ht="15.6" x14ac:dyDescent="0.3">
      <c r="A68" s="219"/>
    </row>
    <row r="69" spans="1:1" ht="15.6" x14ac:dyDescent="0.3">
      <c r="A69" s="219"/>
    </row>
    <row r="70" spans="1:1" ht="15.6" x14ac:dyDescent="0.3">
      <c r="A70" s="219"/>
    </row>
    <row r="71" spans="1:1" ht="15.6" x14ac:dyDescent="0.3">
      <c r="A71" s="219"/>
    </row>
    <row r="72" spans="1:1" ht="15.6" x14ac:dyDescent="0.3">
      <c r="A72" s="219"/>
    </row>
    <row r="73" spans="1:1" ht="15.6" x14ac:dyDescent="0.3">
      <c r="A73" s="219"/>
    </row>
    <row r="74" spans="1:1" ht="15.6" x14ac:dyDescent="0.3">
      <c r="A74" s="219"/>
    </row>
    <row r="75" spans="1:1" ht="15.6" x14ac:dyDescent="0.3">
      <c r="A75" s="219"/>
    </row>
    <row r="76" spans="1:1" ht="15.6" x14ac:dyDescent="0.3">
      <c r="A76" s="219"/>
    </row>
    <row r="77" spans="1:1" ht="15.6" x14ac:dyDescent="0.3">
      <c r="A77" s="219"/>
    </row>
    <row r="78" spans="1:1" ht="15.6" x14ac:dyDescent="0.3">
      <c r="A78" s="219"/>
    </row>
    <row r="79" spans="1:1" ht="15.6" x14ac:dyDescent="0.3">
      <c r="A79" s="219"/>
    </row>
    <row r="80" spans="1:1" ht="15.6" x14ac:dyDescent="0.3">
      <c r="A80" s="219"/>
    </row>
    <row r="81" spans="1:1" ht="15.6" x14ac:dyDescent="0.3">
      <c r="A81" s="219"/>
    </row>
    <row r="82" spans="1:1" ht="15.6" x14ac:dyDescent="0.3">
      <c r="A82" s="219"/>
    </row>
    <row r="83" spans="1:1" ht="15.6" x14ac:dyDescent="0.3">
      <c r="A83" s="219"/>
    </row>
    <row r="84" spans="1:1" ht="15.6" x14ac:dyDescent="0.3">
      <c r="A84" s="219"/>
    </row>
    <row r="85" spans="1:1" ht="15.6" x14ac:dyDescent="0.3">
      <c r="A85" s="219"/>
    </row>
    <row r="86" spans="1:1" ht="15.6" x14ac:dyDescent="0.3">
      <c r="A86" s="219"/>
    </row>
    <row r="87" spans="1:1" ht="15.6" x14ac:dyDescent="0.3">
      <c r="A87" s="219"/>
    </row>
    <row r="88" spans="1:1" ht="15.6" x14ac:dyDescent="0.3">
      <c r="A88" s="219"/>
    </row>
    <row r="89" spans="1:1" ht="15.6" x14ac:dyDescent="0.3">
      <c r="A89" s="219"/>
    </row>
    <row r="90" spans="1:1" ht="15.6" x14ac:dyDescent="0.3">
      <c r="A90" s="219"/>
    </row>
    <row r="91" spans="1:1" ht="15.6" x14ac:dyDescent="0.3">
      <c r="A91" s="219"/>
    </row>
    <row r="92" spans="1:1" ht="15.6" x14ac:dyDescent="0.3">
      <c r="A92" s="219"/>
    </row>
    <row r="93" spans="1:1" ht="15.6" x14ac:dyDescent="0.3">
      <c r="A93" s="219"/>
    </row>
    <row r="94" spans="1:1" ht="15.6" x14ac:dyDescent="0.3">
      <c r="A94" s="219"/>
    </row>
    <row r="95" spans="1:1" ht="15.6" x14ac:dyDescent="0.3">
      <c r="A95" s="219"/>
    </row>
    <row r="96" spans="1:1" ht="15.6" x14ac:dyDescent="0.3">
      <c r="A96" s="219"/>
    </row>
    <row r="97" spans="1:1" ht="15.6" x14ac:dyDescent="0.3">
      <c r="A97" s="219"/>
    </row>
    <row r="98" spans="1:1" ht="15.6" x14ac:dyDescent="0.3">
      <c r="A98" s="219"/>
    </row>
    <row r="99" spans="1:1" ht="15.6" x14ac:dyDescent="0.3">
      <c r="A99" s="219"/>
    </row>
    <row r="100" spans="1:1" ht="15.6" x14ac:dyDescent="0.3">
      <c r="A100" s="219"/>
    </row>
    <row r="101" spans="1:1" ht="15.6" x14ac:dyDescent="0.3">
      <c r="A101" s="219"/>
    </row>
    <row r="102" spans="1:1" ht="15.6" x14ac:dyDescent="0.3">
      <c r="A102" s="219"/>
    </row>
    <row r="103" spans="1:1" ht="15.6" x14ac:dyDescent="0.3">
      <c r="A103" s="219"/>
    </row>
    <row r="104" spans="1:1" ht="15.6" x14ac:dyDescent="0.3">
      <c r="A104" s="219"/>
    </row>
    <row r="105" spans="1:1" ht="15.6" x14ac:dyDescent="0.3">
      <c r="A105" s="219"/>
    </row>
    <row r="106" spans="1:1" ht="15.6" x14ac:dyDescent="0.3">
      <c r="A106" s="219"/>
    </row>
    <row r="107" spans="1:1" ht="15.6" x14ac:dyDescent="0.3">
      <c r="A107" s="219"/>
    </row>
    <row r="108" spans="1:1" ht="15.6" x14ac:dyDescent="0.3">
      <c r="A108" s="219"/>
    </row>
    <row r="109" spans="1:1" ht="15.6" x14ac:dyDescent="0.3">
      <c r="A109" s="219"/>
    </row>
    <row r="110" spans="1:1" ht="15.6" x14ac:dyDescent="0.3">
      <c r="A110" s="219"/>
    </row>
    <row r="111" spans="1:1" ht="15.6" x14ac:dyDescent="0.3">
      <c r="A111" s="219"/>
    </row>
    <row r="112" spans="1:1" ht="15.6" x14ac:dyDescent="0.3">
      <c r="A112" s="219"/>
    </row>
    <row r="113" spans="1:1" ht="15.6" x14ac:dyDescent="0.3">
      <c r="A113" s="219"/>
    </row>
    <row r="114" spans="1:1" ht="15.6" x14ac:dyDescent="0.3">
      <c r="A114" s="219"/>
    </row>
    <row r="115" spans="1:1" ht="15.6" x14ac:dyDescent="0.3">
      <c r="A115" s="219"/>
    </row>
    <row r="116" spans="1:1" ht="15.6" x14ac:dyDescent="0.3">
      <c r="A116" s="219"/>
    </row>
    <row r="117" spans="1:1" ht="15.6" x14ac:dyDescent="0.3">
      <c r="A117" s="219"/>
    </row>
    <row r="118" spans="1:1" ht="15.6" x14ac:dyDescent="0.3">
      <c r="A118" s="219"/>
    </row>
    <row r="119" spans="1:1" ht="15.6" x14ac:dyDescent="0.3">
      <c r="A119" s="219"/>
    </row>
    <row r="120" spans="1:1" ht="15.6" x14ac:dyDescent="0.3">
      <c r="A120" s="219"/>
    </row>
    <row r="121" spans="1:1" ht="15.6" x14ac:dyDescent="0.3">
      <c r="A121" s="219"/>
    </row>
    <row r="122" spans="1:1" ht="15.6" x14ac:dyDescent="0.3">
      <c r="A122" s="219"/>
    </row>
    <row r="123" spans="1:1" ht="15.6" x14ac:dyDescent="0.3">
      <c r="A123" s="219"/>
    </row>
    <row r="124" spans="1:1" ht="15.6" x14ac:dyDescent="0.3">
      <c r="A124" s="219"/>
    </row>
    <row r="125" spans="1:1" ht="15.6" x14ac:dyDescent="0.3">
      <c r="A125" s="219"/>
    </row>
    <row r="126" spans="1:1" ht="15.6" x14ac:dyDescent="0.3">
      <c r="A126" s="219"/>
    </row>
    <row r="127" spans="1:1" ht="15.6" x14ac:dyDescent="0.3">
      <c r="A127" s="219"/>
    </row>
    <row r="128" spans="1:1" ht="15.6" x14ac:dyDescent="0.3">
      <c r="A128" s="219"/>
    </row>
    <row r="129" spans="1:1" ht="15.6" x14ac:dyDescent="0.3">
      <c r="A129" s="219"/>
    </row>
    <row r="130" spans="1:1" ht="15.6" x14ac:dyDescent="0.3">
      <c r="A130" s="219"/>
    </row>
    <row r="131" spans="1:1" ht="15.6" x14ac:dyDescent="0.3">
      <c r="A131" s="219"/>
    </row>
    <row r="132" spans="1:1" ht="15.6" x14ac:dyDescent="0.3">
      <c r="A132" s="219"/>
    </row>
    <row r="133" spans="1:1" ht="15.6" x14ac:dyDescent="0.3">
      <c r="A133" s="219"/>
    </row>
    <row r="134" spans="1:1" ht="15.6" x14ac:dyDescent="0.3">
      <c r="A134" s="219"/>
    </row>
    <row r="135" spans="1:1" ht="15.6" x14ac:dyDescent="0.3">
      <c r="A135" s="219"/>
    </row>
    <row r="136" spans="1:1" ht="15.6" x14ac:dyDescent="0.3">
      <c r="A136" s="219"/>
    </row>
    <row r="137" spans="1:1" ht="15.6" x14ac:dyDescent="0.3">
      <c r="A137" s="219"/>
    </row>
    <row r="138" spans="1:1" ht="15.6" x14ac:dyDescent="0.3">
      <c r="A138" s="219"/>
    </row>
    <row r="139" spans="1:1" ht="15.6" x14ac:dyDescent="0.3">
      <c r="A139" s="219"/>
    </row>
    <row r="140" spans="1:1" ht="15.6" x14ac:dyDescent="0.3">
      <c r="A140" s="219"/>
    </row>
    <row r="141" spans="1:1" ht="15.6" x14ac:dyDescent="0.3">
      <c r="A141" s="219"/>
    </row>
    <row r="142" spans="1:1" ht="15.6" x14ac:dyDescent="0.3">
      <c r="A142" s="219"/>
    </row>
    <row r="143" spans="1:1" ht="15.6" x14ac:dyDescent="0.3">
      <c r="A143" s="219"/>
    </row>
    <row r="144" spans="1:1" ht="15.6" x14ac:dyDescent="0.3">
      <c r="A144" s="219"/>
    </row>
    <row r="145" spans="1:1" ht="15.6" x14ac:dyDescent="0.3">
      <c r="A145" s="219"/>
    </row>
    <row r="146" spans="1:1" ht="15.6" x14ac:dyDescent="0.3">
      <c r="A146" s="219"/>
    </row>
    <row r="147" spans="1:1" ht="15.6" x14ac:dyDescent="0.3">
      <c r="A147" s="219"/>
    </row>
    <row r="148" spans="1:1" ht="15.6" x14ac:dyDescent="0.3">
      <c r="A148" s="219"/>
    </row>
    <row r="149" spans="1:1" ht="15.6" x14ac:dyDescent="0.3">
      <c r="A149" s="219"/>
    </row>
    <row r="150" spans="1:1" ht="15.6" x14ac:dyDescent="0.3">
      <c r="A150" s="219"/>
    </row>
    <row r="151" spans="1:1" ht="15.6" x14ac:dyDescent="0.3">
      <c r="A151" s="219"/>
    </row>
    <row r="152" spans="1:1" ht="15.6" x14ac:dyDescent="0.3">
      <c r="A152" s="219"/>
    </row>
    <row r="153" spans="1:1" ht="15.6" x14ac:dyDescent="0.3">
      <c r="A153" s="219"/>
    </row>
    <row r="154" spans="1:1" ht="15.6" x14ac:dyDescent="0.3">
      <c r="A154" s="219"/>
    </row>
    <row r="155" spans="1:1" ht="15.6" x14ac:dyDescent="0.3">
      <c r="A155" s="219"/>
    </row>
    <row r="156" spans="1:1" ht="15.6" x14ac:dyDescent="0.3">
      <c r="A156" s="219"/>
    </row>
    <row r="157" spans="1:1" ht="15.6" x14ac:dyDescent="0.3">
      <c r="A157" s="219"/>
    </row>
    <row r="158" spans="1:1" ht="15.6" x14ac:dyDescent="0.3">
      <c r="A158" s="219"/>
    </row>
    <row r="159" spans="1:1" ht="15.6" x14ac:dyDescent="0.3">
      <c r="A159" s="219"/>
    </row>
    <row r="160" spans="1:1" ht="15.6" x14ac:dyDescent="0.3">
      <c r="A160" s="219"/>
    </row>
    <row r="161" spans="1:1" ht="15.6" x14ac:dyDescent="0.3">
      <c r="A161" s="219"/>
    </row>
    <row r="162" spans="1:1" ht="15.6" x14ac:dyDescent="0.3">
      <c r="A162" s="219"/>
    </row>
    <row r="163" spans="1:1" ht="15.6" x14ac:dyDescent="0.3">
      <c r="A163" s="219"/>
    </row>
    <row r="164" spans="1:1" ht="15.6" x14ac:dyDescent="0.3">
      <c r="A164" s="219"/>
    </row>
    <row r="165" spans="1:1" ht="15.6" x14ac:dyDescent="0.3">
      <c r="A165" s="219"/>
    </row>
    <row r="166" spans="1:1" ht="15.6" x14ac:dyDescent="0.3">
      <c r="A166" s="219"/>
    </row>
    <row r="167" spans="1:1" ht="15.6" x14ac:dyDescent="0.3">
      <c r="A167" s="219"/>
    </row>
    <row r="168" spans="1:1" ht="15.6" x14ac:dyDescent="0.3">
      <c r="A168" s="219"/>
    </row>
    <row r="169" spans="1:1" ht="15.6" x14ac:dyDescent="0.3">
      <c r="A169" s="219"/>
    </row>
    <row r="170" spans="1:1" ht="15.6" x14ac:dyDescent="0.3">
      <c r="A170" s="219"/>
    </row>
    <row r="171" spans="1:1" ht="15.6" x14ac:dyDescent="0.3">
      <c r="A171" s="219"/>
    </row>
    <row r="172" spans="1:1" ht="15.6" x14ac:dyDescent="0.3">
      <c r="A172" s="219"/>
    </row>
    <row r="173" spans="1:1" ht="15.6" x14ac:dyDescent="0.3">
      <c r="A173" s="219"/>
    </row>
    <row r="174" spans="1:1" ht="15.6" x14ac:dyDescent="0.3">
      <c r="A174" s="219"/>
    </row>
    <row r="175" spans="1:1" ht="15.6" x14ac:dyDescent="0.3">
      <c r="A175" s="219"/>
    </row>
    <row r="176" spans="1:1" ht="15.6" x14ac:dyDescent="0.3">
      <c r="A176" s="219"/>
    </row>
    <row r="177" spans="1:1" ht="15.6" x14ac:dyDescent="0.3">
      <c r="A177" s="219"/>
    </row>
    <row r="178" spans="1:1" ht="15.6" x14ac:dyDescent="0.3">
      <c r="A178" s="219"/>
    </row>
    <row r="179" spans="1:1" ht="15.6" x14ac:dyDescent="0.3">
      <c r="A179" s="219"/>
    </row>
    <row r="180" spans="1:1" ht="15.6" x14ac:dyDescent="0.3">
      <c r="A180" s="219"/>
    </row>
    <row r="181" spans="1:1" ht="15.6" x14ac:dyDescent="0.3">
      <c r="A181" s="219"/>
    </row>
    <row r="182" spans="1:1" ht="15.6" x14ac:dyDescent="0.3">
      <c r="A182" s="219"/>
    </row>
    <row r="183" spans="1:1" ht="15.6" x14ac:dyDescent="0.3">
      <c r="A183" s="219"/>
    </row>
    <row r="184" spans="1:1" ht="15.6" x14ac:dyDescent="0.3">
      <c r="A184" s="219"/>
    </row>
    <row r="185" spans="1:1" ht="15.6" x14ac:dyDescent="0.3">
      <c r="A185" s="219"/>
    </row>
    <row r="186" spans="1:1" ht="15.6" x14ac:dyDescent="0.3">
      <c r="A186" s="219"/>
    </row>
    <row r="187" spans="1:1" ht="15.6" x14ac:dyDescent="0.3">
      <c r="A187" s="219"/>
    </row>
    <row r="188" spans="1:1" ht="15.6" x14ac:dyDescent="0.3">
      <c r="A188" s="219"/>
    </row>
    <row r="189" spans="1:1" ht="15.6" x14ac:dyDescent="0.3">
      <c r="A189" s="219"/>
    </row>
    <row r="190" spans="1:1" ht="15.6" x14ac:dyDescent="0.3">
      <c r="A190" s="219"/>
    </row>
    <row r="191" spans="1:1" ht="15.6" x14ac:dyDescent="0.3">
      <c r="A191" s="219"/>
    </row>
    <row r="192" spans="1:1" ht="15.6" x14ac:dyDescent="0.3">
      <c r="A192" s="219"/>
    </row>
    <row r="193" spans="1:1" ht="15.6" x14ac:dyDescent="0.3">
      <c r="A193" s="219"/>
    </row>
    <row r="194" spans="1:1" ht="15.6" x14ac:dyDescent="0.3">
      <c r="A194" s="219"/>
    </row>
    <row r="195" spans="1:1" ht="15.6" x14ac:dyDescent="0.3">
      <c r="A195" s="219"/>
    </row>
    <row r="196" spans="1:1" ht="15.6" x14ac:dyDescent="0.3">
      <c r="A196" s="219"/>
    </row>
    <row r="197" spans="1:1" ht="15.6" x14ac:dyDescent="0.3">
      <c r="A197" s="219"/>
    </row>
    <row r="198" spans="1:1" ht="15.6" x14ac:dyDescent="0.3">
      <c r="A198" s="219"/>
    </row>
    <row r="199" spans="1:1" ht="15.6" x14ac:dyDescent="0.3">
      <c r="A199" s="219"/>
    </row>
    <row r="200" spans="1:1" ht="15.6" x14ac:dyDescent="0.3">
      <c r="A200" s="219"/>
    </row>
    <row r="201" spans="1:1" ht="15.6" x14ac:dyDescent="0.3">
      <c r="A201" s="219"/>
    </row>
    <row r="202" spans="1:1" ht="15.6" x14ac:dyDescent="0.3">
      <c r="A202" s="219"/>
    </row>
    <row r="203" spans="1:1" ht="15.6" x14ac:dyDescent="0.3">
      <c r="A203" s="219"/>
    </row>
    <row r="204" spans="1:1" ht="15.6" x14ac:dyDescent="0.3">
      <c r="A204" s="219"/>
    </row>
    <row r="205" spans="1:1" ht="15.6" x14ac:dyDescent="0.3">
      <c r="A205" s="219"/>
    </row>
    <row r="206" spans="1:1" ht="15.6" x14ac:dyDescent="0.3">
      <c r="A206" s="219"/>
    </row>
    <row r="207" spans="1:1" ht="15.6" x14ac:dyDescent="0.3">
      <c r="A207" s="219"/>
    </row>
    <row r="208" spans="1:1" ht="15.6" x14ac:dyDescent="0.3">
      <c r="A208" s="219"/>
    </row>
    <row r="209" spans="1:1" ht="15.6" x14ac:dyDescent="0.3">
      <c r="A209" s="219"/>
    </row>
    <row r="210" spans="1:1" ht="15.6" x14ac:dyDescent="0.3">
      <c r="A210" s="219"/>
    </row>
    <row r="211" spans="1:1" ht="15.6" x14ac:dyDescent="0.3">
      <c r="A211" s="219"/>
    </row>
    <row r="212" spans="1:1" ht="15.6" x14ac:dyDescent="0.3">
      <c r="A212" s="219"/>
    </row>
    <row r="213" spans="1:1" ht="15.6" x14ac:dyDescent="0.3">
      <c r="A213" s="219"/>
    </row>
    <row r="214" spans="1:1" ht="15.6" x14ac:dyDescent="0.3">
      <c r="A214" s="219"/>
    </row>
    <row r="215" spans="1:1" ht="15.6" x14ac:dyDescent="0.3">
      <c r="A215" s="219"/>
    </row>
    <row r="216" spans="1:1" ht="15.6" x14ac:dyDescent="0.3">
      <c r="A216" s="219"/>
    </row>
    <row r="217" spans="1:1" ht="15.6" x14ac:dyDescent="0.3">
      <c r="A217" s="219"/>
    </row>
    <row r="218" spans="1:1" ht="15.6" x14ac:dyDescent="0.3">
      <c r="A218" s="219"/>
    </row>
    <row r="219" spans="1:1" ht="15.6" x14ac:dyDescent="0.3">
      <c r="A219" s="219"/>
    </row>
    <row r="220" spans="1:1" ht="15.6" x14ac:dyDescent="0.3">
      <c r="A220" s="219"/>
    </row>
    <row r="221" spans="1:1" ht="15.6" x14ac:dyDescent="0.3">
      <c r="A221" s="219"/>
    </row>
    <row r="222" spans="1:1" ht="15.6" x14ac:dyDescent="0.3">
      <c r="A222" s="219"/>
    </row>
    <row r="223" spans="1:1" ht="15.6" x14ac:dyDescent="0.3">
      <c r="A223" s="219"/>
    </row>
    <row r="224" spans="1:1" ht="15.6" x14ac:dyDescent="0.3">
      <c r="A224" s="219"/>
    </row>
    <row r="225" spans="1:1" ht="15.6" x14ac:dyDescent="0.3">
      <c r="A225" s="219"/>
    </row>
    <row r="226" spans="1:1" ht="15.6" x14ac:dyDescent="0.3">
      <c r="A226" s="219"/>
    </row>
    <row r="227" spans="1:1" ht="15.6" x14ac:dyDescent="0.3">
      <c r="A227" s="219"/>
    </row>
    <row r="228" spans="1:1" ht="15.6" x14ac:dyDescent="0.3">
      <c r="A228" s="219"/>
    </row>
    <row r="229" spans="1:1" ht="15.6" x14ac:dyDescent="0.3">
      <c r="A229" s="219"/>
    </row>
    <row r="230" spans="1:1" ht="15.6" x14ac:dyDescent="0.3">
      <c r="A230" s="219"/>
    </row>
    <row r="231" spans="1:1" ht="15.6" x14ac:dyDescent="0.3">
      <c r="A231" s="219"/>
    </row>
    <row r="232" spans="1:1" ht="15.6" x14ac:dyDescent="0.3">
      <c r="A232" s="219"/>
    </row>
    <row r="233" spans="1:1" ht="15.6" x14ac:dyDescent="0.3">
      <c r="A233" s="219"/>
    </row>
    <row r="234" spans="1:1" ht="15.6" x14ac:dyDescent="0.3">
      <c r="A234" s="219"/>
    </row>
    <row r="235" spans="1:1" ht="15.6" x14ac:dyDescent="0.3">
      <c r="A235" s="219"/>
    </row>
    <row r="236" spans="1:1" ht="15.6" x14ac:dyDescent="0.3">
      <c r="A236" s="219"/>
    </row>
    <row r="237" spans="1:1" ht="15.6" x14ac:dyDescent="0.3">
      <c r="A237" s="219"/>
    </row>
    <row r="238" spans="1:1" ht="15.6" x14ac:dyDescent="0.3">
      <c r="A238" s="219"/>
    </row>
    <row r="239" spans="1:1" ht="15.6" x14ac:dyDescent="0.3">
      <c r="A239" s="219"/>
    </row>
    <row r="240" spans="1:1" ht="15.6" x14ac:dyDescent="0.3">
      <c r="A240" s="219"/>
    </row>
    <row r="241" spans="1:1" ht="15.6" x14ac:dyDescent="0.3">
      <c r="A241" s="219"/>
    </row>
    <row r="242" spans="1:1" ht="15.6" x14ac:dyDescent="0.3">
      <c r="A242" s="219"/>
    </row>
    <row r="243" spans="1:1" ht="15.6" x14ac:dyDescent="0.3">
      <c r="A243" s="219"/>
    </row>
    <row r="244" spans="1:1" ht="15.6" x14ac:dyDescent="0.3">
      <c r="A244" s="219"/>
    </row>
    <row r="245" spans="1:1" ht="15.6" x14ac:dyDescent="0.3">
      <c r="A245" s="219"/>
    </row>
    <row r="246" spans="1:1" ht="15.6" x14ac:dyDescent="0.3">
      <c r="A246" s="219"/>
    </row>
    <row r="247" spans="1:1" ht="15.6" x14ac:dyDescent="0.3">
      <c r="A247" s="219"/>
    </row>
    <row r="248" spans="1:1" ht="15.6" x14ac:dyDescent="0.3">
      <c r="A248" s="219"/>
    </row>
    <row r="249" spans="1:1" ht="15.6" x14ac:dyDescent="0.3">
      <c r="A249" s="219"/>
    </row>
    <row r="250" spans="1:1" ht="15.6" x14ac:dyDescent="0.3">
      <c r="A250" s="219"/>
    </row>
    <row r="251" spans="1:1" ht="15.6" x14ac:dyDescent="0.3">
      <c r="A251" s="219"/>
    </row>
    <row r="252" spans="1:1" ht="15.6" x14ac:dyDescent="0.3">
      <c r="A252" s="219"/>
    </row>
    <row r="253" spans="1:1" ht="15.6" x14ac:dyDescent="0.3">
      <c r="A253" s="219"/>
    </row>
    <row r="254" spans="1:1" ht="15.6" x14ac:dyDescent="0.3">
      <c r="A254" s="219"/>
    </row>
    <row r="255" spans="1:1" ht="15.6" x14ac:dyDescent="0.3">
      <c r="A255" s="219"/>
    </row>
    <row r="256" spans="1:1" ht="15.6" x14ac:dyDescent="0.3">
      <c r="A256" s="219"/>
    </row>
    <row r="257" spans="1:1" ht="15.6" x14ac:dyDescent="0.3">
      <c r="A257" s="219"/>
    </row>
    <row r="258" spans="1:1" ht="15.6" x14ac:dyDescent="0.3">
      <c r="A258" s="219"/>
    </row>
    <row r="259" spans="1:1" ht="15.6" x14ac:dyDescent="0.3">
      <c r="A259" s="219"/>
    </row>
    <row r="260" spans="1:1" ht="15.6" x14ac:dyDescent="0.3">
      <c r="A260" s="219"/>
    </row>
    <row r="261" spans="1:1" ht="15.6" x14ac:dyDescent="0.3">
      <c r="A261" s="219"/>
    </row>
    <row r="262" spans="1:1" ht="15.6" x14ac:dyDescent="0.3">
      <c r="A262" s="219"/>
    </row>
    <row r="263" spans="1:1" ht="15.6" x14ac:dyDescent="0.3">
      <c r="A263" s="219"/>
    </row>
    <row r="264" spans="1:1" ht="15.6" x14ac:dyDescent="0.3">
      <c r="A264" s="219"/>
    </row>
    <row r="265" spans="1:1" ht="15.6" x14ac:dyDescent="0.3">
      <c r="A265" s="219"/>
    </row>
    <row r="266" spans="1:1" ht="15.6" x14ac:dyDescent="0.3">
      <c r="A266" s="219"/>
    </row>
    <row r="267" spans="1:1" ht="15.6" x14ac:dyDescent="0.3">
      <c r="A267" s="219"/>
    </row>
    <row r="268" spans="1:1" ht="15.6" x14ac:dyDescent="0.3">
      <c r="A268" s="219"/>
    </row>
    <row r="269" spans="1:1" ht="15.6" x14ac:dyDescent="0.3">
      <c r="A269" s="219"/>
    </row>
    <row r="270" spans="1:1" ht="15.6" x14ac:dyDescent="0.3">
      <c r="A270" s="219"/>
    </row>
    <row r="271" spans="1:1" ht="15.6" x14ac:dyDescent="0.3">
      <c r="A271" s="219"/>
    </row>
    <row r="272" spans="1:1" ht="15.6" x14ac:dyDescent="0.3">
      <c r="A272" s="219"/>
    </row>
    <row r="273" spans="1:1" ht="15.6" x14ac:dyDescent="0.3">
      <c r="A273" s="219"/>
    </row>
    <row r="274" spans="1:1" ht="15.6" x14ac:dyDescent="0.3">
      <c r="A274" s="219"/>
    </row>
    <row r="275" spans="1:1" ht="15.6" x14ac:dyDescent="0.3">
      <c r="A275" s="219"/>
    </row>
    <row r="276" spans="1:1" ht="15.6" x14ac:dyDescent="0.3">
      <c r="A276" s="219"/>
    </row>
    <row r="277" spans="1:1" ht="15.6" x14ac:dyDescent="0.3">
      <c r="A277" s="219"/>
    </row>
    <row r="278" spans="1:1" ht="15.6" x14ac:dyDescent="0.3">
      <c r="A278" s="219"/>
    </row>
    <row r="279" spans="1:1" ht="15.6" x14ac:dyDescent="0.3">
      <c r="A279" s="219"/>
    </row>
    <row r="280" spans="1:1" ht="15.6" x14ac:dyDescent="0.3">
      <c r="A280" s="219"/>
    </row>
    <row r="281" spans="1:1" ht="15.6" x14ac:dyDescent="0.3">
      <c r="A281" s="219"/>
    </row>
    <row r="282" spans="1:1" ht="15.6" x14ac:dyDescent="0.3">
      <c r="A282" s="219"/>
    </row>
    <row r="283" spans="1:1" ht="15.6" x14ac:dyDescent="0.3">
      <c r="A283" s="219"/>
    </row>
    <row r="284" spans="1:1" ht="15.6" x14ac:dyDescent="0.3">
      <c r="A284" s="219"/>
    </row>
    <row r="285" spans="1:1" ht="15.6" x14ac:dyDescent="0.3">
      <c r="A285" s="219"/>
    </row>
    <row r="286" spans="1:1" ht="15.6" x14ac:dyDescent="0.3">
      <c r="A286" s="219"/>
    </row>
    <row r="287" spans="1:1" ht="15.6" x14ac:dyDescent="0.3">
      <c r="A287" s="219"/>
    </row>
    <row r="288" spans="1:1" ht="15.6" x14ac:dyDescent="0.3">
      <c r="A288" s="219"/>
    </row>
    <row r="289" spans="1:1" ht="15.6" x14ac:dyDescent="0.3">
      <c r="A289" s="219"/>
    </row>
    <row r="290" spans="1:1" ht="15.6" x14ac:dyDescent="0.3">
      <c r="A290" s="219"/>
    </row>
    <row r="291" spans="1:1" ht="15.6" x14ac:dyDescent="0.3">
      <c r="A291" s="219"/>
    </row>
    <row r="292" spans="1:1" ht="15.6" x14ac:dyDescent="0.3">
      <c r="A292" s="219"/>
    </row>
    <row r="293" spans="1:1" ht="15.6" x14ac:dyDescent="0.3">
      <c r="A293" s="219"/>
    </row>
    <row r="294" spans="1:1" ht="15.6" x14ac:dyDescent="0.3">
      <c r="A294" s="219"/>
    </row>
    <row r="295" spans="1:1" ht="15.6" x14ac:dyDescent="0.3">
      <c r="A295" s="219"/>
    </row>
    <row r="296" spans="1:1" ht="15.6" x14ac:dyDescent="0.3">
      <c r="A296" s="219"/>
    </row>
    <row r="297" spans="1:1" ht="15.6" x14ac:dyDescent="0.3">
      <c r="A297" s="219"/>
    </row>
    <row r="298" spans="1:1" ht="15.6" x14ac:dyDescent="0.3">
      <c r="A298" s="219"/>
    </row>
    <row r="299" spans="1:1" ht="15.6" x14ac:dyDescent="0.3">
      <c r="A299" s="219"/>
    </row>
    <row r="300" spans="1:1" ht="15.6" x14ac:dyDescent="0.3">
      <c r="A300" s="219"/>
    </row>
    <row r="301" spans="1:1" ht="15.6" x14ac:dyDescent="0.3">
      <c r="A301" s="219"/>
    </row>
    <row r="302" spans="1:1" ht="15.6" x14ac:dyDescent="0.3">
      <c r="A302" s="219"/>
    </row>
    <row r="303" spans="1:1" ht="15.6" x14ac:dyDescent="0.3">
      <c r="A303" s="219"/>
    </row>
    <row r="304" spans="1:1" ht="15.6" x14ac:dyDescent="0.3">
      <c r="A304" s="219"/>
    </row>
    <row r="305" spans="1:1" ht="15.6" x14ac:dyDescent="0.3">
      <c r="A305" s="219"/>
    </row>
    <row r="306" spans="1:1" ht="15.6" x14ac:dyDescent="0.3">
      <c r="A306" s="219"/>
    </row>
    <row r="307" spans="1:1" ht="15.6" x14ac:dyDescent="0.3">
      <c r="A307" s="219"/>
    </row>
    <row r="308" spans="1:1" ht="15.6" x14ac:dyDescent="0.3">
      <c r="A308" s="219"/>
    </row>
    <row r="309" spans="1:1" ht="15.6" x14ac:dyDescent="0.3">
      <c r="A309" s="219"/>
    </row>
    <row r="310" spans="1:1" ht="15.6" x14ac:dyDescent="0.3">
      <c r="A310" s="219"/>
    </row>
    <row r="311" spans="1:1" ht="15.6" x14ac:dyDescent="0.3">
      <c r="A311" s="219"/>
    </row>
    <row r="312" spans="1:1" ht="15.6" x14ac:dyDescent="0.3">
      <c r="A312" s="219"/>
    </row>
    <row r="313" spans="1:1" ht="15.6" x14ac:dyDescent="0.3">
      <c r="A313" s="219"/>
    </row>
    <row r="314" spans="1:1" ht="15.6" x14ac:dyDescent="0.3">
      <c r="A314" s="219"/>
    </row>
    <row r="315" spans="1:1" ht="15.6" x14ac:dyDescent="0.3">
      <c r="A315" s="219"/>
    </row>
    <row r="316" spans="1:1" ht="15.6" x14ac:dyDescent="0.3">
      <c r="A316" s="219"/>
    </row>
    <row r="317" spans="1:1" ht="15.6" x14ac:dyDescent="0.3">
      <c r="A317" s="219"/>
    </row>
    <row r="318" spans="1:1" ht="15.6" x14ac:dyDescent="0.3">
      <c r="A318" s="219"/>
    </row>
    <row r="319" spans="1:1" ht="15.6" x14ac:dyDescent="0.3">
      <c r="A319" s="219"/>
    </row>
    <row r="320" spans="1:1" ht="15.6" x14ac:dyDescent="0.3">
      <c r="A320" s="219"/>
    </row>
    <row r="321" spans="1:1" ht="15.6" x14ac:dyDescent="0.3">
      <c r="A321" s="219"/>
    </row>
    <row r="322" spans="1:1" ht="15.6" x14ac:dyDescent="0.3">
      <c r="A322" s="219"/>
    </row>
    <row r="323" spans="1:1" ht="15.6" x14ac:dyDescent="0.3">
      <c r="A323" s="219"/>
    </row>
    <row r="324" spans="1:1" ht="15.6" x14ac:dyDescent="0.3">
      <c r="A324" s="219"/>
    </row>
    <row r="325" spans="1:1" ht="15.6" x14ac:dyDescent="0.3">
      <c r="A325" s="219"/>
    </row>
    <row r="326" spans="1:1" ht="15.6" x14ac:dyDescent="0.3">
      <c r="A326" s="219"/>
    </row>
    <row r="327" spans="1:1" ht="15.6" x14ac:dyDescent="0.3">
      <c r="A327" s="219"/>
    </row>
    <row r="328" spans="1:1" ht="15.6" x14ac:dyDescent="0.3">
      <c r="A328" s="219"/>
    </row>
    <row r="329" spans="1:1" ht="15.6" x14ac:dyDescent="0.3">
      <c r="A329" s="219"/>
    </row>
    <row r="330" spans="1:1" ht="15.6" x14ac:dyDescent="0.3">
      <c r="A330" s="219"/>
    </row>
    <row r="331" spans="1:1" ht="15.6" x14ac:dyDescent="0.3">
      <c r="A331" s="219"/>
    </row>
    <row r="332" spans="1:1" ht="15.6" x14ac:dyDescent="0.3">
      <c r="A332" s="219"/>
    </row>
    <row r="333" spans="1:1" ht="15.6" x14ac:dyDescent="0.3">
      <c r="A333" s="219"/>
    </row>
    <row r="334" spans="1:1" ht="15.6" x14ac:dyDescent="0.3">
      <c r="A334" s="219"/>
    </row>
    <row r="335" spans="1:1" ht="15.6" x14ac:dyDescent="0.3">
      <c r="A335" s="219"/>
    </row>
    <row r="336" spans="1:1" ht="15.6" x14ac:dyDescent="0.3">
      <c r="A336" s="219"/>
    </row>
    <row r="337" spans="1:1" ht="15.6" x14ac:dyDescent="0.3">
      <c r="A337" s="219"/>
    </row>
    <row r="338" spans="1:1" ht="15.6" x14ac:dyDescent="0.3">
      <c r="A338" s="219"/>
    </row>
    <row r="339" spans="1:1" ht="15.6" x14ac:dyDescent="0.3">
      <c r="A339" s="219"/>
    </row>
    <row r="340" spans="1:1" ht="15.6" x14ac:dyDescent="0.3">
      <c r="A340" s="219"/>
    </row>
    <row r="341" spans="1:1" ht="15.6" x14ac:dyDescent="0.3">
      <c r="A341" s="219"/>
    </row>
    <row r="342" spans="1:1" ht="15.6" x14ac:dyDescent="0.3">
      <c r="A342" s="219"/>
    </row>
    <row r="343" spans="1:1" ht="15.6" x14ac:dyDescent="0.3">
      <c r="A343" s="219"/>
    </row>
    <row r="344" spans="1:1" ht="15.6" x14ac:dyDescent="0.3">
      <c r="A344" s="219"/>
    </row>
    <row r="345" spans="1:1" ht="15.6" x14ac:dyDescent="0.3">
      <c r="A345" s="219"/>
    </row>
    <row r="346" spans="1:1" ht="15.6" x14ac:dyDescent="0.3">
      <c r="A346" s="219"/>
    </row>
    <row r="347" spans="1:1" ht="15.6" x14ac:dyDescent="0.3">
      <c r="A347" s="219"/>
    </row>
    <row r="348" spans="1:1" ht="15.6" x14ac:dyDescent="0.3">
      <c r="A348" s="219"/>
    </row>
    <row r="349" spans="1:1" ht="15.6" x14ac:dyDescent="0.3">
      <c r="A349" s="219"/>
    </row>
    <row r="350" spans="1:1" ht="15.6" x14ac:dyDescent="0.3">
      <c r="A350" s="219"/>
    </row>
    <row r="351" spans="1:1" ht="15.6" x14ac:dyDescent="0.3">
      <c r="A351" s="219"/>
    </row>
    <row r="352" spans="1:1" ht="15.6" x14ac:dyDescent="0.3">
      <c r="A352" s="219"/>
    </row>
    <row r="353" spans="1:1" ht="15.6" x14ac:dyDescent="0.3">
      <c r="A353" s="219"/>
    </row>
    <row r="354" spans="1:1" ht="15.6" x14ac:dyDescent="0.3">
      <c r="A354" s="219"/>
    </row>
    <row r="355" spans="1:1" ht="15.6" x14ac:dyDescent="0.3">
      <c r="A355" s="219"/>
    </row>
    <row r="356" spans="1:1" ht="15.6" x14ac:dyDescent="0.3">
      <c r="A356" s="219"/>
    </row>
    <row r="357" spans="1:1" ht="15.6" x14ac:dyDescent="0.3">
      <c r="A357" s="219"/>
    </row>
    <row r="358" spans="1:1" ht="15.6" x14ac:dyDescent="0.3">
      <c r="A358" s="219"/>
    </row>
    <row r="359" spans="1:1" ht="15.6" x14ac:dyDescent="0.3">
      <c r="A359" s="219"/>
    </row>
    <row r="360" spans="1:1" ht="15.6" x14ac:dyDescent="0.3">
      <c r="A360" s="219"/>
    </row>
    <row r="361" spans="1:1" ht="15.6" x14ac:dyDescent="0.3">
      <c r="A361" s="219"/>
    </row>
    <row r="362" spans="1:1" ht="15.6" x14ac:dyDescent="0.3">
      <c r="A362" s="219"/>
    </row>
    <row r="363" spans="1:1" ht="15.6" x14ac:dyDescent="0.3">
      <c r="A363" s="219"/>
    </row>
    <row r="364" spans="1:1" ht="15.6" x14ac:dyDescent="0.3">
      <c r="A364" s="219"/>
    </row>
    <row r="365" spans="1:1" ht="15.6" x14ac:dyDescent="0.3">
      <c r="A365" s="219"/>
    </row>
    <row r="366" spans="1:1" ht="15.6" x14ac:dyDescent="0.3">
      <c r="A366" s="219"/>
    </row>
    <row r="367" spans="1:1" ht="15.6" x14ac:dyDescent="0.3">
      <c r="A367" s="219"/>
    </row>
    <row r="368" spans="1:1" ht="15.6" x14ac:dyDescent="0.3">
      <c r="A368" s="219"/>
    </row>
    <row r="369" spans="1:1" ht="15.6" x14ac:dyDescent="0.3">
      <c r="A369" s="219"/>
    </row>
    <row r="370" spans="1:1" ht="15.6" x14ac:dyDescent="0.3">
      <c r="A370" s="219"/>
    </row>
    <row r="371" spans="1:1" ht="15.6" x14ac:dyDescent="0.3">
      <c r="A371" s="219"/>
    </row>
    <row r="372" spans="1:1" ht="15.6" x14ac:dyDescent="0.3">
      <c r="A372" s="219"/>
    </row>
    <row r="373" spans="1:1" ht="15.6" x14ac:dyDescent="0.3">
      <c r="A373" s="219"/>
    </row>
    <row r="374" spans="1:1" ht="15.6" x14ac:dyDescent="0.3">
      <c r="A374" s="219"/>
    </row>
    <row r="375" spans="1:1" ht="15.6" x14ac:dyDescent="0.3">
      <c r="A375" s="219"/>
    </row>
    <row r="376" spans="1:1" ht="15.6" x14ac:dyDescent="0.3">
      <c r="A376" s="219"/>
    </row>
    <row r="377" spans="1:1" ht="15.6" x14ac:dyDescent="0.3">
      <c r="A377" s="219"/>
    </row>
    <row r="378" spans="1:1" ht="15.6" x14ac:dyDescent="0.3">
      <c r="A378" s="219"/>
    </row>
    <row r="379" spans="1:1" ht="15.6" x14ac:dyDescent="0.3">
      <c r="A379" s="219"/>
    </row>
    <row r="380" spans="1:1" ht="15.6" x14ac:dyDescent="0.3">
      <c r="A380" s="219"/>
    </row>
    <row r="381" spans="1:1" ht="15.6" x14ac:dyDescent="0.3">
      <c r="A381" s="219"/>
    </row>
    <row r="382" spans="1:1" ht="15.6" x14ac:dyDescent="0.3">
      <c r="A382" s="219"/>
    </row>
    <row r="383" spans="1:1" ht="15.6" x14ac:dyDescent="0.3">
      <c r="A383" s="219"/>
    </row>
    <row r="384" spans="1:1" ht="15.6" x14ac:dyDescent="0.3">
      <c r="A384" s="219"/>
    </row>
    <row r="385" spans="1:1" ht="15.6" x14ac:dyDescent="0.3">
      <c r="A385" s="219"/>
    </row>
    <row r="386" spans="1:1" ht="15.6" x14ac:dyDescent="0.3">
      <c r="A386" s="219"/>
    </row>
    <row r="387" spans="1:1" ht="15.6" x14ac:dyDescent="0.3">
      <c r="A387" s="219"/>
    </row>
    <row r="388" spans="1:1" ht="15.6" x14ac:dyDescent="0.3">
      <c r="A388" s="219"/>
    </row>
    <row r="389" spans="1:1" ht="15.6" x14ac:dyDescent="0.3">
      <c r="A389" s="219"/>
    </row>
    <row r="390" spans="1:1" ht="15.6" x14ac:dyDescent="0.3">
      <c r="A390" s="219"/>
    </row>
    <row r="391" spans="1:1" ht="15.6" x14ac:dyDescent="0.3">
      <c r="A391" s="219"/>
    </row>
    <row r="392" spans="1:1" ht="15.6" x14ac:dyDescent="0.3">
      <c r="A392" s="219"/>
    </row>
    <row r="393" spans="1:1" ht="15.6" x14ac:dyDescent="0.3">
      <c r="A393" s="219"/>
    </row>
    <row r="394" spans="1:1" ht="15.6" x14ac:dyDescent="0.3">
      <c r="A394" s="219"/>
    </row>
    <row r="395" spans="1:1" ht="15.6" x14ac:dyDescent="0.3">
      <c r="A395" s="219"/>
    </row>
    <row r="396" spans="1:1" ht="15.6" x14ac:dyDescent="0.3">
      <c r="A396" s="219"/>
    </row>
    <row r="397" spans="1:1" ht="15.6" x14ac:dyDescent="0.3">
      <c r="A397" s="219"/>
    </row>
    <row r="398" spans="1:1" ht="15.6" x14ac:dyDescent="0.3">
      <c r="A398" s="219"/>
    </row>
    <row r="399" spans="1:1" ht="15.6" x14ac:dyDescent="0.3">
      <c r="A399" s="219"/>
    </row>
    <row r="400" spans="1:1" ht="15.6" x14ac:dyDescent="0.3">
      <c r="A400" s="219"/>
    </row>
    <row r="401" spans="1:1" ht="15.6" x14ac:dyDescent="0.3">
      <c r="A401" s="219"/>
    </row>
    <row r="402" spans="1:1" ht="15.6" x14ac:dyDescent="0.3">
      <c r="A402" s="219"/>
    </row>
    <row r="403" spans="1:1" ht="15.6" x14ac:dyDescent="0.3">
      <c r="A403" s="219"/>
    </row>
    <row r="404" spans="1:1" ht="15.6" x14ac:dyDescent="0.3">
      <c r="A404" s="219"/>
    </row>
    <row r="405" spans="1:1" ht="15.6" x14ac:dyDescent="0.3">
      <c r="A405" s="219"/>
    </row>
    <row r="406" spans="1:1" ht="15.6" x14ac:dyDescent="0.3">
      <c r="A406" s="219"/>
    </row>
    <row r="407" spans="1:1" ht="15.6" x14ac:dyDescent="0.3">
      <c r="A407" s="219"/>
    </row>
    <row r="408" spans="1:1" ht="15.6" x14ac:dyDescent="0.3">
      <c r="A408" s="219"/>
    </row>
    <row r="409" spans="1:1" ht="15.6" x14ac:dyDescent="0.3">
      <c r="A409" s="219"/>
    </row>
    <row r="410" spans="1:1" ht="15.6" x14ac:dyDescent="0.3">
      <c r="A410" s="219"/>
    </row>
    <row r="411" spans="1:1" ht="15.6" x14ac:dyDescent="0.3">
      <c r="A411" s="219"/>
    </row>
    <row r="412" spans="1:1" ht="15.6" x14ac:dyDescent="0.3">
      <c r="A412" s="219"/>
    </row>
    <row r="413" spans="1:1" ht="15.6" x14ac:dyDescent="0.3">
      <c r="A413" s="219"/>
    </row>
    <row r="414" spans="1:1" ht="15.6" x14ac:dyDescent="0.3">
      <c r="A414" s="219"/>
    </row>
    <row r="415" spans="1:1" ht="15.6" x14ac:dyDescent="0.3">
      <c r="A415" s="219"/>
    </row>
    <row r="416" spans="1:1" ht="15.6" x14ac:dyDescent="0.3">
      <c r="A416" s="219"/>
    </row>
    <row r="417" spans="1:1" ht="15.6" x14ac:dyDescent="0.3">
      <c r="A417" s="219"/>
    </row>
    <row r="418" spans="1:1" ht="15.6" x14ac:dyDescent="0.3">
      <c r="A418" s="219"/>
    </row>
    <row r="419" spans="1:1" ht="15.6" x14ac:dyDescent="0.3">
      <c r="A419" s="219"/>
    </row>
    <row r="420" spans="1:1" ht="15.6" x14ac:dyDescent="0.3">
      <c r="A420" s="219"/>
    </row>
    <row r="421" spans="1:1" ht="15.6" x14ac:dyDescent="0.3">
      <c r="A421" s="219"/>
    </row>
    <row r="422" spans="1:1" ht="15.6" x14ac:dyDescent="0.3">
      <c r="A422" s="219"/>
    </row>
    <row r="423" spans="1:1" ht="15.6" x14ac:dyDescent="0.3">
      <c r="A423" s="219"/>
    </row>
    <row r="424" spans="1:1" ht="15.6" x14ac:dyDescent="0.3">
      <c r="A424" s="219"/>
    </row>
    <row r="425" spans="1:1" ht="15.6" x14ac:dyDescent="0.3">
      <c r="A425" s="219"/>
    </row>
    <row r="426" spans="1:1" ht="15.6" x14ac:dyDescent="0.3">
      <c r="A426" s="219"/>
    </row>
    <row r="427" spans="1:1" ht="15.6" x14ac:dyDescent="0.3">
      <c r="A427" s="219"/>
    </row>
    <row r="428" spans="1:1" ht="15.6" x14ac:dyDescent="0.3">
      <c r="A428" s="219"/>
    </row>
    <row r="429" spans="1:1" ht="15.6" x14ac:dyDescent="0.3">
      <c r="A429" s="219"/>
    </row>
    <row r="430" spans="1:1" ht="15.6" x14ac:dyDescent="0.3">
      <c r="A430" s="219"/>
    </row>
    <row r="431" spans="1:1" ht="15.6" x14ac:dyDescent="0.3">
      <c r="A431" s="219"/>
    </row>
    <row r="432" spans="1:1" ht="15.6" x14ac:dyDescent="0.3">
      <c r="A432" s="219"/>
    </row>
    <row r="433" spans="1:1" ht="15.6" x14ac:dyDescent="0.3">
      <c r="A433" s="219"/>
    </row>
    <row r="434" spans="1:1" ht="15.6" x14ac:dyDescent="0.3">
      <c r="A434" s="219"/>
    </row>
    <row r="435" spans="1:1" ht="15.6" x14ac:dyDescent="0.3">
      <c r="A435" s="219"/>
    </row>
    <row r="436" spans="1:1" ht="15.6" x14ac:dyDescent="0.3">
      <c r="A436" s="219"/>
    </row>
    <row r="437" spans="1:1" ht="15.6" x14ac:dyDescent="0.3">
      <c r="A437" s="219"/>
    </row>
    <row r="438" spans="1:1" ht="15.6" x14ac:dyDescent="0.3">
      <c r="A438" s="219"/>
    </row>
    <row r="439" spans="1:1" ht="15.6" x14ac:dyDescent="0.3">
      <c r="A439" s="219"/>
    </row>
    <row r="440" spans="1:1" ht="15.6" x14ac:dyDescent="0.3">
      <c r="A440" s="219"/>
    </row>
    <row r="441" spans="1:1" ht="15.6" x14ac:dyDescent="0.3">
      <c r="A441" s="219"/>
    </row>
    <row r="442" spans="1:1" ht="15.6" x14ac:dyDescent="0.3">
      <c r="A442" s="219"/>
    </row>
    <row r="443" spans="1:1" ht="15.6" x14ac:dyDescent="0.3">
      <c r="A443" s="219"/>
    </row>
    <row r="444" spans="1:1" ht="15.6" x14ac:dyDescent="0.3">
      <c r="A444" s="219"/>
    </row>
    <row r="445" spans="1:1" ht="15.6" x14ac:dyDescent="0.3">
      <c r="A445" s="219"/>
    </row>
    <row r="446" spans="1:1" ht="15.6" x14ac:dyDescent="0.3">
      <c r="A446" s="219"/>
    </row>
    <row r="447" spans="1:1" ht="15.6" x14ac:dyDescent="0.3">
      <c r="A447" s="219"/>
    </row>
    <row r="448" spans="1:1" ht="15.6" x14ac:dyDescent="0.3">
      <c r="A448" s="219"/>
    </row>
    <row r="449" spans="1:1" ht="15.6" x14ac:dyDescent="0.3">
      <c r="A449" s="219"/>
    </row>
    <row r="450" spans="1:1" ht="15.6" x14ac:dyDescent="0.3">
      <c r="A450" s="219"/>
    </row>
    <row r="451" spans="1:1" ht="15.6" x14ac:dyDescent="0.3">
      <c r="A451" s="219"/>
    </row>
    <row r="452" spans="1:1" ht="15.6" x14ac:dyDescent="0.3">
      <c r="A452" s="219"/>
    </row>
    <row r="453" spans="1:1" ht="15.6" x14ac:dyDescent="0.3">
      <c r="A453" s="219"/>
    </row>
    <row r="454" spans="1:1" ht="15.6" x14ac:dyDescent="0.3">
      <c r="A454" s="219"/>
    </row>
    <row r="455" spans="1:1" ht="15.6" x14ac:dyDescent="0.3">
      <c r="A455" s="219"/>
    </row>
    <row r="456" spans="1:1" ht="15.6" x14ac:dyDescent="0.3">
      <c r="A456" s="219"/>
    </row>
    <row r="457" spans="1:1" ht="15.6" x14ac:dyDescent="0.3">
      <c r="A457" s="219"/>
    </row>
    <row r="458" spans="1:1" ht="15.6" x14ac:dyDescent="0.3">
      <c r="A458" s="219"/>
    </row>
    <row r="459" spans="1:1" ht="15.6" x14ac:dyDescent="0.3">
      <c r="A459" s="219"/>
    </row>
    <row r="460" spans="1:1" ht="15.6" x14ac:dyDescent="0.3">
      <c r="A460" s="219"/>
    </row>
    <row r="461" spans="1:1" ht="15.6" x14ac:dyDescent="0.3">
      <c r="A461" s="219"/>
    </row>
    <row r="462" spans="1:1" ht="15.6" x14ac:dyDescent="0.3">
      <c r="A462" s="219"/>
    </row>
    <row r="463" spans="1:1" ht="15.6" x14ac:dyDescent="0.3">
      <c r="A463" s="219"/>
    </row>
    <row r="464" spans="1:1" ht="15.6" x14ac:dyDescent="0.3">
      <c r="A464" s="219"/>
    </row>
    <row r="465" spans="1:1" ht="15.6" x14ac:dyDescent="0.3">
      <c r="A465" s="219"/>
    </row>
    <row r="466" spans="1:1" ht="15.6" x14ac:dyDescent="0.3">
      <c r="A466" s="219"/>
    </row>
    <row r="467" spans="1:1" ht="15.6" x14ac:dyDescent="0.3">
      <c r="A467" s="219"/>
    </row>
    <row r="468" spans="1:1" ht="15.6" x14ac:dyDescent="0.3">
      <c r="A468" s="219"/>
    </row>
    <row r="469" spans="1:1" ht="15.6" x14ac:dyDescent="0.3">
      <c r="A469" s="219"/>
    </row>
    <row r="470" spans="1:1" ht="15.6" x14ac:dyDescent="0.3">
      <c r="A470" s="219"/>
    </row>
    <row r="471" spans="1:1" ht="15.6" x14ac:dyDescent="0.3">
      <c r="A471" s="219"/>
    </row>
    <row r="472" spans="1:1" ht="15.6" x14ac:dyDescent="0.3">
      <c r="A472" s="219"/>
    </row>
    <row r="473" spans="1:1" ht="15.6" x14ac:dyDescent="0.3">
      <c r="A473" s="219"/>
    </row>
    <row r="474" spans="1:1" ht="15.6" x14ac:dyDescent="0.3">
      <c r="A474" s="219"/>
    </row>
    <row r="475" spans="1:1" ht="15.6" x14ac:dyDescent="0.3">
      <c r="A475" s="219"/>
    </row>
    <row r="476" spans="1:1" ht="15.6" x14ac:dyDescent="0.3">
      <c r="A476" s="219"/>
    </row>
    <row r="477" spans="1:1" ht="15.6" x14ac:dyDescent="0.3">
      <c r="A477" s="219"/>
    </row>
    <row r="478" spans="1:1" ht="15.6" x14ac:dyDescent="0.3">
      <c r="A478" s="219"/>
    </row>
    <row r="479" spans="1:1" ht="15.6" x14ac:dyDescent="0.3">
      <c r="A479" s="219"/>
    </row>
    <row r="480" spans="1:1" ht="15.6" x14ac:dyDescent="0.3">
      <c r="A480" s="219"/>
    </row>
    <row r="481" spans="1:1" ht="15.6" x14ac:dyDescent="0.3">
      <c r="A481" s="219"/>
    </row>
    <row r="482" spans="1:1" ht="15.6" x14ac:dyDescent="0.3">
      <c r="A482" s="219"/>
    </row>
    <row r="483" spans="1:1" ht="15.6" x14ac:dyDescent="0.3">
      <c r="A483" s="219"/>
    </row>
    <row r="484" spans="1:1" ht="15.6" x14ac:dyDescent="0.3">
      <c r="A484" s="219"/>
    </row>
    <row r="485" spans="1:1" ht="15.6" x14ac:dyDescent="0.3">
      <c r="A485" s="219"/>
    </row>
    <row r="486" spans="1:1" ht="15.6" x14ac:dyDescent="0.3">
      <c r="A486" s="219"/>
    </row>
    <row r="487" spans="1:1" ht="15.6" x14ac:dyDescent="0.3">
      <c r="A487" s="219"/>
    </row>
    <row r="488" spans="1:1" ht="15.6" x14ac:dyDescent="0.3">
      <c r="A488" s="219"/>
    </row>
    <row r="489" spans="1:1" ht="15.6" x14ac:dyDescent="0.3">
      <c r="A489" s="219"/>
    </row>
    <row r="490" spans="1:1" ht="15.6" x14ac:dyDescent="0.3">
      <c r="A490" s="219"/>
    </row>
    <row r="491" spans="1:1" ht="15.6" x14ac:dyDescent="0.3">
      <c r="A491" s="219"/>
    </row>
    <row r="492" spans="1:1" ht="15.6" x14ac:dyDescent="0.3">
      <c r="A492" s="219"/>
    </row>
    <row r="493" spans="1:1" ht="15.6" x14ac:dyDescent="0.3">
      <c r="A493" s="219"/>
    </row>
    <row r="494" spans="1:1" ht="15.6" x14ac:dyDescent="0.3">
      <c r="A494" s="219"/>
    </row>
    <row r="495" spans="1:1" ht="15.6" x14ac:dyDescent="0.3">
      <c r="A495" s="219"/>
    </row>
    <row r="496" spans="1:1" ht="15.6" x14ac:dyDescent="0.3">
      <c r="A496" s="219"/>
    </row>
    <row r="497" spans="1:1" ht="15.6" x14ac:dyDescent="0.3">
      <c r="A497" s="219"/>
    </row>
    <row r="498" spans="1:1" ht="15.6" x14ac:dyDescent="0.3">
      <c r="A498" s="219"/>
    </row>
    <row r="499" spans="1:1" ht="15.6" x14ac:dyDescent="0.3">
      <c r="A499" s="219"/>
    </row>
    <row r="500" spans="1:1" ht="15.6" x14ac:dyDescent="0.3">
      <c r="A500" s="219"/>
    </row>
    <row r="501" spans="1:1" ht="15.6" x14ac:dyDescent="0.3">
      <c r="A501" s="219"/>
    </row>
    <row r="502" spans="1:1" ht="15.6" x14ac:dyDescent="0.3">
      <c r="A502" s="219"/>
    </row>
    <row r="503" spans="1:1" ht="15.6" x14ac:dyDescent="0.3">
      <c r="A503" s="219"/>
    </row>
    <row r="504" spans="1:1" ht="15.6" x14ac:dyDescent="0.3">
      <c r="A504" s="219"/>
    </row>
    <row r="505" spans="1:1" ht="15.6" x14ac:dyDescent="0.3">
      <c r="A505" s="219"/>
    </row>
    <row r="506" spans="1:1" ht="15.6" x14ac:dyDescent="0.3">
      <c r="A506" s="219"/>
    </row>
    <row r="507" spans="1:1" ht="15.6" x14ac:dyDescent="0.3">
      <c r="A507" s="219"/>
    </row>
    <row r="508" spans="1:1" ht="15.6" x14ac:dyDescent="0.3">
      <c r="A508" s="219"/>
    </row>
    <row r="509" spans="1:1" ht="15.6" x14ac:dyDescent="0.3">
      <c r="A509" s="219"/>
    </row>
    <row r="510" spans="1:1" ht="15.6" x14ac:dyDescent="0.3">
      <c r="A510" s="219"/>
    </row>
    <row r="511" spans="1:1" ht="15.6" x14ac:dyDescent="0.3">
      <c r="A511" s="219"/>
    </row>
    <row r="512" spans="1:1" ht="15.6" x14ac:dyDescent="0.3">
      <c r="A512" s="219"/>
    </row>
    <row r="513" spans="1:1" ht="15.6" x14ac:dyDescent="0.3">
      <c r="A513" s="219"/>
    </row>
    <row r="514" spans="1:1" ht="15.6" x14ac:dyDescent="0.3">
      <c r="A514" s="219"/>
    </row>
    <row r="515" spans="1:1" ht="15.6" x14ac:dyDescent="0.3">
      <c r="A515" s="219"/>
    </row>
    <row r="516" spans="1:1" ht="15.6" x14ac:dyDescent="0.3">
      <c r="A516" s="219"/>
    </row>
    <row r="517" spans="1:1" ht="15.6" x14ac:dyDescent="0.3">
      <c r="A517" s="219"/>
    </row>
    <row r="518" spans="1:1" ht="15.6" x14ac:dyDescent="0.3">
      <c r="A518" s="219"/>
    </row>
    <row r="519" spans="1:1" ht="15.6" x14ac:dyDescent="0.3">
      <c r="A519" s="219"/>
    </row>
    <row r="520" spans="1:1" ht="15.6" x14ac:dyDescent="0.3">
      <c r="A520" s="219"/>
    </row>
    <row r="521" spans="1:1" ht="15.6" x14ac:dyDescent="0.3">
      <c r="A521" s="219"/>
    </row>
    <row r="522" spans="1:1" ht="15.6" x14ac:dyDescent="0.3">
      <c r="A522" s="219"/>
    </row>
    <row r="523" spans="1:1" ht="15.6" x14ac:dyDescent="0.3">
      <c r="A523" s="219"/>
    </row>
    <row r="524" spans="1:1" ht="15.6" x14ac:dyDescent="0.3">
      <c r="A524" s="219"/>
    </row>
    <row r="525" spans="1:1" ht="15.6" x14ac:dyDescent="0.3">
      <c r="A525" s="219"/>
    </row>
    <row r="526" spans="1:1" ht="15.6" x14ac:dyDescent="0.3">
      <c r="A526" s="219"/>
    </row>
    <row r="527" spans="1:1" ht="15.6" x14ac:dyDescent="0.3">
      <c r="A527" s="219"/>
    </row>
    <row r="528" spans="1:1" ht="15.6" x14ac:dyDescent="0.3">
      <c r="A528" s="219"/>
    </row>
    <row r="529" spans="1:1" ht="15.6" x14ac:dyDescent="0.3">
      <c r="A529" s="219"/>
    </row>
    <row r="530" spans="1:1" ht="15.6" x14ac:dyDescent="0.3">
      <c r="A530" s="219"/>
    </row>
    <row r="531" spans="1:1" ht="15.6" x14ac:dyDescent="0.3">
      <c r="A531" s="219"/>
    </row>
    <row r="532" spans="1:1" ht="15.6" x14ac:dyDescent="0.3">
      <c r="A532" s="219"/>
    </row>
    <row r="533" spans="1:1" ht="15.6" x14ac:dyDescent="0.3">
      <c r="A533" s="219"/>
    </row>
    <row r="534" spans="1:1" ht="15.6" x14ac:dyDescent="0.3">
      <c r="A534" s="219"/>
    </row>
    <row r="535" spans="1:1" ht="15.6" x14ac:dyDescent="0.3">
      <c r="A535" s="219"/>
    </row>
    <row r="536" spans="1:1" ht="15.6" x14ac:dyDescent="0.3">
      <c r="A536" s="219"/>
    </row>
    <row r="537" spans="1:1" ht="15.6" x14ac:dyDescent="0.3">
      <c r="A537" s="219"/>
    </row>
    <row r="538" spans="1:1" ht="15.6" x14ac:dyDescent="0.3">
      <c r="A538" s="219"/>
    </row>
    <row r="539" spans="1:1" ht="15.6" x14ac:dyDescent="0.3">
      <c r="A539" s="219"/>
    </row>
    <row r="540" spans="1:1" ht="15.6" x14ac:dyDescent="0.3">
      <c r="A540" s="219"/>
    </row>
    <row r="541" spans="1:1" ht="15.6" x14ac:dyDescent="0.3">
      <c r="A541" s="219"/>
    </row>
    <row r="542" spans="1:1" ht="15.6" x14ac:dyDescent="0.3">
      <c r="A542" s="219"/>
    </row>
    <row r="543" spans="1:1" ht="15.6" x14ac:dyDescent="0.3">
      <c r="A543" s="219"/>
    </row>
    <row r="544" spans="1:1" ht="15.6" x14ac:dyDescent="0.3">
      <c r="A544" s="219"/>
    </row>
    <row r="545" spans="1:1" ht="15.6" x14ac:dyDescent="0.3">
      <c r="A545" s="219"/>
    </row>
    <row r="546" spans="1:1" ht="15.6" x14ac:dyDescent="0.3">
      <c r="A546" s="219"/>
    </row>
    <row r="547" spans="1:1" ht="15.6" x14ac:dyDescent="0.3">
      <c r="A547" s="219"/>
    </row>
    <row r="548" spans="1:1" ht="15.6" x14ac:dyDescent="0.3">
      <c r="A548" s="219"/>
    </row>
    <row r="549" spans="1:1" ht="15.6" x14ac:dyDescent="0.3">
      <c r="A549" s="219"/>
    </row>
    <row r="550" spans="1:1" ht="15.6" x14ac:dyDescent="0.3">
      <c r="A550" s="219"/>
    </row>
    <row r="551" spans="1:1" ht="15.6" x14ac:dyDescent="0.3">
      <c r="A551" s="219"/>
    </row>
    <row r="552" spans="1:1" ht="15.6" x14ac:dyDescent="0.3">
      <c r="A552" s="219"/>
    </row>
    <row r="553" spans="1:1" ht="15.6" x14ac:dyDescent="0.3">
      <c r="A553" s="219"/>
    </row>
    <row r="554" spans="1:1" ht="15.6" x14ac:dyDescent="0.3">
      <c r="A554" s="219"/>
    </row>
    <row r="555" spans="1:1" ht="15.6" x14ac:dyDescent="0.3">
      <c r="A555" s="219"/>
    </row>
    <row r="556" spans="1:1" ht="15.6" x14ac:dyDescent="0.3">
      <c r="A556" s="219"/>
    </row>
    <row r="557" spans="1:1" ht="15.6" x14ac:dyDescent="0.3">
      <c r="A557" s="219"/>
    </row>
    <row r="558" spans="1:1" ht="15.6" x14ac:dyDescent="0.3">
      <c r="A558" s="219"/>
    </row>
    <row r="559" spans="1:1" ht="15.6" x14ac:dyDescent="0.3">
      <c r="A559" s="219"/>
    </row>
    <row r="560" spans="1:1" ht="15.6" x14ac:dyDescent="0.3">
      <c r="A560" s="219"/>
    </row>
    <row r="561" spans="1:1" ht="15.6" x14ac:dyDescent="0.3">
      <c r="A561" s="219"/>
    </row>
    <row r="562" spans="1:1" ht="15.6" x14ac:dyDescent="0.3">
      <c r="A562" s="219"/>
    </row>
    <row r="563" spans="1:1" ht="15.6" x14ac:dyDescent="0.3">
      <c r="A563" s="219"/>
    </row>
    <row r="564" spans="1:1" ht="15.6" x14ac:dyDescent="0.3">
      <c r="A564" s="219"/>
    </row>
    <row r="565" spans="1:1" ht="15.6" x14ac:dyDescent="0.3">
      <c r="A565" s="219"/>
    </row>
    <row r="566" spans="1:1" ht="15.6" x14ac:dyDescent="0.3">
      <c r="A566" s="219"/>
    </row>
    <row r="567" spans="1:1" ht="15.6" x14ac:dyDescent="0.3">
      <c r="A567" s="219"/>
    </row>
    <row r="568" spans="1:1" ht="15.6" x14ac:dyDescent="0.3">
      <c r="A568" s="219"/>
    </row>
    <row r="569" spans="1:1" ht="15.6" x14ac:dyDescent="0.3">
      <c r="A569" s="219"/>
    </row>
    <row r="570" spans="1:1" ht="15.6" x14ac:dyDescent="0.3">
      <c r="A570" s="219"/>
    </row>
    <row r="571" spans="1:1" ht="15.6" x14ac:dyDescent="0.3">
      <c r="A571" s="219"/>
    </row>
    <row r="572" spans="1:1" ht="15.6" x14ac:dyDescent="0.3">
      <c r="A572" s="219"/>
    </row>
    <row r="573" spans="1:1" ht="15.6" x14ac:dyDescent="0.3">
      <c r="A573" s="219"/>
    </row>
    <row r="574" spans="1:1" ht="15.6" x14ac:dyDescent="0.3">
      <c r="A574" s="219"/>
    </row>
    <row r="575" spans="1:1" ht="15.6" x14ac:dyDescent="0.3">
      <c r="A575" s="219"/>
    </row>
    <row r="576" spans="1:1" ht="15.6" x14ac:dyDescent="0.3">
      <c r="A576" s="219"/>
    </row>
    <row r="577" spans="1:1" ht="15.6" x14ac:dyDescent="0.3">
      <c r="A577" s="219"/>
    </row>
    <row r="578" spans="1:1" ht="15.6" x14ac:dyDescent="0.3">
      <c r="A578" s="219"/>
    </row>
    <row r="579" spans="1:1" ht="15.6" x14ac:dyDescent="0.3">
      <c r="A579" s="219"/>
    </row>
    <row r="580" spans="1:1" ht="15.6" x14ac:dyDescent="0.3">
      <c r="A580" s="219"/>
    </row>
    <row r="581" spans="1:1" ht="15.6" x14ac:dyDescent="0.3">
      <c r="A581" s="219"/>
    </row>
    <row r="582" spans="1:1" ht="15.6" x14ac:dyDescent="0.3">
      <c r="A582" s="219"/>
    </row>
    <row r="583" spans="1:1" ht="15.6" x14ac:dyDescent="0.3">
      <c r="A583" s="219"/>
    </row>
    <row r="584" spans="1:1" ht="15.6" x14ac:dyDescent="0.3">
      <c r="A584" s="219"/>
    </row>
    <row r="585" spans="1:1" ht="15.6" x14ac:dyDescent="0.3">
      <c r="A585" s="219"/>
    </row>
    <row r="586" spans="1:1" ht="15.6" x14ac:dyDescent="0.3">
      <c r="A586" s="219"/>
    </row>
    <row r="587" spans="1:1" ht="15.6" x14ac:dyDescent="0.3">
      <c r="A587" s="219"/>
    </row>
    <row r="588" spans="1:1" ht="15.6" x14ac:dyDescent="0.3">
      <c r="A588" s="219"/>
    </row>
    <row r="589" spans="1:1" ht="15.6" x14ac:dyDescent="0.3">
      <c r="A589" s="219"/>
    </row>
    <row r="590" spans="1:1" ht="15.6" x14ac:dyDescent="0.3">
      <c r="A590" s="219"/>
    </row>
    <row r="591" spans="1:1" ht="15.6" x14ac:dyDescent="0.3">
      <c r="A591" s="219"/>
    </row>
    <row r="592" spans="1:1" ht="15.6" x14ac:dyDescent="0.3">
      <c r="A592" s="219"/>
    </row>
    <row r="593" spans="1:1" ht="15.6" x14ac:dyDescent="0.3">
      <c r="A593" s="219"/>
    </row>
    <row r="594" spans="1:1" ht="15.6" x14ac:dyDescent="0.3">
      <c r="A594" s="219"/>
    </row>
    <row r="595" spans="1:1" ht="15.6" x14ac:dyDescent="0.3">
      <c r="A595" s="219"/>
    </row>
    <row r="596" spans="1:1" ht="15.6" x14ac:dyDescent="0.3">
      <c r="A596" s="219"/>
    </row>
    <row r="597" spans="1:1" ht="15.6" x14ac:dyDescent="0.3">
      <c r="A597" s="219"/>
    </row>
    <row r="598" spans="1:1" ht="15.6" x14ac:dyDescent="0.3">
      <c r="A598" s="219"/>
    </row>
    <row r="599" spans="1:1" ht="15.6" x14ac:dyDescent="0.3">
      <c r="A599" s="219"/>
    </row>
    <row r="600" spans="1:1" ht="15.6" x14ac:dyDescent="0.3">
      <c r="A600" s="219"/>
    </row>
    <row r="601" spans="1:1" ht="15.6" x14ac:dyDescent="0.3">
      <c r="A601" s="219"/>
    </row>
    <row r="602" spans="1:1" ht="15.6" x14ac:dyDescent="0.3">
      <c r="A602" s="219"/>
    </row>
    <row r="603" spans="1:1" ht="15.6" x14ac:dyDescent="0.3">
      <c r="A603" s="219"/>
    </row>
    <row r="604" spans="1:1" ht="15.6" x14ac:dyDescent="0.3">
      <c r="A604" s="219"/>
    </row>
    <row r="605" spans="1:1" ht="15.6" x14ac:dyDescent="0.3">
      <c r="A605" s="219"/>
    </row>
    <row r="606" spans="1:1" ht="15.6" x14ac:dyDescent="0.3">
      <c r="A606" s="219"/>
    </row>
    <row r="607" spans="1:1" ht="15.6" x14ac:dyDescent="0.3">
      <c r="A607" s="219"/>
    </row>
    <row r="608" spans="1:1" ht="15.6" x14ac:dyDescent="0.3">
      <c r="A608" s="219"/>
    </row>
    <row r="609" spans="1:1" ht="15.6" x14ac:dyDescent="0.3">
      <c r="A609" s="219"/>
    </row>
    <row r="610" spans="1:1" ht="15.6" x14ac:dyDescent="0.3">
      <c r="A610" s="219"/>
    </row>
    <row r="611" spans="1:1" ht="15.6" x14ac:dyDescent="0.3">
      <c r="A611" s="219"/>
    </row>
    <row r="612" spans="1:1" ht="15.6" x14ac:dyDescent="0.3">
      <c r="A612" s="219"/>
    </row>
    <row r="613" spans="1:1" ht="15.6" x14ac:dyDescent="0.3">
      <c r="A613" s="219"/>
    </row>
    <row r="614" spans="1:1" ht="15.6" x14ac:dyDescent="0.3">
      <c r="A614" s="219"/>
    </row>
    <row r="615" spans="1:1" ht="15.6" x14ac:dyDescent="0.3">
      <c r="A615" s="219"/>
    </row>
    <row r="616" spans="1:1" ht="15.6" x14ac:dyDescent="0.3">
      <c r="A616" s="219"/>
    </row>
    <row r="617" spans="1:1" ht="15.6" x14ac:dyDescent="0.3">
      <c r="A617" s="219"/>
    </row>
    <row r="618" spans="1:1" ht="15.6" x14ac:dyDescent="0.3">
      <c r="A618" s="219"/>
    </row>
    <row r="619" spans="1:1" ht="15.6" x14ac:dyDescent="0.3">
      <c r="A619" s="219"/>
    </row>
    <row r="620" spans="1:1" ht="15.6" x14ac:dyDescent="0.3">
      <c r="A620" s="219"/>
    </row>
    <row r="621" spans="1:1" ht="15.6" x14ac:dyDescent="0.3">
      <c r="A621" s="219"/>
    </row>
    <row r="622" spans="1:1" ht="15.6" x14ac:dyDescent="0.3">
      <c r="A622" s="219"/>
    </row>
    <row r="623" spans="1:1" ht="15.6" x14ac:dyDescent="0.3">
      <c r="A623" s="219"/>
    </row>
    <row r="624" spans="1:1" ht="15.6" x14ac:dyDescent="0.3">
      <c r="A624" s="219"/>
    </row>
    <row r="625" spans="1:1" ht="15.6" x14ac:dyDescent="0.3">
      <c r="A625" s="219"/>
    </row>
    <row r="626" spans="1:1" ht="15.6" x14ac:dyDescent="0.3">
      <c r="A626" s="219"/>
    </row>
    <row r="627" spans="1:1" ht="15.6" x14ac:dyDescent="0.3">
      <c r="A627" s="219"/>
    </row>
    <row r="628" spans="1:1" ht="15.6" x14ac:dyDescent="0.3">
      <c r="A628" s="219"/>
    </row>
    <row r="629" spans="1:1" ht="15.6" x14ac:dyDescent="0.3">
      <c r="A629" s="219"/>
    </row>
    <row r="630" spans="1:1" ht="15.6" x14ac:dyDescent="0.3">
      <c r="A630" s="219"/>
    </row>
    <row r="631" spans="1:1" ht="15.6" x14ac:dyDescent="0.3">
      <c r="A631" s="219"/>
    </row>
    <row r="632" spans="1:1" ht="15.6" x14ac:dyDescent="0.3">
      <c r="A632" s="219"/>
    </row>
    <row r="633" spans="1:1" ht="15.6" x14ac:dyDescent="0.3">
      <c r="A633" s="219"/>
    </row>
    <row r="634" spans="1:1" ht="15.6" x14ac:dyDescent="0.3">
      <c r="A634" s="219"/>
    </row>
    <row r="635" spans="1:1" ht="15.6" x14ac:dyDescent="0.3">
      <c r="A635" s="219"/>
    </row>
    <row r="636" spans="1:1" ht="15.6" x14ac:dyDescent="0.3">
      <c r="A636" s="219"/>
    </row>
    <row r="637" spans="1:1" ht="15.6" x14ac:dyDescent="0.3">
      <c r="A637" s="219"/>
    </row>
    <row r="638" spans="1:1" ht="15.6" x14ac:dyDescent="0.3">
      <c r="A638" s="219"/>
    </row>
    <row r="639" spans="1:1" ht="15.6" x14ac:dyDescent="0.3">
      <c r="A639" s="219"/>
    </row>
    <row r="640" spans="1:1" ht="15.6" x14ac:dyDescent="0.3">
      <c r="A640" s="219"/>
    </row>
    <row r="641" spans="1:1" ht="15.6" x14ac:dyDescent="0.3">
      <c r="A641" s="219"/>
    </row>
    <row r="642" spans="1:1" ht="15.6" x14ac:dyDescent="0.3">
      <c r="A642" s="219"/>
    </row>
    <row r="643" spans="1:1" ht="15.6" x14ac:dyDescent="0.3">
      <c r="A643" s="219"/>
    </row>
    <row r="644" spans="1:1" ht="15.6" x14ac:dyDescent="0.3">
      <c r="A644" s="219"/>
    </row>
    <row r="645" spans="1:1" ht="15.6" x14ac:dyDescent="0.3">
      <c r="A645" s="219"/>
    </row>
    <row r="646" spans="1:1" ht="15.6" x14ac:dyDescent="0.3">
      <c r="A646" s="219"/>
    </row>
    <row r="647" spans="1:1" ht="15.6" x14ac:dyDescent="0.3">
      <c r="A647" s="219"/>
    </row>
    <row r="648" spans="1:1" ht="15.6" x14ac:dyDescent="0.3">
      <c r="A648" s="219"/>
    </row>
    <row r="649" spans="1:1" ht="15.6" x14ac:dyDescent="0.3">
      <c r="A649" s="219"/>
    </row>
    <row r="650" spans="1:1" ht="15.6" x14ac:dyDescent="0.3">
      <c r="A650" s="219"/>
    </row>
    <row r="651" spans="1:1" ht="15.6" x14ac:dyDescent="0.3">
      <c r="A651" s="219"/>
    </row>
    <row r="652" spans="1:1" ht="15.6" x14ac:dyDescent="0.3">
      <c r="A652" s="219"/>
    </row>
    <row r="653" spans="1:1" ht="15.6" x14ac:dyDescent="0.3">
      <c r="A653" s="219"/>
    </row>
    <row r="654" spans="1:1" ht="15.6" x14ac:dyDescent="0.3">
      <c r="A654" s="219"/>
    </row>
    <row r="655" spans="1:1" ht="15.6" x14ac:dyDescent="0.3">
      <c r="A655" s="219"/>
    </row>
    <row r="656" spans="1:1" ht="15.6" x14ac:dyDescent="0.3">
      <c r="A656" s="219"/>
    </row>
    <row r="657" spans="1:1" ht="15.6" x14ac:dyDescent="0.3">
      <c r="A657" s="219"/>
    </row>
    <row r="658" spans="1:1" ht="15.6" x14ac:dyDescent="0.3">
      <c r="A658" s="219"/>
    </row>
    <row r="659" spans="1:1" ht="15.6" x14ac:dyDescent="0.3">
      <c r="A659" s="219"/>
    </row>
    <row r="660" spans="1:1" ht="15.6" x14ac:dyDescent="0.3">
      <c r="A660" s="219"/>
    </row>
    <row r="661" spans="1:1" ht="15.6" x14ac:dyDescent="0.3">
      <c r="A661" s="219"/>
    </row>
    <row r="662" spans="1:1" ht="15.6" x14ac:dyDescent="0.3">
      <c r="A662" s="219"/>
    </row>
    <row r="663" spans="1:1" ht="15.6" x14ac:dyDescent="0.3">
      <c r="A663" s="219"/>
    </row>
    <row r="664" spans="1:1" ht="15.6" x14ac:dyDescent="0.3">
      <c r="A664" s="219"/>
    </row>
    <row r="665" spans="1:1" ht="15.6" x14ac:dyDescent="0.3">
      <c r="A665" s="219"/>
    </row>
    <row r="666" spans="1:1" ht="15.6" x14ac:dyDescent="0.3">
      <c r="A666" s="219"/>
    </row>
    <row r="667" spans="1:1" ht="15.6" x14ac:dyDescent="0.3">
      <c r="A667" s="219"/>
    </row>
    <row r="668" spans="1:1" ht="15.6" x14ac:dyDescent="0.3">
      <c r="A668" s="219"/>
    </row>
    <row r="669" spans="1:1" ht="15.6" x14ac:dyDescent="0.3">
      <c r="A669" s="219"/>
    </row>
    <row r="670" spans="1:1" ht="15.6" x14ac:dyDescent="0.3">
      <c r="A670" s="219"/>
    </row>
    <row r="671" spans="1:1" ht="15.6" x14ac:dyDescent="0.3">
      <c r="A671" s="219"/>
    </row>
    <row r="672" spans="1:1" ht="15.6" x14ac:dyDescent="0.3">
      <c r="A672" s="219"/>
    </row>
    <row r="673" spans="1:1" ht="15.6" x14ac:dyDescent="0.3">
      <c r="A673" s="219"/>
    </row>
    <row r="674" spans="1:1" ht="15.6" x14ac:dyDescent="0.3">
      <c r="A674" s="219"/>
    </row>
    <row r="675" spans="1:1" ht="15.6" x14ac:dyDescent="0.3">
      <c r="A675" s="219"/>
    </row>
    <row r="676" spans="1:1" ht="15.6" x14ac:dyDescent="0.3">
      <c r="A676" s="219"/>
    </row>
    <row r="677" spans="1:1" ht="15.6" x14ac:dyDescent="0.3">
      <c r="A677" s="219"/>
    </row>
    <row r="678" spans="1:1" ht="15.6" x14ac:dyDescent="0.3">
      <c r="A678" s="219"/>
    </row>
    <row r="679" spans="1:1" ht="15.6" x14ac:dyDescent="0.3">
      <c r="A679" s="219"/>
    </row>
    <row r="680" spans="1:1" ht="15.6" x14ac:dyDescent="0.3">
      <c r="A680" s="219"/>
    </row>
    <row r="681" spans="1:1" ht="15.6" x14ac:dyDescent="0.3">
      <c r="A681" s="219"/>
    </row>
    <row r="682" spans="1:1" ht="15.6" x14ac:dyDescent="0.3">
      <c r="A682" s="219"/>
    </row>
    <row r="683" spans="1:1" ht="15.6" x14ac:dyDescent="0.3">
      <c r="A683" s="219"/>
    </row>
    <row r="684" spans="1:1" ht="15.6" x14ac:dyDescent="0.3">
      <c r="A684" s="219"/>
    </row>
    <row r="685" spans="1:1" ht="15.6" x14ac:dyDescent="0.3">
      <c r="A685" s="219"/>
    </row>
    <row r="686" spans="1:1" ht="15.6" x14ac:dyDescent="0.3">
      <c r="A686" s="219"/>
    </row>
    <row r="687" spans="1:1" ht="15.6" x14ac:dyDescent="0.3">
      <c r="A687" s="219"/>
    </row>
    <row r="688" spans="1:1" ht="15.6" x14ac:dyDescent="0.3">
      <c r="A688" s="219"/>
    </row>
    <row r="689" spans="1:1" ht="15.6" x14ac:dyDescent="0.3">
      <c r="A689" s="219"/>
    </row>
    <row r="690" spans="1:1" ht="15.6" x14ac:dyDescent="0.3">
      <c r="A690" s="219"/>
    </row>
    <row r="691" spans="1:1" ht="15.6" x14ac:dyDescent="0.3">
      <c r="A691" s="219"/>
    </row>
    <row r="692" spans="1:1" ht="15.6" x14ac:dyDescent="0.3">
      <c r="A692" s="219"/>
    </row>
    <row r="693" spans="1:1" ht="15.6" x14ac:dyDescent="0.3">
      <c r="A693" s="219"/>
    </row>
    <row r="694" spans="1:1" ht="15.6" x14ac:dyDescent="0.3">
      <c r="A694" s="219"/>
    </row>
    <row r="695" spans="1:1" ht="15.6" x14ac:dyDescent="0.3">
      <c r="A695" s="219"/>
    </row>
    <row r="696" spans="1:1" ht="15.6" x14ac:dyDescent="0.3">
      <c r="A696" s="219"/>
    </row>
    <row r="697" spans="1:1" ht="15.6" x14ac:dyDescent="0.3">
      <c r="A697" s="219"/>
    </row>
    <row r="698" spans="1:1" ht="15.6" x14ac:dyDescent="0.3">
      <c r="A698" s="219"/>
    </row>
    <row r="699" spans="1:1" ht="15.6" x14ac:dyDescent="0.3">
      <c r="A699" s="219"/>
    </row>
    <row r="700" spans="1:1" ht="15.6" x14ac:dyDescent="0.3">
      <c r="A700" s="219"/>
    </row>
    <row r="701" spans="1:1" ht="15.6" x14ac:dyDescent="0.3">
      <c r="A701" s="219"/>
    </row>
    <row r="702" spans="1:1" ht="15.6" x14ac:dyDescent="0.3">
      <c r="A702" s="219"/>
    </row>
    <row r="703" spans="1:1" ht="15.6" x14ac:dyDescent="0.3">
      <c r="A703" s="219"/>
    </row>
    <row r="704" spans="1:1" ht="15.6" x14ac:dyDescent="0.3">
      <c r="A704" s="219"/>
    </row>
    <row r="705" spans="1:1" ht="15.6" x14ac:dyDescent="0.3">
      <c r="A705" s="219"/>
    </row>
    <row r="706" spans="1:1" ht="15.6" x14ac:dyDescent="0.3">
      <c r="A706" s="219"/>
    </row>
    <row r="707" spans="1:1" ht="15.6" x14ac:dyDescent="0.3">
      <c r="A707" s="219"/>
    </row>
    <row r="708" spans="1:1" ht="15.6" x14ac:dyDescent="0.3">
      <c r="A708" s="219"/>
    </row>
    <row r="709" spans="1:1" ht="15.6" x14ac:dyDescent="0.3">
      <c r="A709" s="219"/>
    </row>
    <row r="710" spans="1:1" ht="15.6" x14ac:dyDescent="0.3">
      <c r="A710" s="219"/>
    </row>
    <row r="711" spans="1:1" ht="15.6" x14ac:dyDescent="0.3">
      <c r="A711" s="219"/>
    </row>
    <row r="712" spans="1:1" ht="15.6" x14ac:dyDescent="0.3">
      <c r="A712" s="219"/>
    </row>
    <row r="713" spans="1:1" ht="15.6" x14ac:dyDescent="0.3">
      <c r="A713" s="219"/>
    </row>
    <row r="714" spans="1:1" ht="15.6" x14ac:dyDescent="0.3">
      <c r="A714" s="219"/>
    </row>
    <row r="715" spans="1:1" ht="15.6" x14ac:dyDescent="0.3">
      <c r="A715" s="219"/>
    </row>
    <row r="716" spans="1:1" ht="15.6" x14ac:dyDescent="0.3">
      <c r="A716" s="219"/>
    </row>
    <row r="717" spans="1:1" ht="15.6" x14ac:dyDescent="0.3">
      <c r="A717" s="219"/>
    </row>
    <row r="718" spans="1:1" ht="15.6" x14ac:dyDescent="0.3">
      <c r="A718" s="219"/>
    </row>
    <row r="719" spans="1:1" ht="15.6" x14ac:dyDescent="0.3">
      <c r="A719" s="219"/>
    </row>
    <row r="720" spans="1:1" ht="15.6" x14ac:dyDescent="0.3">
      <c r="A720" s="219"/>
    </row>
    <row r="721" spans="1:1" ht="15.6" x14ac:dyDescent="0.3">
      <c r="A721" s="219"/>
    </row>
    <row r="722" spans="1:1" ht="15.6" x14ac:dyDescent="0.3">
      <c r="A722" s="219"/>
    </row>
    <row r="723" spans="1:1" ht="15.6" x14ac:dyDescent="0.3">
      <c r="A723" s="219"/>
    </row>
    <row r="724" spans="1:1" ht="15.6" x14ac:dyDescent="0.3">
      <c r="A724" s="219"/>
    </row>
    <row r="725" spans="1:1" ht="15.6" x14ac:dyDescent="0.3">
      <c r="A725" s="219"/>
    </row>
    <row r="726" spans="1:1" ht="15.6" x14ac:dyDescent="0.3">
      <c r="A726" s="219"/>
    </row>
    <row r="727" spans="1:1" ht="15.6" x14ac:dyDescent="0.3">
      <c r="A727" s="219"/>
    </row>
    <row r="728" spans="1:1" ht="15.6" x14ac:dyDescent="0.3">
      <c r="A728" s="219"/>
    </row>
    <row r="729" spans="1:1" ht="15.6" x14ac:dyDescent="0.3">
      <c r="A729" s="219"/>
    </row>
    <row r="730" spans="1:1" ht="15.6" x14ac:dyDescent="0.3">
      <c r="A730" s="219"/>
    </row>
    <row r="731" spans="1:1" ht="15.6" x14ac:dyDescent="0.3">
      <c r="A731" s="219"/>
    </row>
    <row r="732" spans="1:1" ht="15.6" x14ac:dyDescent="0.3">
      <c r="A732" s="219"/>
    </row>
    <row r="733" spans="1:1" ht="15.6" x14ac:dyDescent="0.3">
      <c r="A733" s="219"/>
    </row>
    <row r="734" spans="1:1" ht="15.6" x14ac:dyDescent="0.3">
      <c r="A734" s="219"/>
    </row>
    <row r="735" spans="1:1" ht="15.6" x14ac:dyDescent="0.3">
      <c r="A735" s="219"/>
    </row>
    <row r="736" spans="1:1" ht="15.6" x14ac:dyDescent="0.3">
      <c r="A736" s="219"/>
    </row>
    <row r="737" spans="1:1" ht="15.6" x14ac:dyDescent="0.3">
      <c r="A737" s="219"/>
    </row>
    <row r="738" spans="1:1" ht="15.6" x14ac:dyDescent="0.3">
      <c r="A738" s="219"/>
    </row>
    <row r="739" spans="1:1" ht="15.6" x14ac:dyDescent="0.3">
      <c r="A739" s="219"/>
    </row>
    <row r="740" spans="1:1" ht="15.6" x14ac:dyDescent="0.3">
      <c r="A740" s="219"/>
    </row>
    <row r="741" spans="1:1" ht="15.6" x14ac:dyDescent="0.3">
      <c r="A741" s="219"/>
    </row>
    <row r="742" spans="1:1" ht="15.6" x14ac:dyDescent="0.3">
      <c r="A742" s="219"/>
    </row>
    <row r="743" spans="1:1" ht="15.6" x14ac:dyDescent="0.3">
      <c r="A743" s="219"/>
    </row>
    <row r="744" spans="1:1" ht="15.6" x14ac:dyDescent="0.3">
      <c r="A744" s="219"/>
    </row>
    <row r="745" spans="1:1" ht="15.6" x14ac:dyDescent="0.3">
      <c r="A745" s="219"/>
    </row>
    <row r="746" spans="1:1" ht="15.6" x14ac:dyDescent="0.3">
      <c r="A746" s="219"/>
    </row>
    <row r="747" spans="1:1" ht="15.6" x14ac:dyDescent="0.3">
      <c r="A747" s="219"/>
    </row>
    <row r="748" spans="1:1" ht="15.6" x14ac:dyDescent="0.3">
      <c r="A748" s="219"/>
    </row>
    <row r="749" spans="1:1" ht="15.6" x14ac:dyDescent="0.3">
      <c r="A749" s="219"/>
    </row>
    <row r="750" spans="1:1" ht="15.6" x14ac:dyDescent="0.3">
      <c r="A750" s="219"/>
    </row>
    <row r="751" spans="1:1" ht="15.6" x14ac:dyDescent="0.3">
      <c r="A751" s="219"/>
    </row>
    <row r="752" spans="1:1" ht="15.6" x14ac:dyDescent="0.3">
      <c r="A752" s="219"/>
    </row>
    <row r="753" spans="1:1" ht="15.6" x14ac:dyDescent="0.3">
      <c r="A753" s="219"/>
    </row>
    <row r="754" spans="1:1" ht="15.6" x14ac:dyDescent="0.3">
      <c r="A754" s="219"/>
    </row>
    <row r="755" spans="1:1" ht="15.6" x14ac:dyDescent="0.3">
      <c r="A755" s="219"/>
    </row>
    <row r="756" spans="1:1" ht="15.6" x14ac:dyDescent="0.3">
      <c r="A756" s="219"/>
    </row>
    <row r="757" spans="1:1" ht="15.6" x14ac:dyDescent="0.3">
      <c r="A757" s="219"/>
    </row>
    <row r="758" spans="1:1" ht="15.6" x14ac:dyDescent="0.3">
      <c r="A758" s="219"/>
    </row>
    <row r="759" spans="1:1" ht="15.6" x14ac:dyDescent="0.3">
      <c r="A759" s="219"/>
    </row>
    <row r="760" spans="1:1" ht="15.6" x14ac:dyDescent="0.3">
      <c r="A760" s="219"/>
    </row>
    <row r="761" spans="1:1" ht="15.6" x14ac:dyDescent="0.3">
      <c r="A761" s="219"/>
    </row>
    <row r="762" spans="1:1" ht="15.6" x14ac:dyDescent="0.3">
      <c r="A762" s="219"/>
    </row>
    <row r="763" spans="1:1" ht="15.6" x14ac:dyDescent="0.3">
      <c r="A763" s="219"/>
    </row>
    <row r="764" spans="1:1" ht="15.6" x14ac:dyDescent="0.3">
      <c r="A764" s="219"/>
    </row>
    <row r="765" spans="1:1" ht="15.6" x14ac:dyDescent="0.3">
      <c r="A765" s="219"/>
    </row>
    <row r="766" spans="1:1" ht="15.6" x14ac:dyDescent="0.3">
      <c r="A766" s="219"/>
    </row>
    <row r="767" spans="1:1" ht="15.6" x14ac:dyDescent="0.3">
      <c r="A767" s="219"/>
    </row>
    <row r="768" spans="1:1" ht="15.6" x14ac:dyDescent="0.3">
      <c r="A768" s="219"/>
    </row>
    <row r="769" spans="1:1" ht="15.6" x14ac:dyDescent="0.3">
      <c r="A769" s="219"/>
    </row>
    <row r="770" spans="1:1" ht="15.6" x14ac:dyDescent="0.3">
      <c r="A770" s="219"/>
    </row>
    <row r="771" spans="1:1" ht="15.6" x14ac:dyDescent="0.3">
      <c r="A771" s="219"/>
    </row>
    <row r="772" spans="1:1" ht="15.6" x14ac:dyDescent="0.3">
      <c r="A772" s="219"/>
    </row>
    <row r="773" spans="1:1" ht="15.6" x14ac:dyDescent="0.3">
      <c r="A773" s="219"/>
    </row>
    <row r="774" spans="1:1" ht="15.6" x14ac:dyDescent="0.3">
      <c r="A774" s="219"/>
    </row>
    <row r="775" spans="1:1" ht="15.6" x14ac:dyDescent="0.3">
      <c r="A775" s="219"/>
    </row>
    <row r="776" spans="1:1" ht="15.6" x14ac:dyDescent="0.3">
      <c r="A776" s="219"/>
    </row>
    <row r="777" spans="1:1" ht="15.6" x14ac:dyDescent="0.3">
      <c r="A777" s="219"/>
    </row>
    <row r="778" spans="1:1" ht="15.6" x14ac:dyDescent="0.3">
      <c r="A778" s="219"/>
    </row>
    <row r="779" spans="1:1" ht="15.6" x14ac:dyDescent="0.3">
      <c r="A779" s="219"/>
    </row>
    <row r="780" spans="1:1" ht="15.6" x14ac:dyDescent="0.3">
      <c r="A780" s="219"/>
    </row>
    <row r="781" spans="1:1" ht="15.6" x14ac:dyDescent="0.3">
      <c r="A781" s="219"/>
    </row>
    <row r="782" spans="1:1" ht="15.6" x14ac:dyDescent="0.3">
      <c r="A782" s="219"/>
    </row>
    <row r="783" spans="1:1" ht="15.6" x14ac:dyDescent="0.3">
      <c r="A783" s="219"/>
    </row>
    <row r="784" spans="1:1" ht="15.6" x14ac:dyDescent="0.3">
      <c r="A784" s="219"/>
    </row>
    <row r="785" spans="1:1" ht="15.6" x14ac:dyDescent="0.3">
      <c r="A785" s="219"/>
    </row>
    <row r="786" spans="1:1" ht="15.6" x14ac:dyDescent="0.3">
      <c r="A786" s="219"/>
    </row>
    <row r="787" spans="1:1" ht="15.6" x14ac:dyDescent="0.3">
      <c r="A787" s="219"/>
    </row>
    <row r="788" spans="1:1" ht="15.6" x14ac:dyDescent="0.3">
      <c r="A788" s="219"/>
    </row>
    <row r="789" spans="1:1" ht="15.6" x14ac:dyDescent="0.3">
      <c r="A789" s="219"/>
    </row>
    <row r="790" spans="1:1" ht="15.6" x14ac:dyDescent="0.3">
      <c r="A790" s="219"/>
    </row>
    <row r="791" spans="1:1" ht="15.6" x14ac:dyDescent="0.3">
      <c r="A791" s="219"/>
    </row>
    <row r="792" spans="1:1" ht="15.6" x14ac:dyDescent="0.3">
      <c r="A792" s="219"/>
    </row>
    <row r="793" spans="1:1" ht="15.6" x14ac:dyDescent="0.3">
      <c r="A793" s="219"/>
    </row>
    <row r="794" spans="1:1" ht="15.6" x14ac:dyDescent="0.3">
      <c r="A794" s="219"/>
    </row>
    <row r="795" spans="1:1" ht="15.6" x14ac:dyDescent="0.3">
      <c r="A795" s="219"/>
    </row>
    <row r="796" spans="1:1" ht="15.6" x14ac:dyDescent="0.3">
      <c r="A796" s="219"/>
    </row>
    <row r="797" spans="1:1" ht="15.6" x14ac:dyDescent="0.3">
      <c r="A797" s="219"/>
    </row>
    <row r="798" spans="1:1" ht="15.6" x14ac:dyDescent="0.3">
      <c r="A798" s="219"/>
    </row>
    <row r="799" spans="1:1" ht="15.6" x14ac:dyDescent="0.3">
      <c r="A799" s="219"/>
    </row>
    <row r="800" spans="1:1" ht="15.6" x14ac:dyDescent="0.3">
      <c r="A800" s="219"/>
    </row>
    <row r="801" spans="1:1" ht="15.6" x14ac:dyDescent="0.3">
      <c r="A801" s="219"/>
    </row>
    <row r="802" spans="1:1" ht="15.6" x14ac:dyDescent="0.3">
      <c r="A802" s="219"/>
    </row>
    <row r="803" spans="1:1" ht="15.6" x14ac:dyDescent="0.3">
      <c r="A803" s="219"/>
    </row>
    <row r="804" spans="1:1" ht="15.6" x14ac:dyDescent="0.3">
      <c r="A804" s="219"/>
    </row>
    <row r="805" spans="1:1" ht="15.6" x14ac:dyDescent="0.3">
      <c r="A805" s="219"/>
    </row>
    <row r="806" spans="1:1" ht="15.6" x14ac:dyDescent="0.3">
      <c r="A806" s="219"/>
    </row>
    <row r="807" spans="1:1" ht="15.6" x14ac:dyDescent="0.3">
      <c r="A807" s="219"/>
    </row>
    <row r="808" spans="1:1" ht="15.6" x14ac:dyDescent="0.3">
      <c r="A808" s="219"/>
    </row>
    <row r="809" spans="1:1" ht="15.6" x14ac:dyDescent="0.3">
      <c r="A809" s="219"/>
    </row>
    <row r="810" spans="1:1" ht="15.6" x14ac:dyDescent="0.3">
      <c r="A810" s="219"/>
    </row>
    <row r="811" spans="1:1" ht="15.6" x14ac:dyDescent="0.3">
      <c r="A811" s="219"/>
    </row>
    <row r="812" spans="1:1" ht="15.6" x14ac:dyDescent="0.3">
      <c r="A812" s="219"/>
    </row>
    <row r="813" spans="1:1" ht="15.6" x14ac:dyDescent="0.3">
      <c r="A813" s="219"/>
    </row>
    <row r="814" spans="1:1" ht="15.6" x14ac:dyDescent="0.3">
      <c r="A814" s="219"/>
    </row>
    <row r="815" spans="1:1" ht="15.6" x14ac:dyDescent="0.3">
      <c r="A815" s="219"/>
    </row>
    <row r="816" spans="1:1" ht="15.6" x14ac:dyDescent="0.3">
      <c r="A816" s="219"/>
    </row>
    <row r="817" spans="1:1" ht="15.6" x14ac:dyDescent="0.3">
      <c r="A817" s="219"/>
    </row>
    <row r="818" spans="1:1" ht="15.6" x14ac:dyDescent="0.3">
      <c r="A818" s="219"/>
    </row>
    <row r="819" spans="1:1" ht="15.6" x14ac:dyDescent="0.3">
      <c r="A819" s="219"/>
    </row>
    <row r="820" spans="1:1" ht="15.6" x14ac:dyDescent="0.3">
      <c r="A820" s="219"/>
    </row>
    <row r="821" spans="1:1" ht="15.6" x14ac:dyDescent="0.3">
      <c r="A821" s="219"/>
    </row>
    <row r="822" spans="1:1" ht="15.6" x14ac:dyDescent="0.3">
      <c r="A822" s="219"/>
    </row>
    <row r="823" spans="1:1" ht="15.6" x14ac:dyDescent="0.3">
      <c r="A823" s="219"/>
    </row>
    <row r="824" spans="1:1" ht="15.6" x14ac:dyDescent="0.3">
      <c r="A824" s="219"/>
    </row>
    <row r="825" spans="1:1" ht="15.6" x14ac:dyDescent="0.3">
      <c r="A825" s="219"/>
    </row>
    <row r="826" spans="1:1" ht="15.6" x14ac:dyDescent="0.3">
      <c r="A826" s="219"/>
    </row>
    <row r="827" spans="1:1" ht="15.6" x14ac:dyDescent="0.3">
      <c r="A827" s="219"/>
    </row>
    <row r="828" spans="1:1" ht="15.6" x14ac:dyDescent="0.3">
      <c r="A828" s="219"/>
    </row>
    <row r="829" spans="1:1" ht="15.6" x14ac:dyDescent="0.3">
      <c r="A829" s="219"/>
    </row>
    <row r="830" spans="1:1" ht="15.6" x14ac:dyDescent="0.3">
      <c r="A830" s="219"/>
    </row>
    <row r="831" spans="1:1" ht="15.6" x14ac:dyDescent="0.3">
      <c r="A831" s="219"/>
    </row>
    <row r="832" spans="1:1" ht="15.6" x14ac:dyDescent="0.3">
      <c r="A832" s="219"/>
    </row>
    <row r="833" spans="1:1" ht="15.6" x14ac:dyDescent="0.3">
      <c r="A833" s="219"/>
    </row>
    <row r="834" spans="1:1" ht="15.6" x14ac:dyDescent="0.3">
      <c r="A834" s="219"/>
    </row>
    <row r="835" spans="1:1" ht="15.6" x14ac:dyDescent="0.3">
      <c r="A835" s="219"/>
    </row>
    <row r="836" spans="1:1" ht="15.6" x14ac:dyDescent="0.3">
      <c r="A836" s="219"/>
    </row>
    <row r="837" spans="1:1" ht="15.6" x14ac:dyDescent="0.3">
      <c r="A837" s="219"/>
    </row>
    <row r="838" spans="1:1" ht="15.6" x14ac:dyDescent="0.3">
      <c r="A838" s="219"/>
    </row>
    <row r="839" spans="1:1" ht="15.6" x14ac:dyDescent="0.3">
      <c r="A839" s="219"/>
    </row>
    <row r="840" spans="1:1" ht="15.6" x14ac:dyDescent="0.3">
      <c r="A840" s="219"/>
    </row>
    <row r="841" spans="1:1" ht="15.6" x14ac:dyDescent="0.3">
      <c r="A841" s="219"/>
    </row>
    <row r="842" spans="1:1" ht="15.6" x14ac:dyDescent="0.3">
      <c r="A842" s="219"/>
    </row>
    <row r="843" spans="1:1" ht="15.6" x14ac:dyDescent="0.3">
      <c r="A843" s="219"/>
    </row>
    <row r="844" spans="1:1" ht="15.6" x14ac:dyDescent="0.3">
      <c r="A844" s="219"/>
    </row>
    <row r="845" spans="1:1" ht="15.6" x14ac:dyDescent="0.3">
      <c r="A845" s="219"/>
    </row>
    <row r="846" spans="1:1" ht="15.6" x14ac:dyDescent="0.3">
      <c r="A846" s="219"/>
    </row>
    <row r="847" spans="1:1" ht="15.6" x14ac:dyDescent="0.3">
      <c r="A847" s="219"/>
    </row>
    <row r="848" spans="1:1" ht="15.6" x14ac:dyDescent="0.3">
      <c r="A848" s="219"/>
    </row>
    <row r="849" spans="1:1" ht="15.6" x14ac:dyDescent="0.3">
      <c r="A849" s="219"/>
    </row>
    <row r="850" spans="1:1" ht="15.6" x14ac:dyDescent="0.3">
      <c r="A850" s="219"/>
    </row>
    <row r="851" spans="1:1" ht="15.6" x14ac:dyDescent="0.3">
      <c r="A851" s="219"/>
    </row>
    <row r="852" spans="1:1" ht="15.6" x14ac:dyDescent="0.3">
      <c r="A852" s="219"/>
    </row>
    <row r="853" spans="1:1" ht="15.6" x14ac:dyDescent="0.3">
      <c r="A853" s="219"/>
    </row>
    <row r="854" spans="1:1" ht="15.6" x14ac:dyDescent="0.3">
      <c r="A854" s="219"/>
    </row>
    <row r="855" spans="1:1" ht="15.6" x14ac:dyDescent="0.3">
      <c r="A855" s="219"/>
    </row>
    <row r="856" spans="1:1" ht="15.6" x14ac:dyDescent="0.3">
      <c r="A856" s="219"/>
    </row>
    <row r="857" spans="1:1" ht="15.6" x14ac:dyDescent="0.3">
      <c r="A857" s="219"/>
    </row>
    <row r="858" spans="1:1" ht="15.6" x14ac:dyDescent="0.3">
      <c r="A858" s="219"/>
    </row>
    <row r="859" spans="1:1" ht="15.6" x14ac:dyDescent="0.3">
      <c r="A859" s="219"/>
    </row>
    <row r="860" spans="1:1" ht="15.6" x14ac:dyDescent="0.3">
      <c r="A860" s="219"/>
    </row>
    <row r="861" spans="1:1" ht="15.6" x14ac:dyDescent="0.3">
      <c r="A861" s="219"/>
    </row>
    <row r="862" spans="1:1" ht="15.6" x14ac:dyDescent="0.3">
      <c r="A862" s="219"/>
    </row>
    <row r="863" spans="1:1" ht="15.6" x14ac:dyDescent="0.3">
      <c r="A863" s="219"/>
    </row>
    <row r="864" spans="1:1" ht="15.6" x14ac:dyDescent="0.3">
      <c r="A864" s="219"/>
    </row>
    <row r="865" spans="1:1" ht="15.6" x14ac:dyDescent="0.3">
      <c r="A865" s="219"/>
    </row>
    <row r="866" spans="1:1" ht="15.6" x14ac:dyDescent="0.3">
      <c r="A866" s="219"/>
    </row>
    <row r="867" spans="1:1" ht="15.6" x14ac:dyDescent="0.3">
      <c r="A867" s="219"/>
    </row>
    <row r="868" spans="1:1" ht="15.6" x14ac:dyDescent="0.3">
      <c r="A868" s="219"/>
    </row>
    <row r="869" spans="1:1" ht="15.6" x14ac:dyDescent="0.3">
      <c r="A869" s="219"/>
    </row>
    <row r="870" spans="1:1" ht="15.6" x14ac:dyDescent="0.3">
      <c r="A870" s="219"/>
    </row>
    <row r="871" spans="1:1" ht="15.6" x14ac:dyDescent="0.3">
      <c r="A871" s="219"/>
    </row>
    <row r="872" spans="1:1" ht="15.6" x14ac:dyDescent="0.3">
      <c r="A872" s="219"/>
    </row>
    <row r="873" spans="1:1" ht="15.6" x14ac:dyDescent="0.3">
      <c r="A873" s="219"/>
    </row>
    <row r="874" spans="1:1" ht="15.6" x14ac:dyDescent="0.3">
      <c r="A874" s="219"/>
    </row>
    <row r="875" spans="1:1" ht="15.6" x14ac:dyDescent="0.3">
      <c r="A875" s="219"/>
    </row>
    <row r="876" spans="1:1" ht="15.6" x14ac:dyDescent="0.3">
      <c r="A876" s="219"/>
    </row>
    <row r="877" spans="1:1" ht="15.6" x14ac:dyDescent="0.3">
      <c r="A877" s="219"/>
    </row>
    <row r="878" spans="1:1" ht="15.6" x14ac:dyDescent="0.3">
      <c r="A878" s="219"/>
    </row>
    <row r="879" spans="1:1" ht="15.6" x14ac:dyDescent="0.3">
      <c r="A879" s="219"/>
    </row>
    <row r="880" spans="1:1" ht="15.6" x14ac:dyDescent="0.3">
      <c r="A880" s="219"/>
    </row>
    <row r="881" spans="1:1" ht="15.6" x14ac:dyDescent="0.3">
      <c r="A881" s="219"/>
    </row>
    <row r="882" spans="1:1" ht="15.6" x14ac:dyDescent="0.3">
      <c r="A882" s="219"/>
    </row>
    <row r="883" spans="1:1" ht="15.6" x14ac:dyDescent="0.3">
      <c r="A883" s="219"/>
    </row>
    <row r="884" spans="1:1" ht="15.6" x14ac:dyDescent="0.3">
      <c r="A884" s="219"/>
    </row>
    <row r="885" spans="1:1" ht="15.6" x14ac:dyDescent="0.3">
      <c r="A885" s="219"/>
    </row>
    <row r="886" spans="1:1" ht="15.6" x14ac:dyDescent="0.3">
      <c r="A886" s="219"/>
    </row>
    <row r="887" spans="1:1" ht="15.6" x14ac:dyDescent="0.3">
      <c r="A887" s="219"/>
    </row>
    <row r="888" spans="1:1" ht="15.6" x14ac:dyDescent="0.3">
      <c r="A888" s="219"/>
    </row>
    <row r="889" spans="1:1" ht="15.6" x14ac:dyDescent="0.3">
      <c r="A889" s="219"/>
    </row>
    <row r="890" spans="1:1" ht="15.6" x14ac:dyDescent="0.3">
      <c r="A890" s="219"/>
    </row>
    <row r="891" spans="1:1" ht="15.6" x14ac:dyDescent="0.3">
      <c r="A891" s="219"/>
    </row>
    <row r="892" spans="1:1" ht="15.6" x14ac:dyDescent="0.3">
      <c r="A892" s="219"/>
    </row>
    <row r="893" spans="1:1" ht="15.6" x14ac:dyDescent="0.3">
      <c r="A893" s="219"/>
    </row>
    <row r="894" spans="1:1" ht="15.6" x14ac:dyDescent="0.3">
      <c r="A894" s="219"/>
    </row>
    <row r="895" spans="1:1" ht="15.6" x14ac:dyDescent="0.3">
      <c r="A895" s="219"/>
    </row>
    <row r="896" spans="1:1" ht="15.6" x14ac:dyDescent="0.3">
      <c r="A896" s="219"/>
    </row>
    <row r="897" spans="1:1" ht="15.6" x14ac:dyDescent="0.3">
      <c r="A897" s="219"/>
    </row>
    <row r="898" spans="1:1" ht="15.6" x14ac:dyDescent="0.3">
      <c r="A898" s="219"/>
    </row>
    <row r="899" spans="1:1" ht="15.6" x14ac:dyDescent="0.3">
      <c r="A899" s="219"/>
    </row>
    <row r="900" spans="1:1" ht="15.6" x14ac:dyDescent="0.3">
      <c r="A900" s="219"/>
    </row>
    <row r="901" spans="1:1" ht="15.6" x14ac:dyDescent="0.3">
      <c r="A901" s="219"/>
    </row>
    <row r="902" spans="1:1" ht="15.6" x14ac:dyDescent="0.3">
      <c r="A902" s="219"/>
    </row>
    <row r="903" spans="1:1" ht="15.6" x14ac:dyDescent="0.3">
      <c r="A903" s="219"/>
    </row>
    <row r="904" spans="1:1" ht="15.6" x14ac:dyDescent="0.3">
      <c r="A904" s="219"/>
    </row>
    <row r="905" spans="1:1" ht="15.6" x14ac:dyDescent="0.3">
      <c r="A905" s="219"/>
    </row>
    <row r="906" spans="1:1" ht="15.6" x14ac:dyDescent="0.3">
      <c r="A906" s="219"/>
    </row>
    <row r="907" spans="1:1" ht="15.6" x14ac:dyDescent="0.3">
      <c r="A907" s="219"/>
    </row>
    <row r="908" spans="1:1" ht="15.6" x14ac:dyDescent="0.3">
      <c r="A908" s="219"/>
    </row>
    <row r="909" spans="1:1" ht="15.6" x14ac:dyDescent="0.3">
      <c r="A909" s="219"/>
    </row>
    <row r="910" spans="1:1" ht="15.6" x14ac:dyDescent="0.3">
      <c r="A910" s="219"/>
    </row>
    <row r="911" spans="1:1" ht="15.6" x14ac:dyDescent="0.3">
      <c r="A911" s="219"/>
    </row>
    <row r="912" spans="1:1" ht="15.6" x14ac:dyDescent="0.3">
      <c r="A912" s="219"/>
    </row>
    <row r="913" spans="1:1" ht="15.6" x14ac:dyDescent="0.3">
      <c r="A913" s="219"/>
    </row>
    <row r="914" spans="1:1" ht="15.6" x14ac:dyDescent="0.3">
      <c r="A914" s="219"/>
    </row>
    <row r="915" spans="1:1" ht="15.6" x14ac:dyDescent="0.3">
      <c r="A915" s="219"/>
    </row>
    <row r="916" spans="1:1" ht="15.6" x14ac:dyDescent="0.3">
      <c r="A916" s="219"/>
    </row>
    <row r="917" spans="1:1" ht="15.6" x14ac:dyDescent="0.3">
      <c r="A917" s="219"/>
    </row>
    <row r="918" spans="1:1" ht="15.6" x14ac:dyDescent="0.3">
      <c r="A918" s="219"/>
    </row>
    <row r="919" spans="1:1" ht="15.6" x14ac:dyDescent="0.3">
      <c r="A919" s="219"/>
    </row>
    <row r="920" spans="1:1" ht="15.6" x14ac:dyDescent="0.3">
      <c r="A920" s="219"/>
    </row>
    <row r="921" spans="1:1" ht="15.6" x14ac:dyDescent="0.3">
      <c r="A921" s="219"/>
    </row>
    <row r="922" spans="1:1" ht="15.6" x14ac:dyDescent="0.3">
      <c r="A922" s="219"/>
    </row>
    <row r="923" spans="1:1" ht="15.6" x14ac:dyDescent="0.3">
      <c r="A923" s="219"/>
    </row>
    <row r="924" spans="1:1" ht="15.6" x14ac:dyDescent="0.3">
      <c r="A924" s="219"/>
    </row>
    <row r="925" spans="1:1" ht="15.6" x14ac:dyDescent="0.3">
      <c r="A925" s="219"/>
    </row>
    <row r="926" spans="1:1" ht="15.6" x14ac:dyDescent="0.3">
      <c r="A926" s="219"/>
    </row>
    <row r="927" spans="1:1" ht="15.6" x14ac:dyDescent="0.3">
      <c r="A927" s="219"/>
    </row>
    <row r="928" spans="1:1" ht="15.6" x14ac:dyDescent="0.3">
      <c r="A928" s="219"/>
    </row>
    <row r="929" spans="1:1" ht="15.6" x14ac:dyDescent="0.3">
      <c r="A929" s="219"/>
    </row>
    <row r="930" spans="1:1" ht="15.6" x14ac:dyDescent="0.3">
      <c r="A930" s="219"/>
    </row>
    <row r="931" spans="1:1" ht="15.6" x14ac:dyDescent="0.3">
      <c r="A931" s="219"/>
    </row>
    <row r="932" spans="1:1" ht="15.6" x14ac:dyDescent="0.3">
      <c r="A932" s="219"/>
    </row>
    <row r="933" spans="1:1" ht="15.6" x14ac:dyDescent="0.3">
      <c r="A933" s="219"/>
    </row>
    <row r="934" spans="1:1" ht="15.6" x14ac:dyDescent="0.3">
      <c r="A934" s="219"/>
    </row>
    <row r="935" spans="1:1" ht="15.6" x14ac:dyDescent="0.3">
      <c r="A935" s="219"/>
    </row>
    <row r="936" spans="1:1" ht="15.6" x14ac:dyDescent="0.3">
      <c r="A936" s="219"/>
    </row>
    <row r="937" spans="1:1" ht="15.6" x14ac:dyDescent="0.3">
      <c r="A937" s="219"/>
    </row>
    <row r="938" spans="1:1" ht="15.6" x14ac:dyDescent="0.3">
      <c r="A938" s="219"/>
    </row>
    <row r="939" spans="1:1" ht="15.6" x14ac:dyDescent="0.3">
      <c r="A939" s="219"/>
    </row>
    <row r="940" spans="1:1" ht="15.6" x14ac:dyDescent="0.3">
      <c r="A940" s="219"/>
    </row>
    <row r="941" spans="1:1" ht="15.6" x14ac:dyDescent="0.3">
      <c r="A941" s="219"/>
    </row>
    <row r="942" spans="1:1" ht="15.6" x14ac:dyDescent="0.3">
      <c r="A942" s="219"/>
    </row>
    <row r="943" spans="1:1" ht="15.6" x14ac:dyDescent="0.3">
      <c r="A943" s="219"/>
    </row>
    <row r="944" spans="1:1" ht="15.6" x14ac:dyDescent="0.3">
      <c r="A944" s="219"/>
    </row>
    <row r="945" spans="1:1" ht="15.6" x14ac:dyDescent="0.3">
      <c r="A945" s="219"/>
    </row>
    <row r="946" spans="1:1" ht="15.6" x14ac:dyDescent="0.3">
      <c r="A946" s="219"/>
    </row>
    <row r="947" spans="1:1" ht="15.6" x14ac:dyDescent="0.3">
      <c r="A947" s="219"/>
    </row>
    <row r="948" spans="1:1" ht="15.6" x14ac:dyDescent="0.3">
      <c r="A948" s="219"/>
    </row>
    <row r="949" spans="1:1" ht="15.6" x14ac:dyDescent="0.3">
      <c r="A949" s="219"/>
    </row>
    <row r="950" spans="1:1" ht="15.6" x14ac:dyDescent="0.3">
      <c r="A950" s="219"/>
    </row>
    <row r="951" spans="1:1" ht="15.6" x14ac:dyDescent="0.3">
      <c r="A951" s="219"/>
    </row>
    <row r="952" spans="1:1" ht="15.6" x14ac:dyDescent="0.3">
      <c r="A952" s="219"/>
    </row>
    <row r="953" spans="1:1" ht="15.6" x14ac:dyDescent="0.3">
      <c r="A953" s="219"/>
    </row>
    <row r="954" spans="1:1" ht="15.6" x14ac:dyDescent="0.3">
      <c r="A954" s="219"/>
    </row>
    <row r="955" spans="1:1" ht="15.6" x14ac:dyDescent="0.3">
      <c r="A955" s="219"/>
    </row>
    <row r="956" spans="1:1" ht="15.6" x14ac:dyDescent="0.3">
      <c r="A956" s="219"/>
    </row>
    <row r="957" spans="1:1" ht="15.6" x14ac:dyDescent="0.3">
      <c r="A957" s="219"/>
    </row>
    <row r="958" spans="1:1" ht="15.6" x14ac:dyDescent="0.3">
      <c r="A958" s="219"/>
    </row>
    <row r="959" spans="1:1" ht="15.6" x14ac:dyDescent="0.3">
      <c r="A959" s="219"/>
    </row>
    <row r="960" spans="1:1" ht="15.6" x14ac:dyDescent="0.3">
      <c r="A960" s="219"/>
    </row>
    <row r="961" spans="1:1" ht="15.6" x14ac:dyDescent="0.3">
      <c r="A961" s="219"/>
    </row>
    <row r="962" spans="1:1" ht="15.6" x14ac:dyDescent="0.3">
      <c r="A962" s="219"/>
    </row>
    <row r="963" spans="1:1" ht="15.6" x14ac:dyDescent="0.3">
      <c r="A963" s="219"/>
    </row>
    <row r="964" spans="1:1" ht="15.6" x14ac:dyDescent="0.3">
      <c r="A964" s="219"/>
    </row>
    <row r="965" spans="1:1" ht="15.6" x14ac:dyDescent="0.3">
      <c r="A965" s="219"/>
    </row>
    <row r="966" spans="1:1" ht="15.6" x14ac:dyDescent="0.3">
      <c r="A966" s="219"/>
    </row>
    <row r="967" spans="1:1" ht="15.6" x14ac:dyDescent="0.3">
      <c r="A967" s="219"/>
    </row>
    <row r="968" spans="1:1" ht="15.6" x14ac:dyDescent="0.3">
      <c r="A968" s="219"/>
    </row>
    <row r="969" spans="1:1" ht="15.6" x14ac:dyDescent="0.3">
      <c r="A969" s="219"/>
    </row>
    <row r="970" spans="1:1" ht="15.6" x14ac:dyDescent="0.3">
      <c r="A970" s="219"/>
    </row>
    <row r="971" spans="1:1" ht="15.6" x14ac:dyDescent="0.3">
      <c r="A971" s="219"/>
    </row>
    <row r="972" spans="1:1" ht="15.6" x14ac:dyDescent="0.3">
      <c r="A972" s="219"/>
    </row>
    <row r="973" spans="1:1" ht="15.6" x14ac:dyDescent="0.3">
      <c r="A973" s="219"/>
    </row>
    <row r="974" spans="1:1" ht="15.6" x14ac:dyDescent="0.3">
      <c r="A974" s="219"/>
    </row>
    <row r="975" spans="1:1" ht="15.6" x14ac:dyDescent="0.3">
      <c r="A975" s="219"/>
    </row>
    <row r="976" spans="1:1" ht="15.6" x14ac:dyDescent="0.3">
      <c r="A976" s="219"/>
    </row>
    <row r="977" spans="1:1" ht="15.6" x14ac:dyDescent="0.3">
      <c r="A977" s="219"/>
    </row>
    <row r="978" spans="1:1" ht="15.6" x14ac:dyDescent="0.3">
      <c r="A978" s="219"/>
    </row>
    <row r="979" spans="1:1" ht="15.6" x14ac:dyDescent="0.3">
      <c r="A979" s="219"/>
    </row>
    <row r="980" spans="1:1" ht="15.6" x14ac:dyDescent="0.3">
      <c r="A980" s="219"/>
    </row>
    <row r="981" spans="1:1" ht="15.6" x14ac:dyDescent="0.3">
      <c r="A981" s="219"/>
    </row>
    <row r="982" spans="1:1" ht="15.6" x14ac:dyDescent="0.3">
      <c r="A982" s="219"/>
    </row>
    <row r="983" spans="1:1" ht="15.6" x14ac:dyDescent="0.3">
      <c r="A983" s="219"/>
    </row>
    <row r="984" spans="1:1" ht="15.6" x14ac:dyDescent="0.3">
      <c r="A984" s="219"/>
    </row>
    <row r="985" spans="1:1" ht="15.6" x14ac:dyDescent="0.3">
      <c r="A985" s="219"/>
    </row>
    <row r="986" spans="1:1" ht="15.6" x14ac:dyDescent="0.3">
      <c r="A986" s="219"/>
    </row>
    <row r="987" spans="1:1" ht="15.6" x14ac:dyDescent="0.3">
      <c r="A987" s="219"/>
    </row>
    <row r="988" spans="1:1" ht="15.6" x14ac:dyDescent="0.3">
      <c r="A988" s="219"/>
    </row>
    <row r="989" spans="1:1" ht="15.6" x14ac:dyDescent="0.3">
      <c r="A989" s="219"/>
    </row>
    <row r="990" spans="1:1" ht="15.6" x14ac:dyDescent="0.3">
      <c r="A990" s="219"/>
    </row>
    <row r="991" spans="1:1" ht="15.6" x14ac:dyDescent="0.3">
      <c r="A991" s="219"/>
    </row>
    <row r="992" spans="1:1" ht="15.6" x14ac:dyDescent="0.3">
      <c r="A992" s="219"/>
    </row>
    <row r="993" spans="1:1" ht="15.6" x14ac:dyDescent="0.3">
      <c r="A993" s="219"/>
    </row>
    <row r="994" spans="1:1" ht="15.6" x14ac:dyDescent="0.3">
      <c r="A994" s="219"/>
    </row>
    <row r="995" spans="1:1" ht="15.6" x14ac:dyDescent="0.3">
      <c r="A995" s="219"/>
    </row>
    <row r="996" spans="1:1" ht="15.6" x14ac:dyDescent="0.3">
      <c r="A996" s="219"/>
    </row>
    <row r="997" spans="1:1" ht="15.6" x14ac:dyDescent="0.3">
      <c r="A997" s="219"/>
    </row>
    <row r="998" spans="1:1" ht="15.6" x14ac:dyDescent="0.3">
      <c r="A998" s="219"/>
    </row>
    <row r="999" spans="1:1" ht="15.6" x14ac:dyDescent="0.3">
      <c r="A999" s="219"/>
    </row>
    <row r="1000" spans="1:1" ht="15.6" x14ac:dyDescent="0.3">
      <c r="A1000" s="219"/>
    </row>
  </sheetData>
  <printOptions horizontalCentered="1" verticalCentered="1"/>
  <pageMargins left="0.25" right="0.25" top="0.25" bottom="0.2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F1041-4EAB-45B2-B341-29123D014FE8}">
  <sheetPr codeName="Hoja16">
    <tabColor theme="2" tint="-9.9978637043366805E-2"/>
    <pageSetUpPr fitToPage="1"/>
  </sheetPr>
  <dimension ref="B1:AO46"/>
  <sheetViews>
    <sheetView showGridLines="0" workbookViewId="0">
      <selection activeCell="C15" sqref="C15"/>
    </sheetView>
  </sheetViews>
  <sheetFormatPr baseColWidth="10" defaultColWidth="10.77734375" defaultRowHeight="14.4" x14ac:dyDescent="0.3"/>
  <cols>
    <col min="1" max="1" width="3.44140625" customWidth="1"/>
    <col min="2" max="2" width="36.44140625" customWidth="1"/>
    <col min="15" max="15" width="14" customWidth="1"/>
    <col min="16" max="16" width="3.44140625" customWidth="1"/>
    <col min="17" max="17" width="13.44140625" customWidth="1"/>
    <col min="18" max="18" width="3.44140625" customWidth="1"/>
    <col min="19" max="19" width="17" customWidth="1"/>
    <col min="20" max="20" width="3.44140625" customWidth="1"/>
    <col min="21" max="21" width="34.77734375" customWidth="1"/>
    <col min="23" max="23" width="3.44140625" customWidth="1"/>
    <col min="24" max="24" width="14.77734375" customWidth="1"/>
    <col min="25" max="25" width="3.44140625" customWidth="1"/>
    <col min="26" max="26" width="33.77734375" customWidth="1"/>
    <col min="27" max="27" width="10.77734375" customWidth="1"/>
    <col min="28" max="28" width="12.44140625" customWidth="1"/>
    <col min="34" max="34" width="11.33203125" customWidth="1"/>
    <col min="37" max="37" width="11.6640625" customWidth="1"/>
    <col min="38" max="38" width="12.44140625" customWidth="1"/>
    <col min="39" max="39" width="12.33203125" customWidth="1"/>
  </cols>
  <sheetData>
    <row r="1" spans="2:41" s="125" customFormat="1" ht="42" customHeight="1" x14ac:dyDescent="0.3">
      <c r="B1" s="126" t="s">
        <v>561</v>
      </c>
      <c r="C1" s="127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</row>
    <row r="2" spans="2:41" s="125" customFormat="1" ht="25.05" customHeight="1" x14ac:dyDescent="0.3">
      <c r="B2" s="148" t="s">
        <v>562</v>
      </c>
      <c r="C2" s="148"/>
      <c r="D2" s="148"/>
      <c r="F2" s="129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</row>
    <row r="3" spans="2:41" ht="40.5" customHeight="1" x14ac:dyDescent="0.3">
      <c r="B3" s="149" t="s">
        <v>563</v>
      </c>
      <c r="C3" s="150" t="s">
        <v>559</v>
      </c>
      <c r="D3" s="150" t="s">
        <v>564</v>
      </c>
      <c r="E3" s="150" t="s">
        <v>565</v>
      </c>
      <c r="F3" s="150" t="s">
        <v>566</v>
      </c>
      <c r="G3" s="150" t="s">
        <v>567</v>
      </c>
      <c r="H3" s="150" t="s">
        <v>568</v>
      </c>
      <c r="I3" s="150" t="s">
        <v>569</v>
      </c>
      <c r="J3" s="150" t="s">
        <v>570</v>
      </c>
      <c r="K3" s="150" t="s">
        <v>571</v>
      </c>
      <c r="L3" s="150" t="s">
        <v>572</v>
      </c>
      <c r="M3" s="150" t="s">
        <v>573</v>
      </c>
      <c r="N3" s="150" t="s">
        <v>574</v>
      </c>
      <c r="O3" s="151" t="s">
        <v>575</v>
      </c>
      <c r="P3" s="152"/>
      <c r="Q3" s="153" t="s">
        <v>576</v>
      </c>
      <c r="R3" s="154"/>
      <c r="S3" s="153" t="s">
        <v>577</v>
      </c>
      <c r="T3" s="154"/>
      <c r="U3" s="435" t="s">
        <v>578</v>
      </c>
      <c r="V3" s="435"/>
      <c r="W3" s="155"/>
      <c r="X3" s="156" t="s">
        <v>579</v>
      </c>
      <c r="Y3" s="155"/>
      <c r="Z3" s="157" t="s">
        <v>580</v>
      </c>
      <c r="AA3" s="158" t="s">
        <v>16</v>
      </c>
      <c r="AB3" s="159" t="s">
        <v>581</v>
      </c>
    </row>
    <row r="4" spans="2:41" ht="20.25" customHeight="1" x14ac:dyDescent="0.3">
      <c r="B4" s="160" t="s">
        <v>582</v>
      </c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2">
        <f t="shared" ref="O4:O30" si="0">SUM(C4:N4)</f>
        <v>0</v>
      </c>
      <c r="P4" s="163"/>
      <c r="Q4" s="164">
        <f>IFERROR(IF($S$4=$C$3,0,IF($S$4=$D$3,D4/C4-1,IF($S$4=$E$3,E4/D4-1,IF($S$4=$F$3,F4/E4-1,IF($S$4=$G$3,G4/F4-1,IF($S$4=$H$3,H4/G4-1,IF($S$4=$I$3,I4/H4-1,IF($S$4=$J$3,J4/I4-1,IF($S$4=$K$3,K4/J4-1,IF($S$4=$L$3,L4/K4-1,IF($S$4=$M$3,M4/L4-1,IF($S$4=$N$3,N4/M4-1,"")))))))))))),0)</f>
        <v>0</v>
      </c>
      <c r="R4" s="165"/>
      <c r="S4" s="166" t="str">
        <f>'EN BLANCO - Panel de ganancias '!F3</f>
        <v>ENE</v>
      </c>
      <c r="T4" s="165"/>
      <c r="U4" s="167" t="s">
        <v>582</v>
      </c>
      <c r="V4" s="168">
        <f>IFERROR(IF($S$4=$C$3,C4,IF($S$4=$D$3,D4,IF($S$4=$E$3,E4,IF($S$4=$F$3,F4,IF($S$4=$G$3,G4,IF($S$4=$H$3,H4,IF($S$4=$I$3,I4,IF($S$4=$J$3,J4,IF($S$4=$K$3,K4,IF($S$4=$L$3,L4,IF($S$4=$M$3,M4,IF($S$4=$N$3,N4,IF($S$4=$O$3,O4))))))))))))),0)</f>
        <v>0</v>
      </c>
      <c r="W4" s="138"/>
      <c r="X4" s="169" t="s">
        <v>559</v>
      </c>
      <c r="Y4" s="138"/>
      <c r="Z4" s="170" t="s">
        <v>582</v>
      </c>
      <c r="AA4" s="171">
        <f>'EN BLANCO - Entrada de datos'!Q4</f>
        <v>0</v>
      </c>
      <c r="AB4" s="172" t="s">
        <v>583</v>
      </c>
    </row>
    <row r="5" spans="2:41" ht="20.25" customHeight="1" x14ac:dyDescent="0.3">
      <c r="B5" s="173" t="s">
        <v>584</v>
      </c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5">
        <f t="shared" si="0"/>
        <v>0</v>
      </c>
      <c r="P5" s="163"/>
      <c r="Q5" s="176">
        <f>IFERROR(IF($S$4=$C$3,0,IF($S$4=$D$3,D5/C5-1,IF($S$4=$E$3,E5/D5-1,IF($S$4=$F$3,F5/E5-1,IF($S$4=$G$3,G5/F5-1,IF($S$4=$H$3,H5/G5-1,IF($S$4=$I$3,I5/H5-1,IF($S$4=$J$3,J5/I5-1,IF($S$4=$K$3,K5/J5-1,IF($S$4=$L$3,L5/K5-1,IF($S$4=$M$3,M5/L5-1,IF($S$4=$N$3,N5/M5-1,"")))))))))))),0)</f>
        <v>0</v>
      </c>
      <c r="R5" s="165"/>
      <c r="S5" s="165"/>
      <c r="T5" s="165"/>
      <c r="U5" s="167" t="s">
        <v>584</v>
      </c>
      <c r="V5" s="168">
        <f>IFERROR(IF($S$4=$C$3,C5,IF($S$4=$D$3,D5,IF($S$4=$E$3,E5,IF($S$4=$F$3,F5,IF($S$4=$G$3,G5,IF($S$4=$H$3,H5,IF($S$4=$I$3,I5,IF($S$4=$J$3,J5,IF($S$4=$K$3,K5,IF($S$4=$L$3,L5,IF($S$4=$M$3,M5,IF($S$4=$N$3,N5,IF($S$4=$O$3,O5))))))))))))),0)</f>
        <v>0</v>
      </c>
      <c r="W5" s="138"/>
      <c r="X5" s="169" t="s">
        <v>564</v>
      </c>
      <c r="Y5" s="138"/>
      <c r="Z5" s="170" t="s">
        <v>584</v>
      </c>
      <c r="AA5" s="171">
        <f>'EN BLANCO - Entrada de datos'!Q5</f>
        <v>0</v>
      </c>
      <c r="AB5" s="172" t="s">
        <v>585</v>
      </c>
    </row>
    <row r="6" spans="2:41" ht="20.25" customHeight="1" x14ac:dyDescent="0.3">
      <c r="B6" s="173" t="s">
        <v>586</v>
      </c>
      <c r="C6" s="177">
        <f t="shared" ref="C6:N6" si="1">+C4-C5</f>
        <v>0</v>
      </c>
      <c r="D6" s="177">
        <f t="shared" si="1"/>
        <v>0</v>
      </c>
      <c r="E6" s="177">
        <f t="shared" si="1"/>
        <v>0</v>
      </c>
      <c r="F6" s="177">
        <f t="shared" si="1"/>
        <v>0</v>
      </c>
      <c r="G6" s="177">
        <f t="shared" si="1"/>
        <v>0</v>
      </c>
      <c r="H6" s="177">
        <f t="shared" si="1"/>
        <v>0</v>
      </c>
      <c r="I6" s="177">
        <f t="shared" si="1"/>
        <v>0</v>
      </c>
      <c r="J6" s="177">
        <f t="shared" si="1"/>
        <v>0</v>
      </c>
      <c r="K6" s="177">
        <f t="shared" si="1"/>
        <v>0</v>
      </c>
      <c r="L6" s="177">
        <f t="shared" si="1"/>
        <v>0</v>
      </c>
      <c r="M6" s="177">
        <f t="shared" si="1"/>
        <v>0</v>
      </c>
      <c r="N6" s="177">
        <f t="shared" si="1"/>
        <v>0</v>
      </c>
      <c r="O6" s="178">
        <f t="shared" si="0"/>
        <v>0</v>
      </c>
      <c r="P6" s="163"/>
      <c r="Q6" s="176">
        <f>IFERROR(IF($S$4=$C$3,0,IF($S$4=$D$3,D6/C6-1,IF($S$4=$E$3,E6/D6-1,IF($S$4=$F$3,F6/E6-1,IF($S$4=$G$3,G6/F6-1,IF($S$4=$H$3,H6/G6-1,IF($S$4=$I$3,I6/H6-1,IF($S$4=$J$3,J6/I6-1,IF($S$4=$K$3,K6/J6-1,IF($S$4=$L$3,L6/K6-1,IF($S$4=$M$3,M6/L6-1,IF($S$4=$N$3,N6/M6-1,"")))))))))))),0)</f>
        <v>0</v>
      </c>
      <c r="R6" s="165"/>
      <c r="S6" s="165"/>
      <c r="T6" s="165"/>
      <c r="U6" s="167" t="s">
        <v>586</v>
      </c>
      <c r="V6" s="168"/>
      <c r="W6" s="138"/>
      <c r="X6" s="169" t="s">
        <v>565</v>
      </c>
      <c r="Y6" s="138"/>
      <c r="Z6" s="170" t="s">
        <v>586</v>
      </c>
      <c r="AA6" s="171">
        <f>'EN BLANCO - Entrada de datos'!Q6</f>
        <v>0</v>
      </c>
      <c r="AB6" s="172" t="s">
        <v>583</v>
      </c>
    </row>
    <row r="7" spans="2:41" ht="20.25" customHeight="1" x14ac:dyDescent="0.3">
      <c r="B7" s="179" t="s">
        <v>587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78">
        <f t="shared" si="0"/>
        <v>0</v>
      </c>
      <c r="P7" s="181"/>
      <c r="Q7" s="176"/>
      <c r="R7" s="165"/>
      <c r="S7" s="165"/>
      <c r="T7" s="165"/>
      <c r="U7" s="167" t="s">
        <v>588</v>
      </c>
      <c r="V7" s="168">
        <f>IFERROR(IF($S$4=$C$3,C25,IF($S$4=$D$3,D25,IF($S$4=$E$3,E25,IF($S$4=$F$3,F25,IF($S$4=$G$3,G25,IF($S$4=$H$3,H25,IF($S$4=$I$3,I25,IF($S$4=$J$3,J25,IF($S$4=$K$3,K25,IF($S$4=$L$3,L25,IF($S$4=$M$3,M25,IF($S$4=$N$3,N25,IF($S$4=$O$3,O25))))))))))))),0)</f>
        <v>0</v>
      </c>
      <c r="W7" s="138"/>
      <c r="X7" s="169" t="s">
        <v>566</v>
      </c>
      <c r="Y7" s="138"/>
      <c r="Z7" s="170" t="s">
        <v>588</v>
      </c>
      <c r="AA7" s="171">
        <f>'EN BLANCO - Entrada de datos'!Q25</f>
        <v>0</v>
      </c>
      <c r="AB7" s="172" t="s">
        <v>585</v>
      </c>
    </row>
    <row r="8" spans="2:41" ht="26.4" x14ac:dyDescent="0.3">
      <c r="B8" s="179" t="s">
        <v>589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78">
        <f t="shared" si="0"/>
        <v>0</v>
      </c>
      <c r="P8" s="181"/>
      <c r="Q8" s="176"/>
      <c r="R8" s="165"/>
      <c r="S8" s="165"/>
      <c r="T8" s="165"/>
      <c r="U8" s="167" t="s">
        <v>590</v>
      </c>
      <c r="V8" s="168"/>
      <c r="W8" s="138"/>
      <c r="X8" s="169" t="s">
        <v>567</v>
      </c>
      <c r="Y8" s="138"/>
      <c r="Z8" s="170" t="s">
        <v>590</v>
      </c>
      <c r="AA8" s="171">
        <f>+'EN BLANCO - Entrada de datos'!Q26</f>
        <v>0</v>
      </c>
      <c r="AB8" s="172" t="s">
        <v>583</v>
      </c>
    </row>
    <row r="9" spans="2:41" ht="20.25" customHeight="1" x14ac:dyDescent="0.3">
      <c r="B9" s="179" t="s">
        <v>591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78">
        <f t="shared" si="0"/>
        <v>0</v>
      </c>
      <c r="P9" s="163"/>
      <c r="Q9" s="176"/>
      <c r="R9" s="165"/>
      <c r="S9" s="165"/>
      <c r="T9" s="165"/>
      <c r="U9" s="167" t="s">
        <v>592</v>
      </c>
      <c r="V9" s="168">
        <f>IFERROR(IF($S$4=$C$3,C27,IF($S$4=$D$3,D27,IF($S$4=$E$3,E27,IF($S$4=$F$3,F27,IF($S$4=$G$3,G27,IF($S$4=$H$3,H27,IF($S$4=$I$3,I27,IF($S$4=$J$3,J27,IF($S$4=$K$3,K27,IF($S$4=$L$3,L27,IF($S$4=$M$3,M27,IF($S$4=$N$3,N27,IF($S$4=$O$3,O27))))))))))))),0)</f>
        <v>0</v>
      </c>
      <c r="W9" s="138"/>
      <c r="X9" s="169" t="s">
        <v>568</v>
      </c>
      <c r="Y9" s="138"/>
      <c r="Z9" s="170" t="s">
        <v>592</v>
      </c>
      <c r="AA9" s="171">
        <f>+'EN BLANCO - Entrada de datos'!Q27</f>
        <v>0</v>
      </c>
      <c r="AB9" s="172" t="s">
        <v>585</v>
      </c>
    </row>
    <row r="10" spans="2:41" ht="20.25" customHeight="1" x14ac:dyDescent="0.3">
      <c r="B10" s="179" t="s">
        <v>593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  <c r="N10" s="180"/>
      <c r="O10" s="178">
        <f t="shared" si="0"/>
        <v>0</v>
      </c>
      <c r="P10" s="181"/>
      <c r="Q10" s="176"/>
      <c r="R10" s="165"/>
      <c r="S10" s="165"/>
      <c r="T10" s="165"/>
      <c r="U10" s="167" t="s">
        <v>594</v>
      </c>
      <c r="V10" s="168"/>
      <c r="W10" s="138"/>
      <c r="X10" s="169" t="s">
        <v>569</v>
      </c>
      <c r="Y10" s="138"/>
      <c r="Z10" s="170" t="s">
        <v>594</v>
      </c>
      <c r="AA10" s="171">
        <f>+'EN BLANCO - Entrada de datos'!Q28</f>
        <v>0</v>
      </c>
      <c r="AB10" s="172" t="s">
        <v>583</v>
      </c>
    </row>
    <row r="11" spans="2:41" ht="20.25" customHeight="1" x14ac:dyDescent="0.3">
      <c r="B11" s="179" t="s">
        <v>595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78">
        <f t="shared" si="0"/>
        <v>0</v>
      </c>
      <c r="P11" s="182"/>
      <c r="Q11" s="176"/>
      <c r="R11" s="165"/>
      <c r="S11" s="165"/>
      <c r="T11" s="165"/>
      <c r="U11" s="167" t="s">
        <v>596</v>
      </c>
      <c r="V11" s="168">
        <f>IFERROR(IF($S$4=$C$3,C29,IF($S$4=$D$3,D29,IF($S$4=$E$3,E29,IF($S$4=$F$3,F29,IF($S$4=$G$3,G29,IF($S$4=$H$3,H29,IF($S$4=$I$3,I29,IF($S$4=$J$3,J29,IF($S$4=$K$3,K29,IF($S$4=$L$3,L29,IF($S$4=$M$3,M29,IF($S$4=$N$3,N29,IF($S$4=$O$3,O29))))))))))))),0)</f>
        <v>0</v>
      </c>
      <c r="W11" s="138"/>
      <c r="X11" s="169" t="s">
        <v>570</v>
      </c>
      <c r="Y11" s="138"/>
      <c r="Z11" s="170" t="s">
        <v>596</v>
      </c>
      <c r="AA11" s="171">
        <f>+'EN BLANCO - Entrada de datos'!Q29</f>
        <v>0</v>
      </c>
      <c r="AB11" s="172" t="s">
        <v>585</v>
      </c>
    </row>
    <row r="12" spans="2:41" ht="20.25" customHeight="1" x14ac:dyDescent="0.3">
      <c r="B12" s="179" t="s">
        <v>597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78">
        <f t="shared" si="0"/>
        <v>0</v>
      </c>
      <c r="P12" s="183"/>
      <c r="Q12" s="176"/>
      <c r="R12" s="165"/>
      <c r="S12" s="165"/>
      <c r="T12" s="165"/>
      <c r="U12" s="167" t="s">
        <v>598</v>
      </c>
      <c r="V12" s="168"/>
      <c r="W12" s="138"/>
      <c r="X12" s="169" t="s">
        <v>571</v>
      </c>
      <c r="Y12" s="138"/>
      <c r="Z12" s="170" t="s">
        <v>598</v>
      </c>
      <c r="AA12" s="171">
        <f>+'EN BLANCO - Entrada de datos'!Q30</f>
        <v>0</v>
      </c>
      <c r="AB12" s="172" t="s">
        <v>583</v>
      </c>
    </row>
    <row r="13" spans="2:41" ht="20.25" customHeight="1" x14ac:dyDescent="0.3">
      <c r="B13" s="179" t="s">
        <v>468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78">
        <f t="shared" si="0"/>
        <v>0</v>
      </c>
      <c r="P13" s="184"/>
      <c r="Q13" s="176"/>
      <c r="R13" s="165"/>
      <c r="S13" s="165"/>
      <c r="T13" s="165"/>
      <c r="U13" s="138"/>
      <c r="V13" s="138"/>
      <c r="W13" s="138"/>
      <c r="X13" s="169" t="s">
        <v>572</v>
      </c>
      <c r="Y13" s="138"/>
      <c r="Z13" s="138"/>
      <c r="AA13" s="138"/>
    </row>
    <row r="14" spans="2:41" ht="26.4" x14ac:dyDescent="0.3">
      <c r="B14" s="179" t="s">
        <v>599</v>
      </c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78">
        <f t="shared" si="0"/>
        <v>0</v>
      </c>
      <c r="P14" s="184"/>
      <c r="Q14" s="176"/>
      <c r="R14" s="165"/>
      <c r="S14" s="165"/>
      <c r="T14" s="165"/>
      <c r="U14" s="167" t="s">
        <v>582</v>
      </c>
      <c r="V14" s="168">
        <f>+V4</f>
        <v>0</v>
      </c>
      <c r="W14" s="138"/>
      <c r="X14" s="169" t="s">
        <v>573</v>
      </c>
      <c r="Y14" s="138"/>
      <c r="Z14" s="185" t="s">
        <v>563</v>
      </c>
      <c r="AA14" s="186" t="s">
        <v>600</v>
      </c>
      <c r="AB14" s="186" t="s">
        <v>601</v>
      </c>
      <c r="AC14" s="186" t="s">
        <v>27</v>
      </c>
      <c r="AD14" s="187" t="s">
        <v>602</v>
      </c>
      <c r="AE14" s="187" t="s">
        <v>603</v>
      </c>
      <c r="AF14" s="187" t="s">
        <v>604</v>
      </c>
      <c r="AG14" s="187" t="s">
        <v>605</v>
      </c>
      <c r="AH14" s="186" t="s">
        <v>606</v>
      </c>
      <c r="AI14" s="186" t="s">
        <v>607</v>
      </c>
      <c r="AJ14" s="186" t="s">
        <v>608</v>
      </c>
      <c r="AK14" s="186" t="s">
        <v>609</v>
      </c>
      <c r="AL14" s="186" t="s">
        <v>610</v>
      </c>
      <c r="AM14" s="186" t="s">
        <v>611</v>
      </c>
      <c r="AN14" s="186" t="s">
        <v>612</v>
      </c>
      <c r="AO14" s="188"/>
    </row>
    <row r="15" spans="2:41" ht="20.25" customHeight="1" x14ac:dyDescent="0.3">
      <c r="B15" s="179" t="s">
        <v>613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78">
        <f t="shared" si="0"/>
        <v>0</v>
      </c>
      <c r="P15" s="184"/>
      <c r="Q15" s="176"/>
      <c r="R15" s="165"/>
      <c r="S15" s="165"/>
      <c r="T15" s="165"/>
      <c r="U15" s="167" t="s">
        <v>584</v>
      </c>
      <c r="V15" s="168">
        <f>+V5*-1</f>
        <v>0</v>
      </c>
      <c r="W15" s="138"/>
      <c r="X15" s="169" t="s">
        <v>574</v>
      </c>
      <c r="Y15" s="138"/>
      <c r="Z15" s="189" t="str">
        <f>IF(LEN('EN BLANCO - Entrada de datos'!$U$4),'EN BLANCO - Entrada de datos'!$U$4,"")</f>
        <v>Ingresos totales</v>
      </c>
      <c r="AA15" s="190">
        <f>IF(LEN('EN BLANCO - Entrada de datos'!$V$4),'EN BLANCO - Entrada de datos'!$V$4,"")</f>
        <v>0</v>
      </c>
      <c r="AB15" s="190">
        <f ca="1">IF(OR(LEN('EN BLANCO - Entrada de datos'!$AA15)=0,AND(ROW()=ROW('EN BLANCO - Entrada de datos'!$AA$15:$AA$23),'EN BLANCO - Entrada de datos'!$AO$15)),'EN BLANCO - Entrada de datos'!$AI15,"")</f>
        <v>0</v>
      </c>
      <c r="AC15" s="190">
        <f ca="1">IF(LEN('EN BLANCO - Entrada de datos'!$AA15)=0,0,IF(AND('EN BLANCO - Entrada de datos'!$AI15&lt;0,'EN BLANCO - Entrada de datos'!$AI15-'EN BLANCO - Entrada de datos'!$AA15&lt;0,LEN('EN BLANCO - Entrada de datos'!$AB15)=0),'EN BLANCO - Entrada de datos'!$AI15-MIN(0,'EN BLANCO - Entrada de datos'!$AA15),IF(AND('EN BLANCO - Entrada de datos'!$AI15&gt;0,'EN BLANCO - Entrada de datos'!$AI15-'EN BLANCO - Entrada de datos'!$AA15&gt;0,LEN('EN BLANCO - Entrada de datos'!$AB15)=0),'EN BLANCO - Entrada de datos'!$AI15-MAX(0,'EN BLANCO - Entrada de datos'!$AA15),0)))</f>
        <v>0</v>
      </c>
      <c r="AD15" s="190">
        <f ca="1">IF(LEN('EN BLANCO - Entrada de datos'!$AA15)=0,0,IF(AND('EN BLANCO - Entrada de datos'!$AI15&lt;0,'EN BLANCO - Entrada de datos'!$AA15&lt;0,LEN('EN BLANCO - Entrada de datos'!$AB15)=0),MAX('EN BLANCO - Entrada de datos'!$AA15,'EN BLANCO - Entrada de datos'!$AI15),0))</f>
        <v>0</v>
      </c>
      <c r="AE15" s="190">
        <f ca="1">IF(LEN('EN BLANCO - Entrada de datos'!$AA15)=0,0,IF(AND('EN BLANCO - Entrada de datos'!$AI15-'EN BLANCO - Entrada de datos'!$AA15&lt;0,'EN BLANCO - Entrada de datos'!$AA15&gt;0,LEN('EN BLANCO - Entrada de datos'!$AB15)=0),MAX(-'EN BLANCO - Entrada de datos'!$AA15,'EN BLANCO - Entrada de datos'!$AI15-'EN BLANCO - Entrada de datos'!$AA15),0))</f>
        <v>0</v>
      </c>
      <c r="AF15" s="190">
        <f ca="1">IF(LEN('EN BLANCO - Entrada de datos'!$AA15)=0,0,IF(AND('EN BLANCO - Entrada de datos'!$AI15-'EN BLANCO - Entrada de datos'!$AA15&gt;0,'EN BLANCO - Entrada de datos'!$AA15&lt;0,LEN('EN BLANCO - Entrada de datos'!$AB15)=0),MIN(-'EN BLANCO - Entrada de datos'!$AA15,'EN BLANCO - Entrada de datos'!$AI15-'EN BLANCO - Entrada de datos'!$AA15),0))</f>
        <v>0</v>
      </c>
      <c r="AG15" s="190">
        <f ca="1">IF(LEN('EN BLANCO - Entrada de datos'!$AA15)=0,0,IF(AND('EN BLANCO - Entrada de datos'!$AI15&gt;0,'EN BLANCO - Entrada de datos'!$AA15&gt;0,LEN('EN BLANCO - Entrada de datos'!$AB15)=0),MIN('EN BLANCO - Entrada de datos'!$AA15,'EN BLANCO - Entrada de datos'!$AI15),0))</f>
        <v>0</v>
      </c>
      <c r="AH15" s="191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datos'!$AH15,-1,0)+1/ROWS('EN BLANCO - Entrada de datos'!$AA$15:$AA$23)))</f>
        <v>0.1111111111111111</v>
      </c>
      <c r="AI15" s="190">
        <f ca="1">IF(ROW()=ROW('EN BLANCO - Entrada de datos'!$AA$15:$AA$23),0,OFFSET('EN BLANCO - Entrada de datos'!$AI15,-1,0))+IF(LEN('EN BLANCO - Entrada de datos'!$AA15),'EN BLANCO - Entrada de datos'!$AA15,0)</f>
        <v>0</v>
      </c>
      <c r="AJ15" s="190" t="e">
        <f>IF('EN BLANCO - Entrada de datos'!$AO$17=1,IF(LEN('EN BLANCO - Entrada de datos'!$AB15),'EN BLANCO - Entrada de datos'!$AB15/2,'EN BLANCO - Entrada de datos'!$AI15-'EN BLANCO - Entrada de datos'!$AA15/2),NA())</f>
        <v>#N/A</v>
      </c>
      <c r="AK15" s="190">
        <f ca="1">IF(OR('EN BLANCO - Entrada de datos'!$AO$17=2,AND('EN BLANCO - Entrada de datos'!$AO$17=3,OR(AND(LEN('EN BLANCO - Entrada de datos'!$AB15)&gt;0,'EN BLANCO - Entrada de datos'!$AI15&gt;0),AND(LEN('EN BLANCO - Entrada de datos'!$AA15),'EN BLANCO - Entrada de datos'!$AA15&gt;=0)))),IF(LEN('EN BLANCO - Entrada de datos'!$AB15),MAX(0,'EN BLANCO - Entrada de datos'!$AI15),'EN BLANCO - Entrada de datos'!$AI15-MIN(0,'EN BLANCO - Entrada de datos'!$AA15)),NA())</f>
        <v>0</v>
      </c>
      <c r="AL15" s="190" t="e">
        <f ca="1">IF('EN BLANCO - Entrada de datos'!$AO$17=3,IF(LEN('EN BLANCO - Entrada de datos'!$AB15),IF('EN BLANCO - Entrada de datos'!$AB15&lt;0,'EN BLANCO - Entrada de datos'!$AB15,NA()),IF('EN BLANCO - Entrada de datos'!$AA15&lt;0,'EN BLANCO - Entrada de datos'!$AI15,NA())),NA())</f>
        <v>#N/A</v>
      </c>
      <c r="AM15" s="191">
        <f ca="1">IF(ROW()=ROW('EN BLANCO - Entrada de datos'!$AA$15:$AA$23),0.5/ROWS('EN BLANCO - Entrada de datos'!$AA$15:$AA$23),OFFSET('EN BLANCO - Entrada de datos'!$AM15,-1,0)+1/ROWS('EN BLANCO - Entrada de datos'!$AA$15:$AA$23))</f>
        <v>5.5555555555555552E-2</v>
      </c>
      <c r="AN15" s="190">
        <f>IF(LEN('EN BLANCO - Entrada de datos'!$AA15),'EN BLANCO - Entrada de datos'!$AA15,'EN BLANCO - Entrada de datos'!$AB15)</f>
        <v>0</v>
      </c>
      <c r="AO15" s="192" t="b">
        <v>1</v>
      </c>
    </row>
    <row r="16" spans="2:41" ht="27.6" x14ac:dyDescent="0.3">
      <c r="B16" s="179" t="s">
        <v>614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78">
        <f t="shared" si="0"/>
        <v>0</v>
      </c>
      <c r="P16" s="184"/>
      <c r="Q16" s="176"/>
      <c r="R16" s="165"/>
      <c r="S16" s="165"/>
      <c r="T16" s="165"/>
      <c r="U16" s="167" t="s">
        <v>615</v>
      </c>
      <c r="V16" s="193">
        <f>SUM(V14:V15)</f>
        <v>0</v>
      </c>
      <c r="W16" s="138"/>
      <c r="X16" s="194" t="s">
        <v>575</v>
      </c>
      <c r="Y16" s="138"/>
      <c r="Z16" s="195" t="str">
        <f>IF(LEN('EN BLANCO - Entrada de datos'!$U$5),'EN BLANCO - Entrada de datos'!$U$5,"")</f>
        <v>Costo de los bienes vendidos</v>
      </c>
      <c r="AA16" s="196">
        <f>IF(LEN('EN BLANCO - Entrada de datos'!$V$5),'EN BLANCO - Entrada de datos'!$V$15,"")</f>
        <v>0</v>
      </c>
      <c r="AB16" s="196" t="str">
        <f>IF(OR(LEN('EN BLANCO - Entrada de datos'!$AA16)=0,AND(ROW()=ROW('EN BLANCO - Entrada de datos'!$AA$15:$AA$23),'EN BLANCO - Entrada de datos'!$AO$15)),'EN BLANCO - Entrada de datos'!$AI16,"")</f>
        <v/>
      </c>
      <c r="AC16" s="196">
        <f ca="1">IF(LEN('EN BLANCO - Entrada de datos'!$AA16)=0,0,IF(AND('EN BLANCO - Entrada de datos'!$AI16&lt;0,'EN BLANCO - Entrada de datos'!$AI16-'EN BLANCO - Entrada de datos'!$AA16&lt;0,LEN('EN BLANCO - Entrada de datos'!$AB16)=0),'EN BLANCO - Entrada de datos'!$AI16-MIN(0,'EN BLANCO - Entrada de datos'!$AA16),IF(AND('EN BLANCO - Entrada de datos'!$AI16&gt;0,'EN BLANCO - Entrada de datos'!$AI16-'EN BLANCO - Entrada de datos'!$AA16&gt;0,LEN('EN BLANCO - Entrada de datos'!$AB16)=0),'EN BLANCO - Entrada de datos'!$AI16-MAX(0,'EN BLANCO - Entrada de datos'!$AA16),0)))</f>
        <v>0</v>
      </c>
      <c r="AD16" s="196">
        <f ca="1">IF(LEN('EN BLANCO - Entrada de datos'!$AA16)=0,0,IF(AND('EN BLANCO - Entrada de datos'!$AI16&lt;0,'EN BLANCO - Entrada de datos'!$AA16&lt;0,LEN('EN BLANCO - Entrada de datos'!$AB16)=0),MAX('EN BLANCO - Entrada de datos'!$AA16,'EN BLANCO - Entrada de datos'!$AI16),0))</f>
        <v>0</v>
      </c>
      <c r="AE16" s="196">
        <f ca="1">IF(LEN('EN BLANCO - Entrada de datos'!$AA16)=0,0,IF(AND('EN BLANCO - Entrada de datos'!$AI16-'EN BLANCO - Entrada de datos'!$AA16&lt;0,'EN BLANCO - Entrada de datos'!$AA16&gt;0,LEN('EN BLANCO - Entrada de datos'!$AB16)=0),MAX(-'EN BLANCO - Entrada de datos'!$AA16,'EN BLANCO - Entrada de datos'!$AI16-'EN BLANCO - Entrada de datos'!$AA16),0))</f>
        <v>0</v>
      </c>
      <c r="AF16" s="196">
        <f ca="1">IF(LEN('EN BLANCO - Entrada de datos'!$AA16)=0,0,IF(AND('EN BLANCO - Entrada de datos'!$AI16-'EN BLANCO - Entrada de datos'!$AA16&gt;0,'EN BLANCO - Entrada de datos'!$AA16&lt;0,LEN('EN BLANCO - Entrada de datos'!$AB16)=0),MIN(-'EN BLANCO - Entrada de datos'!$AA16,'EN BLANCO - Entrada de datos'!$AI16-'EN BLANCO - Entrada de datos'!$AA16),0))</f>
        <v>0</v>
      </c>
      <c r="AG16" s="196">
        <f ca="1">IF(LEN('EN BLANCO - Entrada de datos'!$AA16)=0,0,IF(AND('EN BLANCO - Entrada de datos'!$AI16&gt;0,'EN BLANCO - Entrada de datos'!$AA16&gt;0,LEN('EN BLANCO - Entrada de datos'!$AB16)=0),MIN('EN BLANCO - Entrada de datos'!$AA16,'EN BLANCO - Entrada de datos'!$AI16),0))</f>
        <v>0</v>
      </c>
      <c r="AH16" s="192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datos'!$AH16,-1,0)+1/ROWS('EN BLANCO - Entrada de datos'!$AA$15:$AA$23)))</f>
        <v>0.22222222222222221</v>
      </c>
      <c r="AI16" s="196">
        <f ca="1">IF(ROW()=ROW('EN BLANCO - Entrada de datos'!$AA$15:$AA$23),0,OFFSET('EN BLANCO - Entrada de datos'!$AI16,-1,0))+IF(LEN('EN BLANCO - Entrada de datos'!$AA16),'EN BLANCO - Entrada de datos'!$AA16,0)</f>
        <v>0</v>
      </c>
      <c r="AJ16" s="196" t="e">
        <f>IF('EN BLANCO - Entrada de datos'!$AO$17=1,IF(LEN('EN BLANCO - Entrada de datos'!$AB16),'EN BLANCO - Entrada de datos'!$AB16/2,'EN BLANCO - Entrada de datos'!$AI16-'EN BLANCO - Entrada de datos'!$AA16/2),NA())</f>
        <v>#N/A</v>
      </c>
      <c r="AK16" s="196">
        <f ca="1">IF(OR('EN BLANCO - Entrada de datos'!$AO$17=2,AND('EN BLANCO - Entrada de datos'!$AO$17=3,OR(AND(LEN('EN BLANCO - Entrada de datos'!$AB16)&gt;0,'EN BLANCO - Entrada de datos'!$AI16&gt;0),AND(LEN('EN BLANCO - Entrada de datos'!$AA16),'EN BLANCO - Entrada de datos'!$AA16&gt;=0)))),IF(LEN('EN BLANCO - Entrada de datos'!$AB16),MAX(0,'EN BLANCO - Entrada de datos'!$AI16),'EN BLANCO - Entrada de datos'!$AI16-MIN(0,'EN BLANCO - Entrada de datos'!$AA16)),NA())</f>
        <v>0</v>
      </c>
      <c r="AL16" s="196" t="e">
        <f>IF('EN BLANCO - Entrada de datos'!$AO$17=3,IF(LEN('EN BLANCO - Entrada de datos'!$AB16),IF('EN BLANCO - Entrada de datos'!$AB16&lt;0,'EN BLANCO - Entrada de datos'!$AB16,NA()),IF('EN BLANCO - Entrada de datos'!$AA16&lt;0,'EN BLANCO - Entrada de datos'!$AI16,NA())),NA())</f>
        <v>#N/A</v>
      </c>
      <c r="AM16" s="192">
        <f ca="1">IF(ROW()=ROW('EN BLANCO - Entrada de datos'!$AA$15:$AA$23),0.5/ROWS('EN BLANCO - Entrada de datos'!$AA$15:$AA$23),OFFSET('EN BLANCO - Entrada de datos'!$AM16,-1,0)+1/ROWS('EN BLANCO - Entrada de datos'!$AA$15:$AA$23))</f>
        <v>0.16666666666666666</v>
      </c>
      <c r="AN16" s="196">
        <f>IF(LEN('EN BLANCO - Entrada de datos'!$AA16),'EN BLANCO - Entrada de datos'!$AA16,'EN BLANCO - Entrada de datos'!$AB16)</f>
        <v>0</v>
      </c>
      <c r="AO16" s="192"/>
    </row>
    <row r="17" spans="2:41" ht="20.25" customHeight="1" x14ac:dyDescent="0.3">
      <c r="B17" s="179" t="s">
        <v>616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78">
        <f t="shared" si="0"/>
        <v>0</v>
      </c>
      <c r="P17" s="184"/>
      <c r="Q17" s="176"/>
      <c r="R17" s="165"/>
      <c r="S17" s="165"/>
      <c r="T17" s="165"/>
      <c r="U17" s="167" t="s">
        <v>588</v>
      </c>
      <c r="V17" s="168">
        <f>+V7*-1</f>
        <v>0</v>
      </c>
      <c r="W17" s="138"/>
      <c r="X17" s="138"/>
      <c r="Y17" s="138"/>
      <c r="Z17" s="189" t="str">
        <f>IF(LEN('EN BLANCO - Entrada de datos'!$U$6),'EN BLANCO - Entrada de datos'!$U$6,"")</f>
        <v>Ganancia bruta</v>
      </c>
      <c r="AA17" s="190" t="str">
        <f>IF(LEN('EN BLANCO - Entrada de datos'!$V$6),'EN BLANCO - Entrada de datos'!$V$6,"")</f>
        <v/>
      </c>
      <c r="AB17" s="190">
        <f ca="1">IF(OR(LEN('EN BLANCO - Entrada de datos'!$AA17)=0,AND(ROW()=ROW('EN BLANCO - Entrada de datos'!$AA$15:$AA$23),'EN BLANCO - Entrada de datos'!$AO$15)),'EN BLANCO - Entrada de datos'!$AI17,"")</f>
        <v>0</v>
      </c>
      <c r="AC17" s="190">
        <f>IF(LEN('EN BLANCO - Entrada de datos'!$AA17)=0,0,IF(AND('EN BLANCO - Entrada de datos'!$AI17&lt;0,'EN BLANCO - Entrada de datos'!$AI17-'EN BLANCO - Entrada de datos'!$AA17&lt;0,LEN('EN BLANCO - Entrada de datos'!$AB17)=0),'EN BLANCO - Entrada de datos'!$AI17-MIN(0,'EN BLANCO - Entrada de datos'!$AA17),IF(AND('EN BLANCO - Entrada de datos'!$AI17&gt;0,'EN BLANCO - Entrada de datos'!$AI17-'EN BLANCO - Entrada de datos'!$AA17&gt;0,LEN('EN BLANCO - Entrada de datos'!$AB17)=0),'EN BLANCO - Entrada de datos'!$AI17-MAX(0,'EN BLANCO - Entrada de datos'!$AA17),0)))</f>
        <v>0</v>
      </c>
      <c r="AD17" s="190">
        <f>IF(LEN('EN BLANCO - Entrada de datos'!$AA17)=0,0,IF(AND('EN BLANCO - Entrada de datos'!$AI17&lt;0,'EN BLANCO - Entrada de datos'!$AA17&lt;0,LEN('EN BLANCO - Entrada de datos'!$AB17)=0),MAX('EN BLANCO - Entrada de datos'!$AA17,'EN BLANCO - Entrada de datos'!$AI17),0))</f>
        <v>0</v>
      </c>
      <c r="AE17" s="190">
        <f>IF(LEN('EN BLANCO - Entrada de datos'!$AA17)=0,0,IF(AND('EN BLANCO - Entrada de datos'!$AI17-'EN BLANCO - Entrada de datos'!$AA17&lt;0,'EN BLANCO - Entrada de datos'!$AA17&gt;0,LEN('EN BLANCO - Entrada de datos'!$AB17)=0),MAX(-'EN BLANCO - Entrada de datos'!$AA17,'EN BLANCO - Entrada de datos'!$AI17-'EN BLANCO - Entrada de datos'!$AA17),0))</f>
        <v>0</v>
      </c>
      <c r="AF17" s="190">
        <f>IF(LEN('EN BLANCO - Entrada de datos'!$AA17)=0,0,IF(AND('EN BLANCO - Entrada de datos'!$AI17-'EN BLANCO - Entrada de datos'!$AA17&gt;0,'EN BLANCO - Entrada de datos'!$AA17&lt;0,LEN('EN BLANCO - Entrada de datos'!$AB17)=0),MIN(-'EN BLANCO - Entrada de datos'!$AA17,'EN BLANCO - Entrada de datos'!$AI17-'EN BLANCO - Entrada de datos'!$AA17),0))</f>
        <v>0</v>
      </c>
      <c r="AG17" s="190">
        <f>IF(LEN('EN BLANCO - Entrada de datos'!$AA17)=0,0,IF(AND('EN BLANCO - Entrada de datos'!$AI17&gt;0,'EN BLANCO - Entrada de datos'!$AA17&gt;0,LEN('EN BLANCO - Entrada de datos'!$AB17)=0),MIN('EN BLANCO - Entrada de datos'!$AA17,'EN BLANCO - Entrada de datos'!$AI17),0))</f>
        <v>0</v>
      </c>
      <c r="AH17" s="191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datos'!$AH17,-1,0)+1/ROWS('EN BLANCO - Entrada de datos'!$AA$15:$AA$23)))</f>
        <v>0.33333333333333331</v>
      </c>
      <c r="AI17" s="190">
        <f ca="1">IF(ROW()=ROW('EN BLANCO - Entrada de datos'!$AA$15:$AA$23),0,OFFSET('EN BLANCO - Entrada de datos'!$AI17,-1,0))+IF(LEN('EN BLANCO - Entrada de datos'!$AA17),'EN BLANCO - Entrada de datos'!$AA17,0)</f>
        <v>0</v>
      </c>
      <c r="AJ17" s="190" t="e">
        <f>IF('EN BLANCO - Entrada de datos'!$AO$17=1,IF(LEN('EN BLANCO - Entrada de datos'!$AB17),'EN BLANCO - Entrada de datos'!$AB17/2,'EN BLANCO - Entrada de datos'!$AI17-'EN BLANCO - Entrada de datos'!$AA17/2),NA())</f>
        <v>#N/A</v>
      </c>
      <c r="AK17" s="190" t="e">
        <f ca="1">IF(OR('EN BLANCO - Entrada de datos'!$AO$17=2,AND('EN BLANCO - Entrada de datos'!$AO$17=3,OR(AND(LEN('EN BLANCO - Entrada de datos'!$AB17)&gt;0,'EN BLANCO - Entrada de datos'!$AI17&gt;0),AND(LEN('EN BLANCO - Entrada de datos'!$AA17),'EN BLANCO - Entrada de datos'!$AA17&gt;=0)))),IF(LEN('EN BLANCO - Entrada de datos'!$AB17),MAX(0,'EN BLANCO - Entrada de datos'!$AI17),'EN BLANCO - Entrada de datos'!$AI17-MIN(0,'EN BLANCO - Entrada de datos'!$AA17)),NA())</f>
        <v>#N/A</v>
      </c>
      <c r="AL17" s="190" t="e">
        <f ca="1">IF('EN BLANCO - Entrada de datos'!$AO$17=3,IF(LEN('EN BLANCO - Entrada de datos'!$AB17),IF('EN BLANCO - Entrada de datos'!$AB17&lt;0,'EN BLANCO - Entrada de datos'!$AB17,NA()),IF('EN BLANCO - Entrada de datos'!$AA17&lt;0,'EN BLANCO - Entrada de datos'!$AI17,NA())),NA())</f>
        <v>#N/A</v>
      </c>
      <c r="AM17" s="191">
        <f ca="1">IF(ROW()=ROW('EN BLANCO - Entrada de datos'!$AA$15:$AA$23),0.5/ROWS('EN BLANCO - Entrada de datos'!$AA$15:$AA$23),OFFSET('EN BLANCO - Entrada de datos'!$AM17,-1,0)+1/ROWS('EN BLANCO - Entrada de datos'!$AA$15:$AA$23))</f>
        <v>0.27777777777777779</v>
      </c>
      <c r="AN17" s="190">
        <f ca="1">IF(LEN('EN BLANCO - Entrada de datos'!$AA17),'EN BLANCO - Entrada de datos'!$AA17,'EN BLANCO - Entrada de datos'!$AB17)</f>
        <v>0</v>
      </c>
      <c r="AO17" s="192">
        <v>3</v>
      </c>
    </row>
    <row r="18" spans="2:41" ht="26.4" x14ac:dyDescent="0.3">
      <c r="B18" s="179" t="s">
        <v>617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78">
        <f t="shared" si="0"/>
        <v>0</v>
      </c>
      <c r="P18" s="184"/>
      <c r="Q18" s="176"/>
      <c r="R18" s="165"/>
      <c r="S18" s="165"/>
      <c r="T18" s="165"/>
      <c r="U18" s="167" t="s">
        <v>590</v>
      </c>
      <c r="V18" s="193">
        <f>SUM(V16:V17)</f>
        <v>0</v>
      </c>
      <c r="W18" s="138"/>
      <c r="X18" s="138"/>
      <c r="Y18" s="138"/>
      <c r="Z18" s="195" t="str">
        <f>IF(LEN('EN BLANCO - Entrada de datos'!$U$7),'EN BLANCO - Entrada de datos'!$U$7,"")</f>
        <v>Gastos</v>
      </c>
      <c r="AA18" s="196">
        <f>IF(LEN('EN BLANCO - Entrada de datos'!$V$7),'EN BLANCO - Entrada de datos'!$V$7,"")*-1</f>
        <v>0</v>
      </c>
      <c r="AB18" s="196" t="str">
        <f>IF(OR(LEN('EN BLANCO - Entrada de datos'!$AA18)=0,AND(ROW()=ROW('EN BLANCO - Entrada de datos'!$AA$15:$AA$23),'EN BLANCO - Entrada de datos'!$AO$15)),'EN BLANCO - Entrada de datos'!$AI18,"")</f>
        <v/>
      </c>
      <c r="AC18" s="196">
        <f ca="1">IF(LEN('EN BLANCO - Entrada de datos'!$AA18)=0,0,IF(AND('EN BLANCO - Entrada de datos'!$AI18&lt;0,'EN BLANCO - Entrada de datos'!$AI18-'EN BLANCO - Entrada de datos'!$AA18&lt;0,LEN('EN BLANCO - Entrada de datos'!$AB18)=0),'EN BLANCO - Entrada de datos'!$AI18-MIN(0,'EN BLANCO - Entrada de datos'!$AA18),IF(AND('EN BLANCO - Entrada de datos'!$AI18&gt;0,'EN BLANCO - Entrada de datos'!$AI18-'EN BLANCO - Entrada de datos'!$AA18&gt;0,LEN('EN BLANCO - Entrada de datos'!$AB18)=0),'EN BLANCO - Entrada de datos'!$AI18-MAX(0,'EN BLANCO - Entrada de datos'!$AA18),0)))</f>
        <v>0</v>
      </c>
      <c r="AD18" s="196">
        <f ca="1">IF(LEN('EN BLANCO - Entrada de datos'!$AA18)=0,0,IF(AND('EN BLANCO - Entrada de datos'!$AI18&lt;0,'EN BLANCO - Entrada de datos'!$AA18&lt;0,LEN('EN BLANCO - Entrada de datos'!$AB18)=0),MAX('EN BLANCO - Entrada de datos'!$AA18,'EN BLANCO - Entrada de datos'!$AI18),0))</f>
        <v>0</v>
      </c>
      <c r="AE18" s="196">
        <f ca="1">IF(LEN('EN BLANCO - Entrada de datos'!$AA18)=0,0,IF(AND('EN BLANCO - Entrada de datos'!$AI18-'EN BLANCO - Entrada de datos'!$AA18&lt;0,'EN BLANCO - Entrada de datos'!$AA18&gt;0,LEN('EN BLANCO - Entrada de datos'!$AB18)=0),MAX(-'EN BLANCO - Entrada de datos'!$AA18,'EN BLANCO - Entrada de datos'!$AI18-'EN BLANCO - Entrada de datos'!$AA18),0))</f>
        <v>0</v>
      </c>
      <c r="AF18" s="196">
        <f ca="1">IF(LEN('EN BLANCO - Entrada de datos'!$AA18)=0,0,IF(AND('EN BLANCO - Entrada de datos'!$AI18-'EN BLANCO - Entrada de datos'!$AA18&gt;0,'EN BLANCO - Entrada de datos'!$AA18&lt;0,LEN('EN BLANCO - Entrada de datos'!$AB18)=0),MIN(-'EN BLANCO - Entrada de datos'!$AA18,'EN BLANCO - Entrada de datos'!$AI18-'EN BLANCO - Entrada de datos'!$AA18),0))</f>
        <v>0</v>
      </c>
      <c r="AG18" s="196">
        <f ca="1">IF(LEN('EN BLANCO - Entrada de datos'!$AA18)=0,0,IF(AND('EN BLANCO - Entrada de datos'!$AI18&gt;0,'EN BLANCO - Entrada de datos'!$AA18&gt;0,LEN('EN BLANCO - Entrada de datos'!$AB18)=0),MIN('EN BLANCO - Entrada de datos'!$AA18,'EN BLANCO - Entrada de datos'!$AI18),0))</f>
        <v>0</v>
      </c>
      <c r="AH18" s="192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datos'!$AH18,-1,0)+1/ROWS('EN BLANCO - Entrada de datos'!$AA$15:$AA$23)))</f>
        <v>0.44444444444444442</v>
      </c>
      <c r="AI18" s="196">
        <f ca="1">IF(ROW()=ROW('EN BLANCO - Entrada de datos'!$AA$15:$AA$23),0,OFFSET('EN BLANCO - Entrada de datos'!$AI18,-1,0))+IF(LEN('EN BLANCO - Entrada de datos'!$AA18),'EN BLANCO - Entrada de datos'!$AA18,0)</f>
        <v>0</v>
      </c>
      <c r="AJ18" s="196" t="e">
        <f>IF('EN BLANCO - Entrada de datos'!$AO$17=1,IF(LEN('EN BLANCO - Entrada de datos'!$AB18),'EN BLANCO - Entrada de datos'!$AB18/2,'EN BLANCO - Entrada de datos'!$AI18-'EN BLANCO - Entrada de datos'!$AA18/2),NA())</f>
        <v>#N/A</v>
      </c>
      <c r="AK18" s="196">
        <f ca="1">IF(OR('EN BLANCO - Entrada de datos'!$AO$17=2,AND('EN BLANCO - Entrada de datos'!$AO$17=3,OR(AND(LEN('EN BLANCO - Entrada de datos'!$AB18)&gt;0,'EN BLANCO - Entrada de datos'!$AI18&gt;0),AND(LEN('EN BLANCO - Entrada de datos'!$AA18),'EN BLANCO - Entrada de datos'!$AA18&gt;=0)))),IF(LEN('EN BLANCO - Entrada de datos'!$AB18),MAX(0,'EN BLANCO - Entrada de datos'!$AI18),'EN BLANCO - Entrada de datos'!$AI18-MIN(0,'EN BLANCO - Entrada de datos'!$AA18)),NA())</f>
        <v>0</v>
      </c>
      <c r="AL18" s="196" t="e">
        <f>IF('EN BLANCO - Entrada de datos'!$AO$17=3,IF(LEN('EN BLANCO - Entrada de datos'!$AB18),IF('EN BLANCO - Entrada de datos'!$AB18&lt;0,'EN BLANCO - Entrada de datos'!$AB18,NA()),IF('EN BLANCO - Entrada de datos'!$AA18&lt;0,'EN BLANCO - Entrada de datos'!$AI18,NA())),NA())</f>
        <v>#N/A</v>
      </c>
      <c r="AM18" s="192">
        <f ca="1">IF(ROW()=ROW('EN BLANCO - Entrada de datos'!$AA$15:$AA$23),0.5/ROWS('EN BLANCO - Entrada de datos'!$AA$15:$AA$23),OFFSET('EN BLANCO - Entrada de datos'!$AM18,-1,0)+1/ROWS('EN BLANCO - Entrada de datos'!$AA$15:$AA$23))</f>
        <v>0.3888888888888889</v>
      </c>
      <c r="AN18" s="196">
        <f>IF(LEN('EN BLANCO - Entrada de datos'!$AA18),'EN BLANCO - Entrada de datos'!$AA18,'EN BLANCO - Entrada de datos'!$AB18)</f>
        <v>0</v>
      </c>
      <c r="AO18" s="192"/>
    </row>
    <row r="19" spans="2:41" ht="26.4" x14ac:dyDescent="0.3">
      <c r="B19" s="179" t="s">
        <v>618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78">
        <f t="shared" si="0"/>
        <v>0</v>
      </c>
      <c r="P19" s="184"/>
      <c r="Q19" s="176"/>
      <c r="R19" s="165"/>
      <c r="S19" s="165"/>
      <c r="T19" s="165"/>
      <c r="U19" s="167" t="s">
        <v>592</v>
      </c>
      <c r="V19" s="168">
        <f>+V9*-1</f>
        <v>0</v>
      </c>
      <c r="W19" s="138"/>
      <c r="X19" s="138"/>
      <c r="Y19" s="138"/>
      <c r="Z19" s="189" t="str">
        <f>IF(LEN('EN BLANCO - Entrada de datos'!$U$8),'EN BLANCO - Entrada de datos'!$U$8,"")</f>
        <v>Ganancias antes de intereses e impuestos</v>
      </c>
      <c r="AA19" s="190" t="str">
        <f>IF(LEN('EN BLANCO - Entrada de datos'!$V$8),'EN BLANCO - Entrada de datos'!$V$8,"")</f>
        <v/>
      </c>
      <c r="AB19" s="190">
        <f ca="1">IF(OR(LEN('EN BLANCO - Entrada de datos'!$AA19)=0,AND(ROW()=ROW('EN BLANCO - Entrada de datos'!$AA$15:$AA$23),'EN BLANCO - Entrada de datos'!$AO$15)),'EN BLANCO - Entrada de datos'!$AI19,"")</f>
        <v>0</v>
      </c>
      <c r="AC19" s="190">
        <f>IF(LEN('EN BLANCO - Entrada de datos'!$AA19)=0,0,IF(AND('EN BLANCO - Entrada de datos'!$AI19&lt;0,'EN BLANCO - Entrada de datos'!$AI19-'EN BLANCO - Entrada de datos'!$AA19&lt;0,LEN('EN BLANCO - Entrada de datos'!$AB19)=0),'EN BLANCO - Entrada de datos'!$AI19-MIN(0,'EN BLANCO - Entrada de datos'!$AA19),IF(AND('EN BLANCO - Entrada de datos'!$AI19&gt;0,'EN BLANCO - Entrada de datos'!$AI19-'EN BLANCO - Entrada de datos'!$AA19&gt;0,LEN('EN BLANCO - Entrada de datos'!$AB19)=0),'EN BLANCO - Entrada de datos'!$AI19-MAX(0,'EN BLANCO - Entrada de datos'!$AA19),0)))</f>
        <v>0</v>
      </c>
      <c r="AD19" s="190">
        <f>IF(LEN('EN BLANCO - Entrada de datos'!$AA19)=0,0,IF(AND('EN BLANCO - Entrada de datos'!$AI19&lt;0,'EN BLANCO - Entrada de datos'!$AA19&lt;0,LEN('EN BLANCO - Entrada de datos'!$AB19)=0),MAX('EN BLANCO - Entrada de datos'!$AA19,'EN BLANCO - Entrada de datos'!$AI19),0))</f>
        <v>0</v>
      </c>
      <c r="AE19" s="190">
        <f>IF(LEN('EN BLANCO - Entrada de datos'!$AA19)=0,0,IF(AND('EN BLANCO - Entrada de datos'!$AI19-'EN BLANCO - Entrada de datos'!$AA19&lt;0,'EN BLANCO - Entrada de datos'!$AA19&gt;0,LEN('EN BLANCO - Entrada de datos'!$AB19)=0),MAX(-'EN BLANCO - Entrada de datos'!$AA19,'EN BLANCO - Entrada de datos'!$AI19-'EN BLANCO - Entrada de datos'!$AA19),0))</f>
        <v>0</v>
      </c>
      <c r="AF19" s="190">
        <f>IF(LEN('EN BLANCO - Entrada de datos'!$AA19)=0,0,IF(AND('EN BLANCO - Entrada de datos'!$AI19-'EN BLANCO - Entrada de datos'!$AA19&gt;0,'EN BLANCO - Entrada de datos'!$AA19&lt;0,LEN('EN BLANCO - Entrada de datos'!$AB19)=0),MIN(-'EN BLANCO - Entrada de datos'!$AA19,'EN BLANCO - Entrada de datos'!$AI19-'EN BLANCO - Entrada de datos'!$AA19),0))</f>
        <v>0</v>
      </c>
      <c r="AG19" s="190">
        <f>IF(LEN('EN BLANCO - Entrada de datos'!$AA19)=0,0,IF(AND('EN BLANCO - Entrada de datos'!$AI19&gt;0,'EN BLANCO - Entrada de datos'!$AA19&gt;0,LEN('EN BLANCO - Entrada de datos'!$AB19)=0),MIN('EN BLANCO - Entrada de datos'!$AA19,'EN BLANCO - Entrada de datos'!$AI19),0))</f>
        <v>0</v>
      </c>
      <c r="AH19" s="191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datos'!$AH19,-1,0)+1/ROWS('EN BLANCO - Entrada de datos'!$AA$15:$AA$23)))</f>
        <v>0.55555555555555558</v>
      </c>
      <c r="AI19" s="190">
        <f ca="1">IF(ROW()=ROW('EN BLANCO - Entrada de datos'!$AA$15:$AA$23),0,OFFSET('EN BLANCO - Entrada de datos'!$AI19,-1,0))+IF(LEN('EN BLANCO - Entrada de datos'!$AA19),'EN BLANCO - Entrada de datos'!$AA19,0)</f>
        <v>0</v>
      </c>
      <c r="AJ19" s="190" t="e">
        <f>IF('EN BLANCO - Entrada de datos'!$AO$17=1,IF(LEN('EN BLANCO - Entrada de datos'!$AB19),'EN BLANCO - Entrada de datos'!$AB19/2,'EN BLANCO - Entrada de datos'!$AI19-'EN BLANCO - Entrada de datos'!$AA19/2),NA())</f>
        <v>#N/A</v>
      </c>
      <c r="AK19" s="190" t="e">
        <f ca="1">IF(OR('EN BLANCO - Entrada de datos'!$AO$17=2,AND('EN BLANCO - Entrada de datos'!$AO$17=3,OR(AND(LEN('EN BLANCO - Entrada de datos'!$AB19)&gt;0,'EN BLANCO - Entrada de datos'!$AI19&gt;0),AND(LEN('EN BLANCO - Entrada de datos'!$AA19),'EN BLANCO - Entrada de datos'!$AA19&gt;=0)))),IF(LEN('EN BLANCO - Entrada de datos'!$AB19),MAX(0,'EN BLANCO - Entrada de datos'!$AI19),'EN BLANCO - Entrada de datos'!$AI19-MIN(0,'EN BLANCO - Entrada de datos'!$AA19)),NA())</f>
        <v>#N/A</v>
      </c>
      <c r="AL19" s="190" t="e">
        <f ca="1">IF('EN BLANCO - Entrada de datos'!$AO$17=3,IF(LEN('EN BLANCO - Entrada de datos'!$AB19),IF('EN BLANCO - Entrada de datos'!$AB19&lt;0,'EN BLANCO - Entrada de datos'!$AB19,NA()),IF('EN BLANCO - Entrada de datos'!$AA19&lt;0,'EN BLANCO - Entrada de datos'!$AI19,NA())),NA())</f>
        <v>#N/A</v>
      </c>
      <c r="AM19" s="191">
        <f ca="1">IF(ROW()=ROW('EN BLANCO - Entrada de datos'!$AA$15:$AA$23),0.5/ROWS('EN BLANCO - Entrada de datos'!$AA$15:$AA$23),OFFSET('EN BLANCO - Entrada de datos'!$AM19,-1,0)+1/ROWS('EN BLANCO - Entrada de datos'!$AA$15:$AA$23))</f>
        <v>0.5</v>
      </c>
      <c r="AN19" s="190">
        <f ca="1">IF(LEN('EN BLANCO - Entrada de datos'!$AA19),'EN BLANCO - Entrada de datos'!$AA19,'EN BLANCO - Entrada de datos'!$AB19)</f>
        <v>0</v>
      </c>
      <c r="AO19" s="192"/>
    </row>
    <row r="20" spans="2:41" ht="20.25" customHeight="1" x14ac:dyDescent="0.3">
      <c r="B20" s="179" t="s">
        <v>619</v>
      </c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78">
        <f t="shared" si="0"/>
        <v>0</v>
      </c>
      <c r="P20" s="184"/>
      <c r="Q20" s="176"/>
      <c r="R20" s="165"/>
      <c r="S20" s="165"/>
      <c r="T20" s="165"/>
      <c r="U20" s="167" t="s">
        <v>594</v>
      </c>
      <c r="V20" s="193">
        <f>SUM(V18:V19)</f>
        <v>0</v>
      </c>
      <c r="W20" s="138"/>
      <c r="X20" s="138"/>
      <c r="Y20" s="138"/>
      <c r="Z20" s="195" t="str">
        <f>IF(LEN('EN BLANCO - Entrada de datos'!$U$9),'EN BLANCO - Entrada de datos'!$U$9,"")</f>
        <v>Interés</v>
      </c>
      <c r="AA20" s="196">
        <f>IF(LEN('EN BLANCO - Entrada de datos'!$V$9),'EN BLANCO - Entrada de datos'!$V$9,"")*-1</f>
        <v>0</v>
      </c>
      <c r="AB20" s="196" t="str">
        <f>IF(OR(LEN('EN BLANCO - Entrada de datos'!$AA20)=0,AND(ROW()=ROW('EN BLANCO - Entrada de datos'!$AA$15:$AA$23),'EN BLANCO - Entrada de datos'!$AO$15)),'EN BLANCO - Entrada de datos'!$AI20,"")</f>
        <v/>
      </c>
      <c r="AC20" s="196">
        <f ca="1">IF(LEN('EN BLANCO - Entrada de datos'!$AA20)=0,0,IF(AND('EN BLANCO - Entrada de datos'!$AI20&lt;0,'EN BLANCO - Entrada de datos'!$AI20-'EN BLANCO - Entrada de datos'!$AA20&lt;0,LEN('EN BLANCO - Entrada de datos'!$AB20)=0),'EN BLANCO - Entrada de datos'!$AI20-MIN(0,'EN BLANCO - Entrada de datos'!$AA20),IF(AND('EN BLANCO - Entrada de datos'!$AI20&gt;0,'EN BLANCO - Entrada de datos'!$AI20-'EN BLANCO - Entrada de datos'!$AA20&gt;0,LEN('EN BLANCO - Entrada de datos'!$AB20)=0),'EN BLANCO - Entrada de datos'!$AI20-MAX(0,'EN BLANCO - Entrada de datos'!$AA20),0)))</f>
        <v>0</v>
      </c>
      <c r="AD20" s="196">
        <f ca="1">IF(LEN('EN BLANCO - Entrada de datos'!$AA20)=0,0,IF(AND('EN BLANCO - Entrada de datos'!$AI20&lt;0,'EN BLANCO - Entrada de datos'!$AA20&lt;0,LEN('EN BLANCO - Entrada de datos'!$AB20)=0),MAX('EN BLANCO - Entrada de datos'!$AA20,'EN BLANCO - Entrada de datos'!$AI20),0))</f>
        <v>0</v>
      </c>
      <c r="AE20" s="196">
        <f ca="1">IF(LEN('EN BLANCO - Entrada de datos'!$AA20)=0,0,IF(AND('EN BLANCO - Entrada de datos'!$AI20-'EN BLANCO - Entrada de datos'!$AA20&lt;0,'EN BLANCO - Entrada de datos'!$AA20&gt;0,LEN('EN BLANCO - Entrada de datos'!$AB20)=0),MAX(-'EN BLANCO - Entrada de datos'!$AA20,'EN BLANCO - Entrada de datos'!$AI20-'EN BLANCO - Entrada de datos'!$AA20),0))</f>
        <v>0</v>
      </c>
      <c r="AF20" s="196">
        <f ca="1">IF(LEN('EN BLANCO - Entrada de datos'!$AA20)=0,0,IF(AND('EN BLANCO - Entrada de datos'!$AI20-'EN BLANCO - Entrada de datos'!$AA20&gt;0,'EN BLANCO - Entrada de datos'!$AA20&lt;0,LEN('EN BLANCO - Entrada de datos'!$AB20)=0),MIN(-'EN BLANCO - Entrada de datos'!$AA20,'EN BLANCO - Entrada de datos'!$AI20-'EN BLANCO - Entrada de datos'!$AA20),0))</f>
        <v>0</v>
      </c>
      <c r="AG20" s="196">
        <f ca="1">IF(LEN('EN BLANCO - Entrada de datos'!$AA20)=0,0,IF(AND('EN BLANCO - Entrada de datos'!$AI20&gt;0,'EN BLANCO - Entrada de datos'!$AA20&gt;0,LEN('EN BLANCO - Entrada de datos'!$AB20)=0),MIN('EN BLANCO - Entrada de datos'!$AA20,'EN BLANCO - Entrada de datos'!$AI20),0))</f>
        <v>0</v>
      </c>
      <c r="AH20" s="192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datos'!$AH20,-1,0)+1/ROWS('EN BLANCO - Entrada de datos'!$AA$15:$AA$23)))</f>
        <v>0.66666666666666674</v>
      </c>
      <c r="AI20" s="196">
        <f ca="1">IF(ROW()=ROW('EN BLANCO - Entrada de datos'!$AA$15:$AA$23),0,OFFSET('EN BLANCO - Entrada de datos'!$AI20,-1,0))+IF(LEN('EN BLANCO - Entrada de datos'!$AA20),'EN BLANCO - Entrada de datos'!$AA20,0)</f>
        <v>0</v>
      </c>
      <c r="AJ20" s="196" t="e">
        <f>IF('EN BLANCO - Entrada de datos'!$AO$17=1,IF(LEN('EN BLANCO - Entrada de datos'!$AB20),'EN BLANCO - Entrada de datos'!$AB20/2,'EN BLANCO - Entrada de datos'!$AI20-'EN BLANCO - Entrada de datos'!$AA20/2),NA())</f>
        <v>#N/A</v>
      </c>
      <c r="AK20" s="196">
        <f ca="1">IF(OR('EN BLANCO - Entrada de datos'!$AO$17=2,AND('EN BLANCO - Entrada de datos'!$AO$17=3,OR(AND(LEN('EN BLANCO - Entrada de datos'!$AB20)&gt;0,'EN BLANCO - Entrada de datos'!$AI20&gt;0),AND(LEN('EN BLANCO - Entrada de datos'!$AA20),'EN BLANCO - Entrada de datos'!$AA20&gt;=0)))),IF(LEN('EN BLANCO - Entrada de datos'!$AB20),MAX(0,'EN BLANCO - Entrada de datos'!$AI20),'EN BLANCO - Entrada de datos'!$AI20-MIN(0,'EN BLANCO - Entrada de datos'!$AA20)),NA())</f>
        <v>0</v>
      </c>
      <c r="AL20" s="196" t="e">
        <f>IF('EN BLANCO - Entrada de datos'!$AO$17=3,IF(LEN('EN BLANCO - Entrada de datos'!$AB20),IF('EN BLANCO - Entrada de datos'!$AB20&lt;0,'EN BLANCO - Entrada de datos'!$AB20,NA()),IF('EN BLANCO - Entrada de datos'!$AA20&lt;0,'EN BLANCO - Entrada de datos'!$AI20,NA())),NA())</f>
        <v>#N/A</v>
      </c>
      <c r="AM20" s="192">
        <f ca="1">IF(ROW()=ROW('EN BLANCO - Entrada de datos'!$AA$15:$AA$23),0.5/ROWS('EN BLANCO - Entrada de datos'!$AA$15:$AA$23),OFFSET('EN BLANCO - Entrada de datos'!$AM20,-1,0)+1/ROWS('EN BLANCO - Entrada de datos'!$AA$15:$AA$23))</f>
        <v>0.61111111111111116</v>
      </c>
      <c r="AN20" s="196">
        <f>IF(LEN('EN BLANCO - Entrada de datos'!$AA20),'EN BLANCO - Entrada de datos'!$AA20,'EN BLANCO - Entrada de datos'!$AB20)</f>
        <v>0</v>
      </c>
      <c r="AO20" s="192"/>
    </row>
    <row r="21" spans="2:41" ht="20.25" customHeight="1" x14ac:dyDescent="0.3">
      <c r="B21" s="179" t="s">
        <v>620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178">
        <f t="shared" si="0"/>
        <v>0</v>
      </c>
      <c r="P21" s="184"/>
      <c r="Q21" s="176"/>
      <c r="R21" s="165"/>
      <c r="S21" s="165"/>
      <c r="T21" s="165"/>
      <c r="U21" s="167" t="s">
        <v>596</v>
      </c>
      <c r="V21" s="168">
        <f>+V11*-1</f>
        <v>0</v>
      </c>
      <c r="W21" s="138"/>
      <c r="X21" s="138"/>
      <c r="Y21" s="138"/>
      <c r="Z21" s="189" t="str">
        <f>IF(LEN('EN BLANCO - Entrada de datos'!$U$10),'EN BLANCO - Entrada de datos'!$U$10,"")</f>
        <v>Ingresos antes de impuestos</v>
      </c>
      <c r="AA21" s="190" t="str">
        <f>IF(LEN('EN BLANCO - Entrada de datos'!$V$10),'EN BLANCO - Entrada de datos'!$V$10,"")</f>
        <v/>
      </c>
      <c r="AB21" s="190">
        <f ca="1">IF(OR(LEN('EN BLANCO - Entrada de datos'!$AA21)=0,AND(ROW()=ROW('EN BLANCO - Entrada de datos'!$AA$15:$AA$23),'EN BLANCO - Entrada de datos'!$AO$15)),'EN BLANCO - Entrada de datos'!$AI21,"")</f>
        <v>0</v>
      </c>
      <c r="AC21" s="190">
        <f>IF(LEN('EN BLANCO - Entrada de datos'!$AA21)=0,0,IF(AND('EN BLANCO - Entrada de datos'!$AI21&lt;0,'EN BLANCO - Entrada de datos'!$AI21-'EN BLANCO - Entrada de datos'!$AA21&lt;0,LEN('EN BLANCO - Entrada de datos'!$AB21)=0),'EN BLANCO - Entrada de datos'!$AI21-MIN(0,'EN BLANCO - Entrada de datos'!$AA21),IF(AND('EN BLANCO - Entrada de datos'!$AI21&gt;0,'EN BLANCO - Entrada de datos'!$AI21-'EN BLANCO - Entrada de datos'!$AA21&gt;0,LEN('EN BLANCO - Entrada de datos'!$AB21)=0),'EN BLANCO - Entrada de datos'!$AI21-MAX(0,'EN BLANCO - Entrada de datos'!$AA21),0)))</f>
        <v>0</v>
      </c>
      <c r="AD21" s="190">
        <f>IF(LEN('EN BLANCO - Entrada de datos'!$AA21)=0,0,IF(AND('EN BLANCO - Entrada de datos'!$AI21&lt;0,'EN BLANCO - Entrada de datos'!$AA21&lt;0,LEN('EN BLANCO - Entrada de datos'!$AB21)=0),MAX('EN BLANCO - Entrada de datos'!$AA21,'EN BLANCO - Entrada de datos'!$AI21),0))</f>
        <v>0</v>
      </c>
      <c r="AE21" s="190">
        <f>IF(LEN('EN BLANCO - Entrada de datos'!$AA21)=0,0,IF(AND('EN BLANCO - Entrada de datos'!$AI21-'EN BLANCO - Entrada de datos'!$AA21&lt;0,'EN BLANCO - Entrada de datos'!$AA21&gt;0,LEN('EN BLANCO - Entrada de datos'!$AB21)=0),MAX(-'EN BLANCO - Entrada de datos'!$AA21,'EN BLANCO - Entrada de datos'!$AI21-'EN BLANCO - Entrada de datos'!$AA21),0))</f>
        <v>0</v>
      </c>
      <c r="AF21" s="190">
        <f>IF(LEN('EN BLANCO - Entrada de datos'!$AA21)=0,0,IF(AND('EN BLANCO - Entrada de datos'!$AI21-'EN BLANCO - Entrada de datos'!$AA21&gt;0,'EN BLANCO - Entrada de datos'!$AA21&lt;0,LEN('EN BLANCO - Entrada de datos'!$AB21)=0),MIN(-'EN BLANCO - Entrada de datos'!$AA21,'EN BLANCO - Entrada de datos'!$AI21-'EN BLANCO - Entrada de datos'!$AA21),0))</f>
        <v>0</v>
      </c>
      <c r="AG21" s="190">
        <f>IF(LEN('EN BLANCO - Entrada de datos'!$AA21)=0,0,IF(AND('EN BLANCO - Entrada de datos'!$AI21&gt;0,'EN BLANCO - Entrada de datos'!$AA21&gt;0,LEN('EN BLANCO - Entrada de datos'!$AB21)=0),MIN('EN BLANCO - Entrada de datos'!$AA21,'EN BLANCO - Entrada de datos'!$AI21),0))</f>
        <v>0</v>
      </c>
      <c r="AH21" s="191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datos'!$AH21,-1,0)+1/ROWS('EN BLANCO - Entrada de datos'!$AA$15:$AA$23)))</f>
        <v>0.7777777777777779</v>
      </c>
      <c r="AI21" s="190">
        <f ca="1">IF(ROW()=ROW('EN BLANCO - Entrada de datos'!$AA$15:$AA$23),0,OFFSET('EN BLANCO - Entrada de datos'!$AI21,-1,0))+IF(LEN('EN BLANCO - Entrada de datos'!$AA21),'EN BLANCO - Entrada de datos'!$AA21,0)</f>
        <v>0</v>
      </c>
      <c r="AJ21" s="190" t="e">
        <f>IF('EN BLANCO - Entrada de datos'!$AO$17=1,IF(LEN('EN BLANCO - Entrada de datos'!$AB21),'EN BLANCO - Entrada de datos'!$AB21/2,'EN BLANCO - Entrada de datos'!$AI21-'EN BLANCO - Entrada de datos'!$AA21/2),NA())</f>
        <v>#N/A</v>
      </c>
      <c r="AK21" s="190" t="e">
        <f ca="1">IF(OR('EN BLANCO - Entrada de datos'!$AO$17=2,AND('EN BLANCO - Entrada de datos'!$AO$17=3,OR(AND(LEN('EN BLANCO - Entrada de datos'!$AB21)&gt;0,'EN BLANCO - Entrada de datos'!$AI21&gt;0),AND(LEN('EN BLANCO - Entrada de datos'!$AA21),'EN BLANCO - Entrada de datos'!$AA21&gt;=0)))),IF(LEN('EN BLANCO - Entrada de datos'!$AB21),MAX(0,'EN BLANCO - Entrada de datos'!$AI21),'EN BLANCO - Entrada de datos'!$AI21-MIN(0,'EN BLANCO - Entrada de datos'!$AA21)),NA())</f>
        <v>#N/A</v>
      </c>
      <c r="AL21" s="190" t="e">
        <f ca="1">IF('EN BLANCO - Entrada de datos'!$AO$17=3,IF(LEN('EN BLANCO - Entrada de datos'!$AB21),IF('EN BLANCO - Entrada de datos'!$AB21&lt;0,'EN BLANCO - Entrada de datos'!$AB21,NA()),IF('EN BLANCO - Entrada de datos'!$AA21&lt;0,'EN BLANCO - Entrada de datos'!$AI21,NA())),NA())</f>
        <v>#N/A</v>
      </c>
      <c r="AM21" s="191">
        <f ca="1">IF(ROW()=ROW('EN BLANCO - Entrada de datos'!$AA$15:$AA$23),0.5/ROWS('EN BLANCO - Entrada de datos'!$AA$15:$AA$23),OFFSET('EN BLANCO - Entrada de datos'!$AM21,-1,0)+1/ROWS('EN BLANCO - Entrada de datos'!$AA$15:$AA$23))</f>
        <v>0.72222222222222232</v>
      </c>
      <c r="AN21" s="190">
        <f ca="1">IF(LEN('EN BLANCO - Entrada de datos'!$AA21),'EN BLANCO - Entrada de datos'!$AA21,'EN BLANCO - Entrada de datos'!$AB21)</f>
        <v>0</v>
      </c>
      <c r="AO21" s="192"/>
    </row>
    <row r="22" spans="2:41" ht="20.25" customHeight="1" x14ac:dyDescent="0.3">
      <c r="B22" s="179" t="s">
        <v>595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78">
        <f t="shared" si="0"/>
        <v>0</v>
      </c>
      <c r="P22" s="184"/>
      <c r="Q22" s="176"/>
      <c r="R22" s="165"/>
      <c r="S22" s="165"/>
      <c r="T22" s="165"/>
      <c r="U22" s="167" t="s">
        <v>598</v>
      </c>
      <c r="V22" s="168">
        <f>SUM(V20:V21)</f>
        <v>0</v>
      </c>
      <c r="W22" s="138"/>
      <c r="X22" s="138"/>
      <c r="Y22" s="138"/>
      <c r="Z22" s="195" t="str">
        <f>IF(LEN('EN BLANCO - Entrada de datos'!$U$11),'EN BLANCO - Entrada de datos'!$U$11,"")</f>
        <v>Impuestos sobre la renta</v>
      </c>
      <c r="AA22" s="196">
        <f>IF(LEN('EN BLANCO - Entrada de datos'!$V$11),'EN BLANCO - Entrada de datos'!$V$11,"")*-1</f>
        <v>0</v>
      </c>
      <c r="AB22" s="196" t="str">
        <f>IF(OR(LEN('EN BLANCO - Entrada de datos'!$AA22)=0,AND(ROW()=ROW('EN BLANCO - Entrada de datos'!$AA$15:$AA$23),'EN BLANCO - Entrada de datos'!$AO$15)),'EN BLANCO - Entrada de datos'!$AI22,"")</f>
        <v/>
      </c>
      <c r="AC22" s="196">
        <f ca="1">IF(LEN('EN BLANCO - Entrada de datos'!$AA22)=0,0,IF(AND('EN BLANCO - Entrada de datos'!$AI22&lt;0,'EN BLANCO - Entrada de datos'!$AI22-'EN BLANCO - Entrada de datos'!$AA22&lt;0,LEN('EN BLANCO - Entrada de datos'!$AB22)=0),'EN BLANCO - Entrada de datos'!$AI22-MIN(0,'EN BLANCO - Entrada de datos'!$AA22),IF(AND('EN BLANCO - Entrada de datos'!$AI22&gt;0,'EN BLANCO - Entrada de datos'!$AI22-'EN BLANCO - Entrada de datos'!$AA22&gt;0,LEN('EN BLANCO - Entrada de datos'!$AB22)=0),'EN BLANCO - Entrada de datos'!$AI22-MAX(0,'EN BLANCO - Entrada de datos'!$AA22),0)))</f>
        <v>0</v>
      </c>
      <c r="AD22" s="196">
        <f ca="1">IF(LEN('EN BLANCO - Entrada de datos'!$AA22)=0,0,IF(AND('EN BLANCO - Entrada de datos'!$AI22&lt;0,'EN BLANCO - Entrada de datos'!$AA22&lt;0,LEN('EN BLANCO - Entrada de datos'!$AB22)=0),MAX('EN BLANCO - Entrada de datos'!$AA22,'EN BLANCO - Entrada de datos'!$AI22),0))</f>
        <v>0</v>
      </c>
      <c r="AE22" s="196">
        <f ca="1">IF(LEN('EN BLANCO - Entrada de datos'!$AA22)=0,0,IF(AND('EN BLANCO - Entrada de datos'!$AI22-'EN BLANCO - Entrada de datos'!$AA22&lt;0,'EN BLANCO - Entrada de datos'!$AA22&gt;0,LEN('EN BLANCO - Entrada de datos'!$AB22)=0),MAX(-'EN BLANCO - Entrada de datos'!$AA22,'EN BLANCO - Entrada de datos'!$AI22-'EN BLANCO - Entrada de datos'!$AA22),0))</f>
        <v>0</v>
      </c>
      <c r="AF22" s="196">
        <f ca="1">IF(LEN('EN BLANCO - Entrada de datos'!$AA22)=0,0,IF(AND('EN BLANCO - Entrada de datos'!$AI22-'EN BLANCO - Entrada de datos'!$AA22&gt;0,'EN BLANCO - Entrada de datos'!$AA22&lt;0,LEN('EN BLANCO - Entrada de datos'!$AB22)=0),MIN(-'EN BLANCO - Entrada de datos'!$AA22,'EN BLANCO - Entrada de datos'!$AI22-'EN BLANCO - Entrada de datos'!$AA22),0))</f>
        <v>0</v>
      </c>
      <c r="AG22" s="196">
        <f ca="1">IF(LEN('EN BLANCO - Entrada de datos'!$AA22)=0,0,IF(AND('EN BLANCO - Entrada de datos'!$AI22&gt;0,'EN BLANCO - Entrada de datos'!$AA22&gt;0,LEN('EN BLANCO - Entrada de datos'!$AB22)=0),MIN('EN BLANCO - Entrada de datos'!$AA22,'EN BLANCO - Entrada de datos'!$AI22),0))</f>
        <v>0</v>
      </c>
      <c r="AH22" s="192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datos'!$AH22,-1,0)+1/ROWS('EN BLANCO - Entrada de datos'!$AA$15:$AA$23)))</f>
        <v>0.88888888888888906</v>
      </c>
      <c r="AI22" s="196">
        <f ca="1">IF(ROW()=ROW('EN BLANCO - Entrada de datos'!$AA$15:$AA$23),0,OFFSET('EN BLANCO - Entrada de datos'!$AI22,-1,0))+IF(LEN('EN BLANCO - Entrada de datos'!$AA22),'EN BLANCO - Entrada de datos'!$AA22,0)</f>
        <v>0</v>
      </c>
      <c r="AJ22" s="196" t="e">
        <f>IF('EN BLANCO - Entrada de datos'!$AO$17=1,IF(LEN('EN BLANCO - Entrada de datos'!$AB22),'EN BLANCO - Entrada de datos'!$AB22/2,'EN BLANCO - Entrada de datos'!$AI22-'EN BLANCO - Entrada de datos'!$AA22/2),NA())</f>
        <v>#N/A</v>
      </c>
      <c r="AK22" s="196">
        <f ca="1">IF(OR('EN BLANCO - Entrada de datos'!$AO$17=2,AND('EN BLANCO - Entrada de datos'!$AO$17=3,OR(AND(LEN('EN BLANCO - Entrada de datos'!$AB22)&gt;0,'EN BLANCO - Entrada de datos'!$AI22&gt;0),AND(LEN('EN BLANCO - Entrada de datos'!$AA22),'EN BLANCO - Entrada de datos'!$AA22&gt;=0)))),IF(LEN('EN BLANCO - Entrada de datos'!$AB22),MAX(0,'EN BLANCO - Entrada de datos'!$AI22),'EN BLANCO - Entrada de datos'!$AI22-MIN(0,'EN BLANCO - Entrada de datos'!$AA22)),NA())</f>
        <v>0</v>
      </c>
      <c r="AL22" s="196" t="e">
        <f>IF('EN BLANCO - Entrada de datos'!$AO$17=3,IF(LEN('EN BLANCO - Entrada de datos'!$AB22),IF('EN BLANCO - Entrada de datos'!$AB22&lt;0,'EN BLANCO - Entrada de datos'!$AB22,NA()),IF('EN BLANCO - Entrada de datos'!$AA22&lt;0,'EN BLANCO - Entrada de datos'!$AI22,NA())),NA())</f>
        <v>#N/A</v>
      </c>
      <c r="AM22" s="192">
        <f ca="1">IF(ROW()=ROW('EN BLANCO - Entrada de datos'!$AA$15:$AA$23),0.5/ROWS('EN BLANCO - Entrada de datos'!$AA$15:$AA$23),OFFSET('EN BLANCO - Entrada de datos'!$AM22,-1,0)+1/ROWS('EN BLANCO - Entrada de datos'!$AA$15:$AA$23))</f>
        <v>0.83333333333333348</v>
      </c>
      <c r="AN22" s="196">
        <f>IF(LEN('EN BLANCO - Entrada de datos'!$AA22),'EN BLANCO - Entrada de datos'!$AA22,'EN BLANCO - Entrada de datos'!$AB22)</f>
        <v>0</v>
      </c>
      <c r="AO22" s="192"/>
    </row>
    <row r="23" spans="2:41" ht="20.25" customHeight="1" x14ac:dyDescent="0.3">
      <c r="B23" s="179" t="s">
        <v>621</v>
      </c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178">
        <f t="shared" si="0"/>
        <v>0</v>
      </c>
      <c r="P23" s="184"/>
      <c r="Q23" s="176"/>
      <c r="R23" s="165"/>
      <c r="S23" s="165"/>
      <c r="T23" s="165"/>
      <c r="U23" s="138"/>
      <c r="V23" s="138"/>
      <c r="W23" s="138"/>
      <c r="X23" s="138"/>
      <c r="Y23" s="138"/>
      <c r="Z23" s="189" t="str">
        <f>IF(LEN('EN BLANCO - Entrada de datos'!$U$12),'EN BLANCO - Entrada de datos'!$U$12,"")</f>
        <v>Ingresos netos</v>
      </c>
      <c r="AA23" s="190" t="str">
        <f>IF(LEN('EN BLANCO - Entrada de datos'!$V$12),'EN BLANCO - Entrada de datos'!$V$12,"")</f>
        <v/>
      </c>
      <c r="AB23" s="190">
        <f ca="1">IF(OR(LEN('EN BLANCO - Entrada de datos'!$AA23)=0,AND(ROW()=ROW('EN BLANCO - Entrada de datos'!$AA$15:$AA$23),'EN BLANCO - Entrada de datos'!$AO$15)),'EN BLANCO - Entrada de datos'!$AI23,"")</f>
        <v>0</v>
      </c>
      <c r="AC23" s="190">
        <f>IF(LEN('EN BLANCO - Entrada de datos'!$AA23)=0,0,IF(AND('EN BLANCO - Entrada de datos'!$AI23&lt;0,'EN BLANCO - Entrada de datos'!$AI23-'EN BLANCO - Entrada de datos'!$AA23&lt;0,LEN('EN BLANCO - Entrada de datos'!$AB23)=0),'EN BLANCO - Entrada de datos'!$AI23-MIN(0,'EN BLANCO - Entrada de datos'!$AA23),IF(AND('EN BLANCO - Entrada de datos'!$AI23&gt;0,'EN BLANCO - Entrada de datos'!$AI23-'EN BLANCO - Entrada de datos'!$AA23&gt;0,LEN('EN BLANCO - Entrada de datos'!$AB23)=0),'EN BLANCO - Entrada de datos'!$AI23-MAX(0,'EN BLANCO - Entrada de datos'!$AA23),0)))</f>
        <v>0</v>
      </c>
      <c r="AD23" s="190">
        <f>IF(LEN('EN BLANCO - Entrada de datos'!$AA23)=0,0,IF(AND('EN BLANCO - Entrada de datos'!$AI23&lt;0,'EN BLANCO - Entrada de datos'!$AA23&lt;0,LEN('EN BLANCO - Entrada de datos'!$AB23)=0),MAX('EN BLANCO - Entrada de datos'!$AA23,'EN BLANCO - Entrada de datos'!$AI23),0))</f>
        <v>0</v>
      </c>
      <c r="AE23" s="190">
        <f>IF(LEN('EN BLANCO - Entrada de datos'!$AA23)=0,0,IF(AND('EN BLANCO - Entrada de datos'!$AI23-'EN BLANCO - Entrada de datos'!$AA23&lt;0,'EN BLANCO - Entrada de datos'!$AA23&gt;0,LEN('EN BLANCO - Entrada de datos'!$AB23)=0),MAX(-'EN BLANCO - Entrada de datos'!$AA23,'EN BLANCO - Entrada de datos'!$AI23-'EN BLANCO - Entrada de datos'!$AA23),0))</f>
        <v>0</v>
      </c>
      <c r="AF23" s="190">
        <f>IF(LEN('EN BLANCO - Entrada de datos'!$AA23)=0,0,IF(AND('EN BLANCO - Entrada de datos'!$AI23-'EN BLANCO - Entrada de datos'!$AA23&gt;0,'EN BLANCO - Entrada de datos'!$AA23&lt;0,LEN('EN BLANCO - Entrada de datos'!$AB23)=0),MIN(-'EN BLANCO - Entrada de datos'!$AA23,'EN BLANCO - Entrada de datos'!$AI23-'EN BLANCO - Entrada de datos'!$AA23),0))</f>
        <v>0</v>
      </c>
      <c r="AG23" s="190">
        <f>IF(LEN('EN BLANCO - Entrada de datos'!$AA23)=0,0,IF(AND('EN BLANCO - Entrada de datos'!$AI23&gt;0,'EN BLANCO - Entrada de datos'!$AA23&gt;0,LEN('EN BLANCO - Entrada de datos'!$AB23)=0),MIN('EN BLANCO - Entrada de datos'!$AA23,'EN BLANCO - Entrada de datos'!$AI23),0))</f>
        <v>0</v>
      </c>
      <c r="AH23" s="191" t="e">
        <f ca="1">IF(ROW()=ROW('EN BLANCO - Entrada de datos'!$AA$15:$AA$23),1/ROWS('EN BLANCO - Entrada de datos'!$AA$15:$AA$23),IF(ROW()=ROW('EN BLANCO - Entrada de datos'!$AA$15:$AA$23)+ROWS('EN BLANCO - Entrada de datos'!$AH$15:$AH$23)-1,NA(),OFFSET('EN BLANCO - Entrada de datos'!$AH23,-1,0)+1/ROWS('EN BLANCO - Entrada de datos'!$AA$15:$AA$23)))</f>
        <v>#N/A</v>
      </c>
      <c r="AI23" s="190">
        <f ca="1">IF(ROW()=ROW('EN BLANCO - Entrada de datos'!$AA$15:$AA$23),0,OFFSET('EN BLANCO - Entrada de datos'!$AI23,-1,0))+IF(LEN('EN BLANCO - Entrada de datos'!$AA23),'EN BLANCO - Entrada de datos'!$AA23,0)</f>
        <v>0</v>
      </c>
      <c r="AJ23" s="190" t="e">
        <f>IF('EN BLANCO - Entrada de datos'!$AO$17=1,IF(LEN('EN BLANCO - Entrada de datos'!$AB23),'EN BLANCO - Entrada de datos'!$AB23/2,'EN BLANCO - Entrada de datos'!$AI23-'EN BLANCO - Entrada de datos'!$AA23/2),NA())</f>
        <v>#N/A</v>
      </c>
      <c r="AK23" s="190" t="e">
        <f ca="1">IF(OR('EN BLANCO - Entrada de datos'!$AO$17=2,AND('EN BLANCO - Entrada de datos'!$AO$17=3,OR(AND(LEN('EN BLANCO - Entrada de datos'!$AB23)&gt;0,'EN BLANCO - Entrada de datos'!$AI23&gt;0),AND(LEN('EN BLANCO - Entrada de datos'!$AA23),'EN BLANCO - Entrada de datos'!$AA23&gt;=0)))),IF(LEN('EN BLANCO - Entrada de datos'!$AB23),MAX(0,'EN BLANCO - Entrada de datos'!$AI23),'EN BLANCO - Entrada de datos'!$AI23-MIN(0,'EN BLANCO - Entrada de datos'!$AA23)),NA())</f>
        <v>#N/A</v>
      </c>
      <c r="AL23" s="190" t="e">
        <f ca="1">IF('EN BLANCO - Entrada de datos'!$AO$17=3,IF(LEN('EN BLANCO - Entrada de datos'!$AB23),IF('EN BLANCO - Entrada de datos'!$AB23&lt;0,'EN BLANCO - Entrada de datos'!$AB23,NA()),IF('EN BLANCO - Entrada de datos'!$AA23&lt;0,'EN BLANCO - Entrada de datos'!$AI23,NA())),NA())</f>
        <v>#N/A</v>
      </c>
      <c r="AM23" s="191">
        <f ca="1">IF(ROW()=ROW('EN BLANCO - Entrada de datos'!$AA$15:$AA$23),0.5/ROWS('EN BLANCO - Entrada de datos'!$AA$15:$AA$23),OFFSET('EN BLANCO - Entrada de datos'!$AM23,-1,0)+1/ROWS('EN BLANCO - Entrada de datos'!$AA$15:$AA$23))</f>
        <v>0.94444444444444464</v>
      </c>
      <c r="AN23" s="190">
        <f ca="1">IF(LEN('EN BLANCO - Entrada de datos'!$AA23),'EN BLANCO - Entrada de datos'!$AA23,'EN BLANCO - Entrada de datos'!$AB23)</f>
        <v>0</v>
      </c>
      <c r="AO23" s="192"/>
    </row>
    <row r="24" spans="2:41" ht="20.25" customHeight="1" x14ac:dyDescent="0.3">
      <c r="B24" s="179" t="s">
        <v>622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80"/>
      <c r="O24" s="178">
        <f t="shared" si="0"/>
        <v>0</v>
      </c>
      <c r="P24" s="184"/>
      <c r="Q24" s="176"/>
      <c r="R24" s="165"/>
      <c r="S24" s="165"/>
      <c r="T24" s="165"/>
      <c r="U24" s="89" t="s">
        <v>575</v>
      </c>
      <c r="V24" s="155"/>
      <c r="W24" s="138"/>
      <c r="X24" s="138"/>
      <c r="Y24" s="138"/>
      <c r="Z24" s="138"/>
      <c r="AA24" s="138"/>
    </row>
    <row r="25" spans="2:41" ht="20.25" customHeight="1" x14ac:dyDescent="0.3">
      <c r="B25" s="173" t="s">
        <v>588</v>
      </c>
      <c r="C25" s="177">
        <f t="shared" ref="C25:N25" si="2">SUM(C7:C24)</f>
        <v>0</v>
      </c>
      <c r="D25" s="177">
        <f t="shared" si="2"/>
        <v>0</v>
      </c>
      <c r="E25" s="177">
        <f t="shared" si="2"/>
        <v>0</v>
      </c>
      <c r="F25" s="177">
        <f t="shared" si="2"/>
        <v>0</v>
      </c>
      <c r="G25" s="177">
        <f t="shared" si="2"/>
        <v>0</v>
      </c>
      <c r="H25" s="177">
        <f t="shared" si="2"/>
        <v>0</v>
      </c>
      <c r="I25" s="177">
        <f t="shared" si="2"/>
        <v>0</v>
      </c>
      <c r="J25" s="177">
        <f t="shared" si="2"/>
        <v>0</v>
      </c>
      <c r="K25" s="177">
        <f t="shared" si="2"/>
        <v>0</v>
      </c>
      <c r="L25" s="177">
        <f t="shared" si="2"/>
        <v>0</v>
      </c>
      <c r="M25" s="177">
        <f t="shared" si="2"/>
        <v>0</v>
      </c>
      <c r="N25" s="177">
        <f t="shared" si="2"/>
        <v>0</v>
      </c>
      <c r="O25" s="178">
        <f t="shared" si="0"/>
        <v>0</v>
      </c>
      <c r="P25" s="184"/>
      <c r="Q25" s="176">
        <f t="shared" ref="Q25:Q30" si="3">IFERROR(IF($S$4=$C$3,0,IF($S$4=$D$3,D25/C25-1,IF($S$4=$E$3,E25/D25-1,IF($S$4=$F$3,F25/E25-1,IF($S$4=$G$3,G25/F25-1,IF($S$4=$H$3,H25/G25-1,IF($S$4=$I$3,I25/H25-1,IF($S$4=$J$3,J25/I25-1,IF($S$4=$K$3,K25/J25-1,IF($S$4=$L$3,L25/K25-1,IF($S$4=$M$3,M25/L25-1,IF($S$4=$N$3,N25/M25-1,"")))))))))))),0)</f>
        <v>0</v>
      </c>
      <c r="R25" s="165"/>
      <c r="S25" s="165"/>
      <c r="T25" s="165"/>
      <c r="U25" s="167" t="s">
        <v>582</v>
      </c>
      <c r="V25" s="168">
        <f>+O4</f>
        <v>0</v>
      </c>
      <c r="W25" s="138"/>
      <c r="X25" s="138"/>
      <c r="Y25" s="138"/>
      <c r="Z25" s="138"/>
      <c r="AA25" s="138"/>
    </row>
    <row r="26" spans="2:41" ht="26.4" x14ac:dyDescent="0.3">
      <c r="B26" s="197" t="s">
        <v>590</v>
      </c>
      <c r="C26" s="177">
        <f t="shared" ref="C26:N26" si="4">+C6-C25</f>
        <v>0</v>
      </c>
      <c r="D26" s="177">
        <f t="shared" si="4"/>
        <v>0</v>
      </c>
      <c r="E26" s="177">
        <f t="shared" si="4"/>
        <v>0</v>
      </c>
      <c r="F26" s="177">
        <f t="shared" si="4"/>
        <v>0</v>
      </c>
      <c r="G26" s="177">
        <f t="shared" si="4"/>
        <v>0</v>
      </c>
      <c r="H26" s="177">
        <f t="shared" si="4"/>
        <v>0</v>
      </c>
      <c r="I26" s="177">
        <f t="shared" si="4"/>
        <v>0</v>
      </c>
      <c r="J26" s="177">
        <f t="shared" si="4"/>
        <v>0</v>
      </c>
      <c r="K26" s="177">
        <f t="shared" si="4"/>
        <v>0</v>
      </c>
      <c r="L26" s="177">
        <f t="shared" si="4"/>
        <v>0</v>
      </c>
      <c r="M26" s="177">
        <f t="shared" si="4"/>
        <v>0</v>
      </c>
      <c r="N26" s="177">
        <f t="shared" si="4"/>
        <v>0</v>
      </c>
      <c r="O26" s="178">
        <f t="shared" si="0"/>
        <v>0</v>
      </c>
      <c r="P26" s="184"/>
      <c r="Q26" s="176">
        <f t="shared" si="3"/>
        <v>0</v>
      </c>
      <c r="R26" s="165"/>
      <c r="S26" s="165"/>
      <c r="T26" s="165"/>
      <c r="U26" s="167" t="s">
        <v>584</v>
      </c>
      <c r="V26" s="168">
        <f>+O5</f>
        <v>0</v>
      </c>
      <c r="W26" s="138"/>
      <c r="X26" s="138"/>
      <c r="Y26" s="138"/>
      <c r="Z26" s="138"/>
      <c r="AA26" s="138"/>
    </row>
    <row r="27" spans="2:41" ht="20.25" customHeight="1" x14ac:dyDescent="0.3">
      <c r="B27" s="198" t="s">
        <v>592</v>
      </c>
      <c r="C27" s="174"/>
      <c r="D27" s="174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5">
        <f t="shared" si="0"/>
        <v>0</v>
      </c>
      <c r="P27" s="184"/>
      <c r="Q27" s="176">
        <f t="shared" si="3"/>
        <v>0</v>
      </c>
      <c r="R27" s="165"/>
      <c r="S27" s="165"/>
      <c r="T27" s="165"/>
      <c r="U27" s="167" t="s">
        <v>586</v>
      </c>
      <c r="V27" s="168"/>
      <c r="W27" s="138"/>
      <c r="X27" s="138"/>
      <c r="Y27" s="138"/>
      <c r="Z27" s="138"/>
      <c r="AA27" s="138"/>
    </row>
    <row r="28" spans="2:41" ht="20.25" customHeight="1" x14ac:dyDescent="0.3">
      <c r="B28" s="160" t="s">
        <v>594</v>
      </c>
      <c r="C28" s="199">
        <f t="shared" ref="C28:N28" si="5">+C26+C27</f>
        <v>0</v>
      </c>
      <c r="D28" s="199">
        <f t="shared" si="5"/>
        <v>0</v>
      </c>
      <c r="E28" s="199">
        <f t="shared" si="5"/>
        <v>0</v>
      </c>
      <c r="F28" s="199">
        <f t="shared" si="5"/>
        <v>0</v>
      </c>
      <c r="G28" s="199">
        <f t="shared" si="5"/>
        <v>0</v>
      </c>
      <c r="H28" s="199">
        <f t="shared" si="5"/>
        <v>0</v>
      </c>
      <c r="I28" s="199">
        <f t="shared" si="5"/>
        <v>0</v>
      </c>
      <c r="J28" s="199">
        <f t="shared" si="5"/>
        <v>0</v>
      </c>
      <c r="K28" s="199">
        <f t="shared" si="5"/>
        <v>0</v>
      </c>
      <c r="L28" s="199">
        <f t="shared" si="5"/>
        <v>0</v>
      </c>
      <c r="M28" s="199">
        <f t="shared" si="5"/>
        <v>0</v>
      </c>
      <c r="N28" s="199">
        <f t="shared" si="5"/>
        <v>0</v>
      </c>
      <c r="O28" s="178">
        <f t="shared" si="0"/>
        <v>0</v>
      </c>
      <c r="P28" s="184"/>
      <c r="Q28" s="176">
        <f t="shared" si="3"/>
        <v>0</v>
      </c>
      <c r="R28" s="165"/>
      <c r="S28" s="165"/>
      <c r="T28" s="165"/>
      <c r="U28" s="167" t="s">
        <v>588</v>
      </c>
      <c r="V28" s="168">
        <f>+O6</f>
        <v>0</v>
      </c>
      <c r="W28" s="138"/>
      <c r="X28" s="138"/>
      <c r="Y28" s="138"/>
      <c r="Z28" s="138"/>
      <c r="AA28" s="138"/>
    </row>
    <row r="29" spans="2:41" ht="26.4" x14ac:dyDescent="0.3">
      <c r="B29" s="200" t="s">
        <v>596</v>
      </c>
      <c r="C29" s="201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201"/>
      <c r="O29" s="202">
        <f t="shared" si="0"/>
        <v>0</v>
      </c>
      <c r="P29" s="184"/>
      <c r="Q29" s="176">
        <f t="shared" si="3"/>
        <v>0</v>
      </c>
      <c r="R29" s="165"/>
      <c r="S29" s="165"/>
      <c r="T29" s="165"/>
      <c r="U29" s="167" t="s">
        <v>590</v>
      </c>
      <c r="V29" s="168"/>
      <c r="W29" s="138"/>
      <c r="X29" s="138"/>
      <c r="Y29" s="138"/>
      <c r="Z29" s="138"/>
      <c r="AA29" s="138"/>
    </row>
    <row r="30" spans="2:41" ht="20.25" customHeight="1" x14ac:dyDescent="0.3">
      <c r="B30" s="203" t="s">
        <v>598</v>
      </c>
      <c r="C30" s="204">
        <f t="shared" ref="C30:N30" si="6">+C28-C29</f>
        <v>0</v>
      </c>
      <c r="D30" s="204">
        <f t="shared" si="6"/>
        <v>0</v>
      </c>
      <c r="E30" s="204">
        <f t="shared" si="6"/>
        <v>0</v>
      </c>
      <c r="F30" s="204">
        <f t="shared" si="6"/>
        <v>0</v>
      </c>
      <c r="G30" s="204">
        <f t="shared" si="6"/>
        <v>0</v>
      </c>
      <c r="H30" s="204">
        <f t="shared" si="6"/>
        <v>0</v>
      </c>
      <c r="I30" s="204">
        <f t="shared" si="6"/>
        <v>0</v>
      </c>
      <c r="J30" s="204">
        <f t="shared" si="6"/>
        <v>0</v>
      </c>
      <c r="K30" s="204">
        <f t="shared" si="6"/>
        <v>0</v>
      </c>
      <c r="L30" s="204">
        <f t="shared" si="6"/>
        <v>0</v>
      </c>
      <c r="M30" s="204">
        <f t="shared" si="6"/>
        <v>0</v>
      </c>
      <c r="N30" s="204">
        <f t="shared" si="6"/>
        <v>0</v>
      </c>
      <c r="O30" s="205">
        <f t="shared" si="0"/>
        <v>0</v>
      </c>
      <c r="P30" s="206"/>
      <c r="Q30" s="176">
        <f t="shared" si="3"/>
        <v>0</v>
      </c>
      <c r="R30" s="138"/>
      <c r="S30" s="165"/>
      <c r="T30" s="138"/>
      <c r="U30" s="167" t="s">
        <v>592</v>
      </c>
      <c r="V30" s="168"/>
      <c r="W30" s="138"/>
      <c r="X30" s="138"/>
      <c r="Y30" s="138"/>
      <c r="Z30" s="138"/>
      <c r="AA30" s="138"/>
    </row>
    <row r="31" spans="2:41" ht="16.8" x14ac:dyDescent="0.3">
      <c r="B31" s="207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9"/>
      <c r="Q31" s="210"/>
      <c r="R31" s="210"/>
      <c r="S31" s="210"/>
      <c r="T31" s="210"/>
      <c r="U31" s="167" t="s">
        <v>594</v>
      </c>
      <c r="V31" s="168"/>
      <c r="W31" s="11"/>
      <c r="X31" s="11"/>
      <c r="Y31" s="11"/>
      <c r="Z31" s="11"/>
      <c r="AA31" s="11"/>
    </row>
    <row r="32" spans="2:41" ht="25.05" customHeight="1" x14ac:dyDescent="0.3"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9"/>
      <c r="R32" s="210"/>
      <c r="S32" s="210"/>
      <c r="T32" s="210"/>
      <c r="U32" s="167" t="s">
        <v>596</v>
      </c>
      <c r="V32" s="168"/>
      <c r="W32" s="11"/>
      <c r="X32" s="11"/>
      <c r="Y32" s="11"/>
      <c r="Z32" s="11"/>
      <c r="AA32" s="11"/>
    </row>
    <row r="33" spans="2:27" ht="20.25" customHeight="1" x14ac:dyDescent="0.3"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9"/>
      <c r="R33" s="210"/>
      <c r="S33" s="210"/>
      <c r="T33" s="210"/>
      <c r="U33" s="167" t="s">
        <v>598</v>
      </c>
      <c r="V33" s="168"/>
      <c r="W33" s="11"/>
      <c r="X33" s="11"/>
      <c r="Y33" s="11"/>
      <c r="Z33" s="11"/>
      <c r="AA33" s="11"/>
    </row>
    <row r="34" spans="2:27" ht="20.25" customHeight="1" x14ac:dyDescent="0.3"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11"/>
      <c r="R34" s="210"/>
      <c r="S34" s="210"/>
      <c r="T34" s="210"/>
      <c r="U34" s="11"/>
      <c r="V34" s="11"/>
      <c r="W34" s="11"/>
      <c r="X34" s="11"/>
      <c r="Y34" s="11"/>
      <c r="Z34" s="11"/>
      <c r="AA34" s="11"/>
    </row>
    <row r="35" spans="2:27" ht="20.25" customHeight="1" x14ac:dyDescent="0.3"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08"/>
      <c r="P35" s="209"/>
      <c r="R35" s="210"/>
      <c r="S35" s="210"/>
      <c r="T35" s="210"/>
      <c r="U35" s="11"/>
      <c r="V35" s="11"/>
      <c r="W35" s="11"/>
      <c r="X35" s="11"/>
      <c r="Y35" s="11"/>
      <c r="Z35" s="11"/>
      <c r="AA35" s="11"/>
    </row>
    <row r="36" spans="2:27" ht="20.25" customHeight="1" x14ac:dyDescent="0.3"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08"/>
      <c r="P36" s="209"/>
      <c r="R36" s="210"/>
      <c r="S36" s="210"/>
      <c r="T36" s="210"/>
      <c r="U36" s="11"/>
      <c r="V36" s="11"/>
      <c r="W36" s="11"/>
      <c r="X36" s="11"/>
      <c r="Y36" s="11"/>
      <c r="Z36" s="11"/>
      <c r="AA36" s="11"/>
    </row>
    <row r="37" spans="2:27" ht="20.25" customHeight="1" x14ac:dyDescent="0.3"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08"/>
      <c r="P37" s="209"/>
      <c r="R37" s="210"/>
      <c r="S37" s="210"/>
      <c r="T37" s="210"/>
      <c r="U37" s="11"/>
      <c r="V37" s="11"/>
      <c r="W37" s="11"/>
      <c r="X37" s="11"/>
      <c r="Y37" s="11"/>
      <c r="Z37" s="11"/>
      <c r="AA37" s="11"/>
    </row>
    <row r="38" spans="2:27" ht="20.25" customHeight="1" x14ac:dyDescent="0.3"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08"/>
      <c r="P38" s="209"/>
      <c r="R38" s="210"/>
      <c r="S38" s="210"/>
      <c r="T38" s="210"/>
      <c r="U38" s="11"/>
      <c r="V38" s="11"/>
      <c r="W38" s="11"/>
      <c r="X38" s="11"/>
      <c r="Y38" s="11"/>
      <c r="Z38" s="11"/>
      <c r="AA38" s="11"/>
    </row>
    <row r="39" spans="2:27" ht="20.25" customHeight="1" x14ac:dyDescent="0.3">
      <c r="E39" s="212"/>
      <c r="F39" s="212"/>
      <c r="G39" s="212"/>
      <c r="H39" s="212"/>
      <c r="I39" s="212"/>
      <c r="J39" s="212"/>
      <c r="K39" s="212"/>
      <c r="L39" s="212"/>
      <c r="M39" s="212"/>
      <c r="N39" s="212"/>
      <c r="O39" s="208"/>
      <c r="P39" s="209"/>
      <c r="R39" s="210"/>
      <c r="S39" s="210"/>
      <c r="T39" s="210"/>
      <c r="U39" s="11"/>
      <c r="V39" s="11"/>
      <c r="W39" s="11"/>
      <c r="X39" s="11"/>
      <c r="Y39" s="11"/>
      <c r="Z39" s="11"/>
      <c r="AA39" s="11"/>
    </row>
    <row r="40" spans="2:27" ht="20.25" customHeight="1" x14ac:dyDescent="0.3"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08"/>
      <c r="P40" s="209"/>
      <c r="R40" s="210"/>
      <c r="S40" s="210"/>
      <c r="T40" s="210"/>
      <c r="U40" s="11"/>
      <c r="V40" s="11"/>
      <c r="W40" s="11"/>
      <c r="X40" s="11"/>
      <c r="Y40" s="11"/>
      <c r="Z40" s="11"/>
      <c r="AA40" s="11"/>
    </row>
    <row r="41" spans="2:27" ht="20.25" customHeight="1" x14ac:dyDescent="0.3">
      <c r="E41" s="212"/>
      <c r="F41" s="212"/>
      <c r="G41" s="212"/>
      <c r="H41" s="212"/>
      <c r="I41" s="212"/>
      <c r="J41" s="212"/>
      <c r="K41" s="212"/>
      <c r="L41" s="212"/>
      <c r="M41" s="212"/>
      <c r="N41" s="212"/>
      <c r="O41" s="208"/>
      <c r="P41" s="209"/>
      <c r="R41" s="210"/>
      <c r="S41" s="210"/>
      <c r="T41" s="210"/>
      <c r="U41" s="11"/>
      <c r="V41" s="11"/>
      <c r="W41" s="11"/>
      <c r="X41" s="11"/>
      <c r="Y41" s="11"/>
      <c r="Z41" s="11"/>
      <c r="AA41" s="11"/>
    </row>
    <row r="42" spans="2:27" ht="20.25" customHeight="1" x14ac:dyDescent="0.3">
      <c r="B42" s="213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08"/>
      <c r="P42" s="209"/>
      <c r="R42" s="210"/>
      <c r="S42" s="210"/>
      <c r="T42" s="210"/>
      <c r="U42" s="11"/>
      <c r="V42" s="11"/>
      <c r="W42" s="11"/>
      <c r="X42" s="11"/>
      <c r="Y42" s="11"/>
      <c r="Z42" s="11"/>
      <c r="AA42" s="11"/>
    </row>
    <row r="43" spans="2:27" ht="20.25" customHeight="1" x14ac:dyDescent="0.3">
      <c r="B43" s="213"/>
      <c r="C43" s="212"/>
      <c r="D43" s="212"/>
      <c r="E43" s="212"/>
      <c r="F43" s="212"/>
      <c r="G43" s="212"/>
      <c r="H43" s="212"/>
      <c r="I43" s="212"/>
      <c r="J43" s="212"/>
      <c r="K43" s="212"/>
      <c r="L43" s="212"/>
      <c r="M43" s="212"/>
      <c r="N43" s="212"/>
      <c r="O43" s="208"/>
      <c r="P43" s="209"/>
      <c r="R43" s="210"/>
      <c r="S43" s="210"/>
      <c r="T43" s="210"/>
      <c r="U43" s="11"/>
      <c r="V43" s="11"/>
      <c r="W43" s="11"/>
      <c r="X43" s="11"/>
      <c r="Y43" s="11"/>
      <c r="Z43" s="11"/>
      <c r="AA43" s="11"/>
    </row>
    <row r="44" spans="2:27" ht="20.25" customHeight="1" x14ac:dyDescent="0.3">
      <c r="B44" s="213"/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212"/>
      <c r="N44" s="212"/>
      <c r="O44" s="208"/>
      <c r="P44" s="209"/>
      <c r="R44" s="210"/>
      <c r="S44" s="210"/>
      <c r="T44" s="210"/>
      <c r="U44" s="11"/>
      <c r="V44" s="11"/>
      <c r="W44" s="11"/>
      <c r="X44" s="11"/>
      <c r="Y44" s="11"/>
      <c r="Z44" s="11"/>
      <c r="AA44" s="11"/>
    </row>
    <row r="45" spans="2:27" ht="20.25" customHeight="1" x14ac:dyDescent="0.3">
      <c r="B45" s="213"/>
      <c r="C45" s="212"/>
      <c r="D45" s="212"/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08"/>
      <c r="P45" s="209"/>
      <c r="R45" s="210"/>
      <c r="S45" s="210"/>
      <c r="T45" s="210"/>
      <c r="U45" s="11"/>
      <c r="V45" s="11"/>
      <c r="W45" s="11"/>
      <c r="X45" s="11"/>
      <c r="Y45" s="11"/>
      <c r="Z45" s="11"/>
      <c r="AA45" s="11"/>
    </row>
    <row r="46" spans="2:27" ht="16.8" x14ac:dyDescent="0.3">
      <c r="B46" s="213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08"/>
      <c r="P46" s="209"/>
      <c r="Q46" s="210"/>
      <c r="R46" s="210"/>
      <c r="S46" s="210"/>
      <c r="T46" s="210"/>
      <c r="U46" s="11"/>
      <c r="V46" s="11"/>
      <c r="W46" s="11"/>
      <c r="X46" s="11"/>
      <c r="Y46" s="11"/>
      <c r="Z46" s="11"/>
      <c r="AA46" s="11"/>
    </row>
  </sheetData>
  <mergeCells count="1">
    <mergeCell ref="U3:V3"/>
  </mergeCells>
  <conditionalFormatting sqref="AA4">
    <cfRule type="expression" dxfId="20" priority="3">
      <formula>$C$4&lt;0</formula>
    </cfRule>
    <cfRule type="expression" dxfId="19" priority="4">
      <formula>$C$4&gt;0</formula>
    </cfRule>
  </conditionalFormatting>
  <conditionalFormatting sqref="AA5">
    <cfRule type="expression" dxfId="18" priority="5">
      <formula>$C$5&lt;0</formula>
    </cfRule>
    <cfRule type="expression" dxfId="17" priority="6">
      <formula>$C$5&gt;0</formula>
    </cfRule>
  </conditionalFormatting>
  <conditionalFormatting sqref="AA6">
    <cfRule type="expression" dxfId="16" priority="7">
      <formula>$C$6&lt;0</formula>
    </cfRule>
    <cfRule type="expression" dxfId="15" priority="8">
      <formula>$C$6&gt;0</formula>
    </cfRule>
  </conditionalFormatting>
  <conditionalFormatting sqref="AA7">
    <cfRule type="expression" dxfId="14" priority="15">
      <formula>$C$7&gt;0</formula>
    </cfRule>
    <cfRule type="expression" dxfId="13" priority="16">
      <formula>$C$7&lt;0</formula>
    </cfRule>
  </conditionalFormatting>
  <conditionalFormatting sqref="AA8">
    <cfRule type="expression" dxfId="12" priority="9">
      <formula>$C$8&lt;0</formula>
    </cfRule>
    <cfRule type="expression" dxfId="11" priority="10">
      <formula>$C$8&gt;0</formula>
    </cfRule>
  </conditionalFormatting>
  <conditionalFormatting sqref="AA9">
    <cfRule type="expression" dxfId="10" priority="13">
      <formula>$C$9&lt;0</formula>
    </cfRule>
    <cfRule type="expression" dxfId="9" priority="14">
      <formula>$C$9&gt;0</formula>
    </cfRule>
  </conditionalFormatting>
  <conditionalFormatting sqref="AA10">
    <cfRule type="expression" dxfId="8" priority="11">
      <formula>$C$10&lt;0</formula>
    </cfRule>
    <cfRule type="expression" dxfId="7" priority="12">
      <formula>$C$10&gt;0</formula>
    </cfRule>
  </conditionalFormatting>
  <conditionalFormatting sqref="AA11:AA12">
    <cfRule type="expression" dxfId="6" priority="1">
      <formula>$C$7&gt;0</formula>
    </cfRule>
    <cfRule type="expression" dxfId="5" priority="2">
      <formula>$C$7&lt;0</formula>
    </cfRule>
  </conditionalFormatting>
  <pageMargins left="0.4" right="0.4" top="0.4" bottom="0.4" header="0" footer="0"/>
  <pageSetup scale="64" fitToHeight="0" orientation="landscape" horizontalDpi="0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A2C8-AB24-4220-881D-6A76F8184BB5}">
  <sheetPr codeName="Hoja15">
    <tabColor theme="2" tint="-0.249977111117893"/>
    <pageSetUpPr fitToPage="1"/>
  </sheetPr>
  <dimension ref="A1:AF191"/>
  <sheetViews>
    <sheetView showGridLines="0" zoomScaleNormal="100" workbookViewId="0">
      <selection activeCell="C15" sqref="C15"/>
    </sheetView>
  </sheetViews>
  <sheetFormatPr baseColWidth="10" defaultColWidth="11.44140625" defaultRowHeight="14.4" x14ac:dyDescent="0.3"/>
  <cols>
    <col min="1" max="1" width="3.44140625" style="11" customWidth="1"/>
    <col min="2" max="2" width="38.77734375" style="11" customWidth="1"/>
    <col min="3" max="3" width="5.77734375" style="11" customWidth="1"/>
    <col min="4" max="4" width="55.33203125" style="11" customWidth="1"/>
    <col min="5" max="5" width="5.77734375" style="11" customWidth="1"/>
    <col min="6" max="6" width="38.77734375" style="11" customWidth="1"/>
    <col min="7" max="7" width="3.44140625" style="11" customWidth="1"/>
    <col min="8" max="8" width="10.44140625" style="138" customWidth="1"/>
    <col min="9" max="32" width="11.44140625" style="138"/>
    <col min="33" max="16384" width="11.44140625" style="11"/>
  </cols>
  <sheetData>
    <row r="1" spans="1:32" s="125" customFormat="1" ht="42" customHeight="1" x14ac:dyDescent="0.3">
      <c r="B1" s="126" t="s">
        <v>555</v>
      </c>
      <c r="C1" s="127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</row>
    <row r="2" spans="1:32" s="125" customFormat="1" ht="42" customHeight="1" x14ac:dyDescent="0.3">
      <c r="B2" s="436" t="s">
        <v>556</v>
      </c>
      <c r="C2" s="436"/>
      <c r="D2" s="436"/>
      <c r="F2" s="129" t="s">
        <v>557</v>
      </c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</row>
    <row r="3" spans="1:32" s="125" customFormat="1" ht="42" customHeight="1" thickBot="1" x14ac:dyDescent="0.35">
      <c r="B3" s="437" t="s">
        <v>558</v>
      </c>
      <c r="C3" s="437"/>
      <c r="D3" s="437"/>
      <c r="F3" s="130" t="s">
        <v>559</v>
      </c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  <c r="AD3" s="128"/>
      <c r="AE3" s="128"/>
      <c r="AF3" s="128"/>
    </row>
    <row r="4" spans="1:32" s="125" customFormat="1" ht="392.25" customHeight="1" thickBot="1" x14ac:dyDescent="0.35">
      <c r="B4" s="131"/>
      <c r="C4" s="132"/>
      <c r="D4" s="133"/>
      <c r="E4" s="133"/>
      <c r="F4" s="133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</row>
    <row r="5" spans="1:32" s="125" customFormat="1" ht="39" customHeight="1" x14ac:dyDescent="0.3">
      <c r="B5" s="134"/>
      <c r="C5" s="127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</row>
    <row r="6" spans="1:32" ht="25.05" customHeight="1" x14ac:dyDescent="0.3">
      <c r="A6" s="52"/>
      <c r="B6" s="135" t="str">
        <f>+'EN BLANCO - Entrada de datos'!Z4</f>
        <v>Ingresos totales</v>
      </c>
      <c r="C6" s="136"/>
      <c r="D6" s="135" t="str">
        <f>+'EN BLANCO - Entrada de datos'!Z5</f>
        <v>Costo de los bienes vendidos</v>
      </c>
      <c r="E6" s="136"/>
      <c r="F6" s="135" t="str">
        <f>+'EN BLANCO - Entrada de datos'!Z6</f>
        <v>Ganancia bruta</v>
      </c>
      <c r="G6" s="52"/>
      <c r="H6" s="137"/>
      <c r="T6" s="139"/>
    </row>
    <row r="7" spans="1:32" ht="35.25" customHeight="1" x14ac:dyDescent="0.3">
      <c r="B7" s="140">
        <f>+'EN BLANCO - Entrada de datos'!V4</f>
        <v>0</v>
      </c>
      <c r="C7" s="141"/>
      <c r="D7" s="140">
        <f>+'EN BLANCO - Entrada de datos'!V5</f>
        <v>0</v>
      </c>
      <c r="E7" s="141"/>
      <c r="F7" s="140">
        <f>+'EN BLANCO - Entrada de datos'!V16</f>
        <v>0</v>
      </c>
    </row>
    <row r="8" spans="1:32" ht="65.25" customHeight="1" x14ac:dyDescent="0.3">
      <c r="B8" s="142"/>
      <c r="C8" s="141"/>
      <c r="D8" s="142"/>
      <c r="E8" s="141"/>
      <c r="F8" s="142"/>
    </row>
    <row r="9" spans="1:32" ht="25.05" customHeight="1" x14ac:dyDescent="0.3">
      <c r="B9" s="143">
        <f>'EN BLANCO - Entrada de datos'!$AA$4</f>
        <v>0</v>
      </c>
      <c r="C9" s="144"/>
      <c r="D9" s="143">
        <f>'EN BLANCO - Entrada de datos'!$AA$5</f>
        <v>0</v>
      </c>
      <c r="E9" s="144"/>
      <c r="F9" s="143">
        <f>'EN BLANCO - Entrada de datos'!$AA$6</f>
        <v>0</v>
      </c>
    </row>
    <row r="10" spans="1:32" ht="25.05" customHeight="1" thickBot="1" x14ac:dyDescent="0.35">
      <c r="B10" s="145" t="s">
        <v>560</v>
      </c>
      <c r="C10" s="144"/>
      <c r="D10" s="145" t="s">
        <v>560</v>
      </c>
      <c r="E10" s="144"/>
      <c r="F10" s="145" t="s">
        <v>560</v>
      </c>
    </row>
    <row r="11" spans="1:32" ht="35.25" customHeight="1" x14ac:dyDescent="0.3">
      <c r="B11" s="144"/>
      <c r="C11" s="144"/>
      <c r="D11" s="144"/>
      <c r="E11" s="144"/>
      <c r="F11" s="144"/>
    </row>
    <row r="12" spans="1:32" ht="16.8" x14ac:dyDescent="0.3">
      <c r="B12" s="135" t="str">
        <f>+'EN BLANCO - Entrada de datos'!Z7</f>
        <v>Gastos</v>
      </c>
      <c r="C12" s="136"/>
      <c r="D12" s="146" t="str">
        <f>+'EN BLANCO - Entrada de datos'!Z8</f>
        <v>Ganancias antes de intereses e impuestos</v>
      </c>
      <c r="E12" s="136"/>
      <c r="F12" s="135" t="str">
        <f>+'EN BLANCO - Entrada de datos'!Z9</f>
        <v>Interés</v>
      </c>
    </row>
    <row r="13" spans="1:32" ht="35.25" customHeight="1" x14ac:dyDescent="0.3">
      <c r="B13" s="140">
        <f>+'EN BLANCO - Entrada de datos'!V7</f>
        <v>0</v>
      </c>
      <c r="C13" s="141"/>
      <c r="D13" s="140">
        <f>+'EN BLANCO - Entrada de datos'!V18</f>
        <v>0</v>
      </c>
      <c r="E13" s="141"/>
      <c r="F13" s="140">
        <f>+'EN BLANCO - Entrada de datos'!V9</f>
        <v>0</v>
      </c>
    </row>
    <row r="14" spans="1:32" ht="65.25" customHeight="1" x14ac:dyDescent="0.3">
      <c r="B14" s="141"/>
      <c r="C14" s="141"/>
      <c r="D14" s="147"/>
      <c r="E14" s="141"/>
      <c r="F14" s="141"/>
    </row>
    <row r="15" spans="1:32" ht="25.05" customHeight="1" x14ac:dyDescent="0.3">
      <c r="B15" s="143">
        <f>'EN BLANCO - Entrada de datos'!$AA$7</f>
        <v>0</v>
      </c>
      <c r="C15" s="144"/>
      <c r="D15" s="143">
        <f>'EN BLANCO - Entrada de datos'!$AA$8</f>
        <v>0</v>
      </c>
      <c r="E15" s="144"/>
      <c r="F15" s="143">
        <f>'EN BLANCO - Entrada de datos'!$AA$9</f>
        <v>0</v>
      </c>
    </row>
    <row r="16" spans="1:32" ht="25.05" customHeight="1" thickBot="1" x14ac:dyDescent="0.35">
      <c r="B16" s="145" t="s">
        <v>560</v>
      </c>
      <c r="C16" s="144"/>
      <c r="D16" s="145" t="s">
        <v>560</v>
      </c>
      <c r="E16" s="144"/>
      <c r="F16" s="145" t="s">
        <v>560</v>
      </c>
    </row>
    <row r="17" spans="2:6" ht="35.25" customHeight="1" x14ac:dyDescent="0.3">
      <c r="B17" s="144"/>
      <c r="C17" s="144"/>
      <c r="D17" s="144"/>
      <c r="E17" s="144"/>
      <c r="F17" s="144"/>
    </row>
    <row r="18" spans="2:6" ht="25.05" customHeight="1" x14ac:dyDescent="0.3">
      <c r="B18" s="135" t="str">
        <f>+'EN BLANCO - Entrada de datos'!U10</f>
        <v>Ingresos antes de impuestos</v>
      </c>
      <c r="C18" s="136"/>
      <c r="D18" s="135" t="str">
        <f>+'EN BLANCO - Entrada de datos'!U11</f>
        <v>Impuestos sobre la renta</v>
      </c>
      <c r="E18" s="136"/>
      <c r="F18" s="135" t="str">
        <f>+'EN BLANCO - Entrada de datos'!U12</f>
        <v>Ingresos netos</v>
      </c>
    </row>
    <row r="19" spans="2:6" ht="35.25" customHeight="1" x14ac:dyDescent="0.3">
      <c r="B19" s="140">
        <f>+'EN BLANCO - Entrada de datos'!V20</f>
        <v>0</v>
      </c>
      <c r="C19" s="141"/>
      <c r="D19" s="140">
        <f>+'EN BLANCO - Entrada de datos'!V11</f>
        <v>0</v>
      </c>
      <c r="E19" s="141"/>
      <c r="F19" s="140">
        <f>+'EN BLANCO - Entrada de datos'!V22</f>
        <v>0</v>
      </c>
    </row>
    <row r="20" spans="2:6" ht="65.25" customHeight="1" x14ac:dyDescent="0.3">
      <c r="B20" s="142"/>
      <c r="C20" s="141"/>
      <c r="D20" s="142"/>
      <c r="E20" s="141"/>
      <c r="F20" s="142"/>
    </row>
    <row r="21" spans="2:6" ht="25.05" customHeight="1" x14ac:dyDescent="0.3">
      <c r="B21" s="143">
        <f>'EN BLANCO - Entrada de datos'!$AA$10</f>
        <v>0</v>
      </c>
      <c r="C21" s="144"/>
      <c r="D21" s="143">
        <f>'EN BLANCO - Entrada de datos'!$AA$11</f>
        <v>0</v>
      </c>
      <c r="E21" s="144"/>
      <c r="F21" s="143">
        <f>'EN BLANCO - Entrada de datos'!$AA$12</f>
        <v>0</v>
      </c>
    </row>
    <row r="22" spans="2:6" ht="25.05" customHeight="1" thickBot="1" x14ac:dyDescent="0.35">
      <c r="B22" s="145" t="s">
        <v>560</v>
      </c>
      <c r="C22" s="144"/>
      <c r="D22" s="145" t="s">
        <v>560</v>
      </c>
      <c r="E22" s="144"/>
      <c r="F22" s="145" t="s">
        <v>560</v>
      </c>
    </row>
    <row r="23" spans="2:6" ht="24" customHeight="1" x14ac:dyDescent="0.3">
      <c r="B23" s="144"/>
      <c r="C23" s="144"/>
      <c r="D23" s="144"/>
      <c r="E23" s="144"/>
      <c r="F23" s="144"/>
    </row>
    <row r="24" spans="2:6" s="138" customFormat="1" ht="24" customHeight="1" x14ac:dyDescent="0.3"/>
    <row r="25" spans="2:6" s="138" customFormat="1" ht="24" customHeight="1" x14ac:dyDescent="0.3"/>
    <row r="26" spans="2:6" s="138" customFormat="1" ht="24" customHeight="1" x14ac:dyDescent="0.3"/>
    <row r="27" spans="2:6" s="138" customFormat="1" ht="13.5" customHeight="1" x14ac:dyDescent="0.3"/>
    <row r="28" spans="2:6" s="138" customFormat="1" ht="13.5" customHeight="1" x14ac:dyDescent="0.3"/>
    <row r="29" spans="2:6" s="138" customFormat="1" ht="13.2" x14ac:dyDescent="0.3"/>
    <row r="30" spans="2:6" s="138" customFormat="1" ht="13.2" x14ac:dyDescent="0.3"/>
    <row r="31" spans="2:6" s="138" customFormat="1" ht="13.2" x14ac:dyDescent="0.3"/>
    <row r="32" spans="2:6" s="138" customFormat="1" ht="13.2" x14ac:dyDescent="0.3"/>
    <row r="33" s="138" customFormat="1" ht="13.2" x14ac:dyDescent="0.3"/>
    <row r="34" s="138" customFormat="1" ht="13.2" x14ac:dyDescent="0.3"/>
    <row r="35" s="138" customFormat="1" ht="13.2" x14ac:dyDescent="0.3"/>
    <row r="36" s="138" customFormat="1" ht="13.2" x14ac:dyDescent="0.3"/>
    <row r="37" s="138" customFormat="1" ht="13.2" x14ac:dyDescent="0.3"/>
    <row r="38" s="138" customFormat="1" ht="13.2" x14ac:dyDescent="0.3"/>
    <row r="39" s="138" customFormat="1" ht="13.2" x14ac:dyDescent="0.3"/>
    <row r="40" s="138" customFormat="1" ht="13.2" x14ac:dyDescent="0.3"/>
    <row r="41" s="138" customFormat="1" ht="13.2" x14ac:dyDescent="0.3"/>
    <row r="42" s="138" customFormat="1" ht="13.2" x14ac:dyDescent="0.3"/>
    <row r="43" s="138" customFormat="1" ht="13.2" x14ac:dyDescent="0.3"/>
    <row r="44" s="138" customFormat="1" ht="13.2" x14ac:dyDescent="0.3"/>
    <row r="45" s="138" customFormat="1" ht="13.2" x14ac:dyDescent="0.3"/>
    <row r="46" s="138" customFormat="1" ht="13.2" x14ac:dyDescent="0.3"/>
    <row r="47" s="138" customFormat="1" ht="13.2" x14ac:dyDescent="0.3"/>
    <row r="48" s="138" customFormat="1" ht="13.2" x14ac:dyDescent="0.3"/>
    <row r="49" s="138" customFormat="1" ht="13.2" x14ac:dyDescent="0.3"/>
    <row r="50" s="138" customFormat="1" ht="13.2" x14ac:dyDescent="0.3"/>
    <row r="51" s="138" customFormat="1" ht="13.2" x14ac:dyDescent="0.3"/>
    <row r="52" s="138" customFormat="1" ht="13.2" x14ac:dyDescent="0.3"/>
    <row r="53" s="138" customFormat="1" ht="13.2" x14ac:dyDescent="0.3"/>
    <row r="54" s="138" customFormat="1" ht="13.2" x14ac:dyDescent="0.3"/>
    <row r="55" s="138" customFormat="1" ht="13.2" x14ac:dyDescent="0.3"/>
    <row r="56" s="138" customFormat="1" ht="13.2" x14ac:dyDescent="0.3"/>
    <row r="57" s="138" customFormat="1" ht="13.2" x14ac:dyDescent="0.3"/>
    <row r="58" s="138" customFormat="1" ht="13.2" x14ac:dyDescent="0.3"/>
    <row r="59" s="138" customFormat="1" ht="13.2" x14ac:dyDescent="0.3"/>
    <row r="60" s="138" customFormat="1" ht="13.2" x14ac:dyDescent="0.3"/>
    <row r="61" s="138" customFormat="1" ht="13.2" x14ac:dyDescent="0.3"/>
    <row r="62" s="138" customFormat="1" ht="13.2" x14ac:dyDescent="0.3"/>
    <row r="63" s="138" customFormat="1" ht="13.2" x14ac:dyDescent="0.3"/>
    <row r="64" s="138" customFormat="1" ht="13.2" x14ac:dyDescent="0.3"/>
    <row r="65" s="138" customFormat="1" ht="13.2" x14ac:dyDescent="0.3"/>
    <row r="66" s="138" customFormat="1" ht="13.2" x14ac:dyDescent="0.3"/>
    <row r="67" s="138" customFormat="1" ht="13.2" x14ac:dyDescent="0.3"/>
    <row r="68" s="138" customFormat="1" ht="13.2" x14ac:dyDescent="0.3"/>
    <row r="69" s="138" customFormat="1" ht="13.2" x14ac:dyDescent="0.3"/>
    <row r="70" s="138" customFormat="1" ht="13.2" x14ac:dyDescent="0.3"/>
    <row r="71" s="138" customFormat="1" ht="13.2" x14ac:dyDescent="0.3"/>
    <row r="72" s="138" customFormat="1" ht="13.2" x14ac:dyDescent="0.3"/>
    <row r="73" s="138" customFormat="1" ht="13.2" x14ac:dyDescent="0.3"/>
    <row r="74" s="138" customFormat="1" ht="13.2" x14ac:dyDescent="0.3"/>
    <row r="75" s="138" customFormat="1" ht="13.2" x14ac:dyDescent="0.3"/>
    <row r="76" s="138" customFormat="1" ht="13.2" x14ac:dyDescent="0.3"/>
    <row r="77" s="138" customFormat="1" ht="13.2" x14ac:dyDescent="0.3"/>
    <row r="78" s="138" customFormat="1" ht="13.2" x14ac:dyDescent="0.3"/>
    <row r="79" s="138" customFormat="1" ht="13.2" x14ac:dyDescent="0.3"/>
    <row r="80" s="138" customFormat="1" ht="13.2" x14ac:dyDescent="0.3"/>
    <row r="81" s="138" customFormat="1" ht="13.2" x14ac:dyDescent="0.3"/>
    <row r="82" s="138" customFormat="1" ht="13.2" x14ac:dyDescent="0.3"/>
    <row r="83" s="138" customFormat="1" ht="13.2" x14ac:dyDescent="0.3"/>
    <row r="84" s="138" customFormat="1" ht="13.2" x14ac:dyDescent="0.3"/>
    <row r="85" s="138" customFormat="1" ht="13.2" x14ac:dyDescent="0.3"/>
    <row r="86" s="138" customFormat="1" ht="13.2" x14ac:dyDescent="0.3"/>
    <row r="87" s="138" customFormat="1" ht="13.2" x14ac:dyDescent="0.3"/>
    <row r="88" s="138" customFormat="1" ht="13.2" x14ac:dyDescent="0.3"/>
    <row r="89" s="138" customFormat="1" ht="13.2" x14ac:dyDescent="0.3"/>
    <row r="90" s="138" customFormat="1" ht="13.2" x14ac:dyDescent="0.3"/>
    <row r="91" s="138" customFormat="1" ht="13.2" x14ac:dyDescent="0.3"/>
    <row r="92" s="138" customFormat="1" ht="13.2" x14ac:dyDescent="0.3"/>
    <row r="93" s="138" customFormat="1" ht="13.2" x14ac:dyDescent="0.3"/>
    <row r="94" s="138" customFormat="1" ht="13.2" x14ac:dyDescent="0.3"/>
    <row r="95" s="138" customFormat="1" ht="13.2" x14ac:dyDescent="0.3"/>
    <row r="96" s="138" customFormat="1" ht="13.2" x14ac:dyDescent="0.3"/>
    <row r="97" s="138" customFormat="1" ht="13.2" x14ac:dyDescent="0.3"/>
    <row r="98" s="138" customFormat="1" ht="13.2" x14ac:dyDescent="0.3"/>
    <row r="99" s="138" customFormat="1" ht="13.2" x14ac:dyDescent="0.3"/>
    <row r="100" s="138" customFormat="1" ht="13.2" x14ac:dyDescent="0.3"/>
    <row r="101" s="138" customFormat="1" ht="13.2" x14ac:dyDescent="0.3"/>
    <row r="102" s="138" customFormat="1" ht="13.2" x14ac:dyDescent="0.3"/>
    <row r="103" s="138" customFormat="1" ht="13.2" x14ac:dyDescent="0.3"/>
    <row r="104" s="138" customFormat="1" ht="13.2" x14ac:dyDescent="0.3"/>
    <row r="105" s="138" customFormat="1" ht="13.2" x14ac:dyDescent="0.3"/>
    <row r="106" s="138" customFormat="1" ht="13.2" x14ac:dyDescent="0.3"/>
    <row r="107" s="138" customFormat="1" ht="13.2" x14ac:dyDescent="0.3"/>
    <row r="108" s="138" customFormat="1" ht="13.2" x14ac:dyDescent="0.3"/>
    <row r="109" s="138" customFormat="1" ht="13.2" x14ac:dyDescent="0.3"/>
    <row r="110" s="138" customFormat="1" ht="13.2" x14ac:dyDescent="0.3"/>
    <row r="111" s="138" customFormat="1" ht="13.2" x14ac:dyDescent="0.3"/>
    <row r="112" s="138" customFormat="1" ht="13.2" x14ac:dyDescent="0.3"/>
    <row r="113" s="138" customFormat="1" ht="13.2" x14ac:dyDescent="0.3"/>
    <row r="114" s="138" customFormat="1" ht="13.2" x14ac:dyDescent="0.3"/>
    <row r="115" s="138" customFormat="1" ht="13.2" x14ac:dyDescent="0.3"/>
    <row r="116" s="138" customFormat="1" ht="13.2" x14ac:dyDescent="0.3"/>
    <row r="117" s="138" customFormat="1" ht="13.2" x14ac:dyDescent="0.3"/>
    <row r="118" s="138" customFormat="1" ht="13.2" x14ac:dyDescent="0.3"/>
    <row r="119" s="138" customFormat="1" ht="13.2" x14ac:dyDescent="0.3"/>
    <row r="120" s="138" customFormat="1" ht="13.2" x14ac:dyDescent="0.3"/>
    <row r="121" s="138" customFormat="1" ht="13.2" x14ac:dyDescent="0.3"/>
    <row r="122" s="138" customFormat="1" ht="13.2" x14ac:dyDescent="0.3"/>
    <row r="123" s="138" customFormat="1" ht="13.2" x14ac:dyDescent="0.3"/>
    <row r="124" s="138" customFormat="1" ht="13.2" x14ac:dyDescent="0.3"/>
    <row r="125" s="138" customFormat="1" ht="13.2" x14ac:dyDescent="0.3"/>
    <row r="126" s="138" customFormat="1" ht="13.2" x14ac:dyDescent="0.3"/>
    <row r="127" s="138" customFormat="1" ht="13.2" x14ac:dyDescent="0.3"/>
    <row r="128" s="138" customFormat="1" ht="13.2" x14ac:dyDescent="0.3"/>
    <row r="129" s="138" customFormat="1" ht="13.2" x14ac:dyDescent="0.3"/>
    <row r="130" s="138" customFormat="1" ht="13.2" x14ac:dyDescent="0.3"/>
    <row r="131" s="138" customFormat="1" ht="13.2" x14ac:dyDescent="0.3"/>
    <row r="132" s="138" customFormat="1" ht="13.2" x14ac:dyDescent="0.3"/>
    <row r="133" s="138" customFormat="1" ht="13.2" x14ac:dyDescent="0.3"/>
    <row r="134" s="138" customFormat="1" ht="13.2" x14ac:dyDescent="0.3"/>
    <row r="135" s="138" customFormat="1" ht="13.2" x14ac:dyDescent="0.3"/>
    <row r="136" s="138" customFormat="1" ht="13.2" x14ac:dyDescent="0.3"/>
    <row r="137" s="138" customFormat="1" ht="13.2" x14ac:dyDescent="0.3"/>
    <row r="138" s="138" customFormat="1" ht="13.2" x14ac:dyDescent="0.3"/>
    <row r="139" s="138" customFormat="1" ht="13.2" x14ac:dyDescent="0.3"/>
    <row r="140" s="138" customFormat="1" ht="13.2" x14ac:dyDescent="0.3"/>
    <row r="141" s="138" customFormat="1" ht="13.2" x14ac:dyDescent="0.3"/>
    <row r="142" s="138" customFormat="1" ht="13.2" x14ac:dyDescent="0.3"/>
    <row r="143" s="138" customFormat="1" ht="13.2" x14ac:dyDescent="0.3"/>
    <row r="144" s="138" customFormat="1" ht="13.2" x14ac:dyDescent="0.3"/>
    <row r="145" s="138" customFormat="1" ht="13.2" x14ac:dyDescent="0.3"/>
    <row r="146" s="138" customFormat="1" ht="13.2" x14ac:dyDescent="0.3"/>
    <row r="147" s="138" customFormat="1" ht="13.2" x14ac:dyDescent="0.3"/>
    <row r="148" s="138" customFormat="1" ht="13.2" x14ac:dyDescent="0.3"/>
    <row r="149" s="138" customFormat="1" ht="13.2" x14ac:dyDescent="0.3"/>
    <row r="150" s="138" customFormat="1" ht="13.2" x14ac:dyDescent="0.3"/>
    <row r="151" s="138" customFormat="1" ht="13.2" x14ac:dyDescent="0.3"/>
    <row r="152" s="138" customFormat="1" ht="13.2" x14ac:dyDescent="0.3"/>
    <row r="153" s="138" customFormat="1" ht="13.2" x14ac:dyDescent="0.3"/>
    <row r="154" s="138" customFormat="1" ht="13.2" x14ac:dyDescent="0.3"/>
    <row r="155" s="138" customFormat="1" ht="13.2" x14ac:dyDescent="0.3"/>
    <row r="156" s="138" customFormat="1" ht="13.2" x14ac:dyDescent="0.3"/>
    <row r="157" s="138" customFormat="1" ht="13.2" x14ac:dyDescent="0.3"/>
    <row r="158" s="138" customFormat="1" ht="13.2" x14ac:dyDescent="0.3"/>
    <row r="159" s="138" customFormat="1" ht="13.2" x14ac:dyDescent="0.3"/>
    <row r="160" s="138" customFormat="1" ht="13.2" x14ac:dyDescent="0.3"/>
    <row r="161" s="138" customFormat="1" ht="13.2" x14ac:dyDescent="0.3"/>
    <row r="162" s="138" customFormat="1" ht="13.2" x14ac:dyDescent="0.3"/>
    <row r="163" s="138" customFormat="1" ht="13.2" x14ac:dyDescent="0.3"/>
    <row r="164" s="138" customFormat="1" ht="13.2" x14ac:dyDescent="0.3"/>
    <row r="165" s="138" customFormat="1" ht="13.2" x14ac:dyDescent="0.3"/>
    <row r="166" s="138" customFormat="1" ht="13.2" x14ac:dyDescent="0.3"/>
    <row r="167" s="138" customFormat="1" ht="13.2" x14ac:dyDescent="0.3"/>
    <row r="168" s="138" customFormat="1" ht="13.2" x14ac:dyDescent="0.3"/>
    <row r="169" s="138" customFormat="1" ht="13.2" x14ac:dyDescent="0.3"/>
    <row r="170" s="138" customFormat="1" ht="13.2" x14ac:dyDescent="0.3"/>
    <row r="171" s="138" customFormat="1" ht="13.2" x14ac:dyDescent="0.3"/>
    <row r="172" s="138" customFormat="1" ht="13.2" x14ac:dyDescent="0.3"/>
    <row r="173" s="138" customFormat="1" ht="13.2" x14ac:dyDescent="0.3"/>
    <row r="174" s="138" customFormat="1" ht="13.2" x14ac:dyDescent="0.3"/>
    <row r="175" s="138" customFormat="1" ht="13.2" x14ac:dyDescent="0.3"/>
    <row r="176" s="138" customFormat="1" ht="13.2" x14ac:dyDescent="0.3"/>
    <row r="177" s="138" customFormat="1" ht="13.2" x14ac:dyDescent="0.3"/>
    <row r="178" s="138" customFormat="1" ht="13.2" x14ac:dyDescent="0.3"/>
    <row r="179" s="138" customFormat="1" ht="13.2" x14ac:dyDescent="0.3"/>
    <row r="180" s="138" customFormat="1" ht="13.2" x14ac:dyDescent="0.3"/>
    <row r="181" s="138" customFormat="1" ht="13.2" x14ac:dyDescent="0.3"/>
    <row r="182" s="138" customFormat="1" ht="13.2" x14ac:dyDescent="0.3"/>
    <row r="183" s="138" customFormat="1" ht="13.2" x14ac:dyDescent="0.3"/>
    <row r="184" s="138" customFormat="1" ht="13.2" x14ac:dyDescent="0.3"/>
    <row r="185" s="138" customFormat="1" ht="13.2" x14ac:dyDescent="0.3"/>
    <row r="186" s="138" customFormat="1" ht="13.2" x14ac:dyDescent="0.3"/>
    <row r="187" s="138" customFormat="1" ht="13.2" x14ac:dyDescent="0.3"/>
    <row r="188" s="138" customFormat="1" ht="13.2" x14ac:dyDescent="0.3"/>
    <row r="189" s="138" customFormat="1" ht="13.2" x14ac:dyDescent="0.3"/>
    <row r="190" s="138" customFormat="1" ht="13.2" x14ac:dyDescent="0.3"/>
    <row r="191" s="138" customFormat="1" ht="13.2" x14ac:dyDescent="0.3"/>
  </sheetData>
  <mergeCells count="2">
    <mergeCell ref="B2:D2"/>
    <mergeCell ref="B3:D3"/>
  </mergeCells>
  <conditionalFormatting sqref="B9 F9 D15 B21 F21">
    <cfRule type="cellIs" dxfId="4" priority="3" operator="greaterThan">
      <formula>0</formula>
    </cfRule>
    <cfRule type="cellIs" dxfId="3" priority="4" operator="lessThan">
      <formula>0</formula>
    </cfRule>
  </conditionalFormatting>
  <conditionalFormatting sqref="D9 B15 F15 D21">
    <cfRule type="cellIs" dxfId="2" priority="1" operator="greaterThan">
      <formula>0</formula>
    </cfRule>
    <cfRule type="cellIs" dxfId="1" priority="2" operator="lessThan">
      <formula>0</formula>
    </cfRule>
  </conditionalFormatting>
  <dataValidations count="1">
    <dataValidation type="list" allowBlank="1" showInputMessage="1" showErrorMessage="1" sqref="F3" xr:uid="{0359D75C-7572-49CF-9E6A-F3BA116C4080}">
      <formula1>ListMonths</formula1>
    </dataValidation>
  </dataValidations>
  <pageMargins left="0.4" right="0.4" top="0.4" bottom="0.4" header="0" footer="0"/>
  <pageSetup scale="72" fitToHeight="0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high="1" low="1" negative="1" xr2:uid="{F7E2EF39-E4BA-44F5-BA13-8A8B3C038FE9}">
          <x14:colorSeries theme="1" tint="0.34998626667073579"/>
          <x14:colorNegative rgb="FFFF5E21"/>
          <x14:colorAxis rgb="FF000000"/>
          <x14:colorMarkers rgb="FFD00000"/>
          <x14:colorFirst rgb="FFD00000"/>
          <x14:colorLast rgb="FFD00000"/>
          <x14:colorHigh rgb="FF01A8C1"/>
          <x14:colorLow rgb="FFFF5E21"/>
          <x14:sparklines>
            <x14:sparkline>
              <xm:f>'EN BLANCO - Entrada de datos'!C30:N30</xm:f>
              <xm:sqref>F20</xm:sqref>
            </x14:sparkline>
          </x14:sparklines>
        </x14:sparklineGroup>
        <x14:sparklineGroup manualMax="0" manualMin="0" type="column" displayEmptyCellsAs="gap" high="1" low="1" negative="1" xr2:uid="{35AB50CE-C552-45DD-8E50-D51F4341BB84}">
          <x14:colorSeries theme="1" tint="0.34998626667073579"/>
          <x14:colorNegative rgb="FFFF5E21"/>
          <x14:colorAxis rgb="FF000000"/>
          <x14:colorMarkers rgb="FFD00000"/>
          <x14:colorFirst rgb="FFD00000"/>
          <x14:colorLast rgb="FFD00000"/>
          <x14:colorHigh rgb="FFFF5E21"/>
          <x14:colorLow rgb="FF01A8C1"/>
          <x14:sparklines>
            <x14:sparkline>
              <xm:f>'EN BLANCO - Entrada de datos'!C29:N29</xm:f>
              <xm:sqref>D20</xm:sqref>
            </x14:sparkline>
          </x14:sparklines>
        </x14:sparklineGroup>
        <x14:sparklineGroup manualMax="0" manualMin="0" type="column" displayEmptyCellsAs="gap" high="1" low="1" negative="1" xr2:uid="{0D03F39D-36AE-4CF8-ADE0-D628F6028CE0}">
          <x14:colorSeries theme="1" tint="0.34998626667073579"/>
          <x14:colorNegative rgb="FFFF5E21"/>
          <x14:colorAxis rgb="FF000000"/>
          <x14:colorMarkers rgb="FFD00000"/>
          <x14:colorFirst rgb="FFD00000"/>
          <x14:colorLast rgb="FFD00000"/>
          <x14:colorHigh rgb="FF01A8C1"/>
          <x14:colorLow rgb="FFFF5E21"/>
          <x14:sparklines>
            <x14:sparkline>
              <xm:f>'EN BLANCO - Entrada de datos'!C26:N26</xm:f>
              <xm:sqref>B20</xm:sqref>
            </x14:sparkline>
          </x14:sparklines>
        </x14:sparklineGroup>
        <x14:sparklineGroup manualMax="0" manualMin="0" type="column" displayEmptyCellsAs="gap" high="1" low="1" negative="1" xr2:uid="{47E9A2B2-BB13-411B-B059-A59748BD34E4}">
          <x14:colorSeries theme="1" tint="0.34998626667073579"/>
          <x14:colorNegative rgb="FFFF5E21"/>
          <x14:colorAxis rgb="FF000000"/>
          <x14:colorMarkers rgb="FFD00000"/>
          <x14:colorFirst rgb="FFD00000"/>
          <x14:colorLast rgb="FFD00000"/>
          <x14:colorHigh rgb="FFFF5E21"/>
          <x14:colorLow rgb="FF01A8C1"/>
          <x14:sparklines>
            <x14:sparkline>
              <xm:f>'EN BLANCO - Entrada de datos'!C27:N27</xm:f>
              <xm:sqref>F14</xm:sqref>
            </x14:sparkline>
          </x14:sparklines>
        </x14:sparklineGroup>
        <x14:sparklineGroup manualMax="0" manualMin="0" type="column" displayEmptyCellsAs="gap" high="1" low="1" negative="1" xr2:uid="{1797E058-E368-4AD3-A1A2-EB0DCC447BF9}">
          <x14:colorSeries theme="1" tint="0.34998626667073579"/>
          <x14:colorNegative rgb="FFFF5E21"/>
          <x14:colorAxis rgb="FF000000"/>
          <x14:colorMarkers rgb="FFD00000"/>
          <x14:colorFirst rgb="FFD00000"/>
          <x14:colorLast rgb="FFD00000"/>
          <x14:colorHigh rgb="FF01A8C1"/>
          <x14:colorLow rgb="FFFF5E21"/>
          <x14:sparklines>
            <x14:sparkline>
              <xm:f>'EN BLANCO - Entrada de datos'!C26:N26</xm:f>
              <xm:sqref>D14</xm:sqref>
            </x14:sparkline>
          </x14:sparklines>
        </x14:sparklineGroup>
        <x14:sparklineGroup manualMax="0" manualMin="0" type="column" displayEmptyCellsAs="gap" high="1" low="1" negative="1" xr2:uid="{658BBB95-A280-46FD-907A-8D6F584BAACD}">
          <x14:colorSeries theme="1" tint="0.34998626667073579"/>
          <x14:colorNegative rgb="FFFF5E21"/>
          <x14:colorAxis rgb="FF000000"/>
          <x14:colorMarkers rgb="FFD00000"/>
          <x14:colorFirst rgb="FFD00000"/>
          <x14:colorLast rgb="FFD00000"/>
          <x14:colorHigh rgb="FFFF5E21"/>
          <x14:colorLow rgb="FF01A8C1"/>
          <x14:sparklines>
            <x14:sparkline>
              <xm:f>'EN BLANCO - Entrada de datos'!C25:N25</xm:f>
              <xm:sqref>B14</xm:sqref>
            </x14:sparkline>
          </x14:sparklines>
        </x14:sparklineGroup>
        <x14:sparklineGroup manualMax="0" manualMin="0" type="column" displayEmptyCellsAs="gap" high="1" low="1" negative="1" xr2:uid="{6212AE9D-6A07-4618-9514-41C48DF1A2FA}">
          <x14:colorSeries theme="1" tint="0.34998626667073579"/>
          <x14:colorNegative rgb="FFFF5E21"/>
          <x14:colorAxis rgb="FF000000"/>
          <x14:colorMarkers rgb="FFD00000"/>
          <x14:colorFirst rgb="FFD00000"/>
          <x14:colorLast rgb="FFD00000"/>
          <x14:colorHigh rgb="FF01A8C1"/>
          <x14:colorLow rgb="FFFF5E21"/>
          <x14:sparklines>
            <x14:sparkline>
              <xm:f>'EN BLANCO - Entrada de datos'!C6:N6</xm:f>
              <xm:sqref>F8</xm:sqref>
            </x14:sparkline>
          </x14:sparklines>
        </x14:sparklineGroup>
        <x14:sparklineGroup manualMax="0" manualMin="0" type="column" displayEmptyCellsAs="gap" high="1" low="1" negative="1" xr2:uid="{B03982A5-42CA-41C1-AB71-E735FB5A4DBC}">
          <x14:colorSeries theme="1" tint="0.34998626667073579"/>
          <x14:colorNegative rgb="FFFF5E21"/>
          <x14:colorAxis rgb="FF000000"/>
          <x14:colorMarkers rgb="FFD00000"/>
          <x14:colorFirst rgb="FFD00000"/>
          <x14:colorLast rgb="FFD00000"/>
          <x14:colorHigh rgb="FFFF5E21"/>
          <x14:colorLow rgb="FF01A8C1"/>
          <x14:sparklines>
            <x14:sparkline>
              <xm:f>'EN BLANCO - Entrada de datos'!C5:N5</xm:f>
              <xm:sqref>D8</xm:sqref>
            </x14:sparkline>
          </x14:sparklines>
        </x14:sparklineGroup>
        <x14:sparklineGroup manualMax="0" manualMin="0" lineWeight="1.5" type="column" displayEmptyCellsAs="gap" high="1" low="1" negative="1" xr2:uid="{C6EAF01F-8899-4C23-AAE5-A6637479A9D1}">
          <x14:colorSeries theme="1" tint="0.34998626667073579"/>
          <x14:colorNegative rgb="FFFF5E21"/>
          <x14:colorAxis rgb="FF000000"/>
          <x14:colorMarkers theme="4" tint="-0.499984740745262"/>
          <x14:colorFirst theme="4" tint="0.39997558519241921"/>
          <x14:colorLast theme="4" tint="0.39997558519241921"/>
          <x14:colorHigh rgb="FF01A8C1"/>
          <x14:colorLow rgb="FFFF5E21"/>
          <x14:sparklines>
            <x14:sparkline>
              <xm:f>'EN BLANCO - Entrada de datos'!C4:N4</xm:f>
              <xm:sqref>B8</xm:sqref>
            </x14:sparkline>
          </x14:sparklines>
        </x14:sparklineGroup>
      </x14:sparklineGroup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D09DD-3961-46B8-80BD-663C145B144A}">
  <sheetPr codeName="Hoja14">
    <tabColor theme="3" tint="0.39997558519241921"/>
    <pageSetUpPr fitToPage="1"/>
  </sheetPr>
  <dimension ref="A1:N40"/>
  <sheetViews>
    <sheetView showGridLines="0" zoomScaleNormal="100" zoomScalePageLayoutView="80" workbookViewId="0">
      <pane ySplit="1" topLeftCell="A5" activePane="bottomLeft" state="frozen"/>
      <selection activeCell="C15" sqref="C15"/>
      <selection pane="bottomLeft" activeCell="C15" sqref="C15"/>
    </sheetView>
  </sheetViews>
  <sheetFormatPr baseColWidth="10" defaultColWidth="8.77734375" defaultRowHeight="14.4" x14ac:dyDescent="0.3"/>
  <cols>
    <col min="1" max="1" width="3.33203125" customWidth="1"/>
    <col min="2" max="2" width="45.77734375" customWidth="1"/>
    <col min="3" max="4" width="15.77734375" customWidth="1"/>
    <col min="5" max="5" width="3.33203125" customWidth="1"/>
    <col min="6" max="6" width="45.77734375" customWidth="1"/>
    <col min="7" max="8" width="15.77734375" customWidth="1"/>
    <col min="9" max="9" width="4.44140625" customWidth="1"/>
  </cols>
  <sheetData>
    <row r="1" spans="1:14" s="90" customFormat="1" ht="49.95" customHeight="1" x14ac:dyDescent="0.3">
      <c r="A1" s="86"/>
      <c r="B1" s="87" t="s">
        <v>508</v>
      </c>
      <c r="C1" s="88"/>
      <c r="D1" s="88"/>
      <c r="E1" s="89"/>
      <c r="F1" s="89"/>
      <c r="G1" s="89"/>
      <c r="H1" s="89"/>
      <c r="I1" s="89"/>
      <c r="J1" s="88"/>
      <c r="K1" s="89"/>
      <c r="L1" s="89"/>
      <c r="M1" s="89"/>
      <c r="N1" s="89"/>
    </row>
    <row r="2" spans="1:14" s="95" customFormat="1" ht="34.950000000000003" customHeight="1" x14ac:dyDescent="0.5">
      <c r="A2" s="91"/>
      <c r="B2" s="92" t="s">
        <v>509</v>
      </c>
      <c r="C2" s="93"/>
      <c r="D2" s="93"/>
      <c r="E2" s="93"/>
      <c r="F2" s="91"/>
      <c r="G2" s="93"/>
      <c r="H2" s="94" t="s">
        <v>510</v>
      </c>
    </row>
    <row r="3" spans="1:14" ht="19.95" customHeight="1" x14ac:dyDescent="0.3">
      <c r="A3" s="96"/>
      <c r="B3" s="97" t="s">
        <v>511</v>
      </c>
      <c r="C3" s="96"/>
      <c r="D3" s="96"/>
      <c r="E3" s="96"/>
      <c r="F3" s="96"/>
      <c r="G3" s="96"/>
      <c r="H3" s="96"/>
    </row>
    <row r="4" spans="1:14" s="101" customFormat="1" ht="25.05" customHeight="1" x14ac:dyDescent="0.35">
      <c r="A4" s="98"/>
      <c r="B4" s="99" t="s">
        <v>512</v>
      </c>
      <c r="C4" s="100" t="s">
        <v>513</v>
      </c>
      <c r="D4" s="100" t="s">
        <v>513</v>
      </c>
      <c r="E4" s="98"/>
      <c r="F4" s="99" t="s">
        <v>514</v>
      </c>
      <c r="G4" s="100" t="s">
        <v>513</v>
      </c>
      <c r="H4" s="100" t="s">
        <v>513</v>
      </c>
    </row>
    <row r="5" spans="1:14" s="106" customFormat="1" ht="19.95" customHeight="1" x14ac:dyDescent="0.3">
      <c r="A5" s="102"/>
      <c r="B5" s="103" t="s">
        <v>515</v>
      </c>
      <c r="C5" s="104"/>
      <c r="D5" s="105"/>
      <c r="E5" s="102"/>
      <c r="F5" s="103" t="s">
        <v>516</v>
      </c>
      <c r="G5" s="104"/>
      <c r="H5" s="105"/>
    </row>
    <row r="6" spans="1:14" s="106" customFormat="1" ht="19.95" customHeight="1" x14ac:dyDescent="0.3">
      <c r="A6" s="102"/>
      <c r="B6" s="107" t="s">
        <v>517</v>
      </c>
      <c r="C6" s="108">
        <v>0</v>
      </c>
      <c r="D6" s="108">
        <v>0</v>
      </c>
      <c r="E6" s="102"/>
      <c r="F6" s="109" t="s">
        <v>518</v>
      </c>
      <c r="G6" s="108">
        <v>0</v>
      </c>
      <c r="H6" s="108">
        <v>0</v>
      </c>
    </row>
    <row r="7" spans="1:14" s="106" customFormat="1" ht="19.95" customHeight="1" x14ac:dyDescent="0.3">
      <c r="A7" s="102"/>
      <c r="B7" s="110" t="s">
        <v>519</v>
      </c>
      <c r="C7" s="111">
        <v>0</v>
      </c>
      <c r="D7" s="111">
        <v>0</v>
      </c>
      <c r="E7" s="102"/>
      <c r="F7" s="112" t="s">
        <v>520</v>
      </c>
      <c r="G7" s="111">
        <v>0</v>
      </c>
      <c r="H7" s="111">
        <v>0</v>
      </c>
    </row>
    <row r="8" spans="1:14" s="106" customFormat="1" ht="19.95" customHeight="1" x14ac:dyDescent="0.3">
      <c r="A8" s="102"/>
      <c r="B8" s="110" t="s">
        <v>521</v>
      </c>
      <c r="C8" s="111">
        <v>0</v>
      </c>
      <c r="D8" s="111">
        <v>0</v>
      </c>
      <c r="E8" s="102"/>
      <c r="F8" s="112" t="s">
        <v>522</v>
      </c>
      <c r="G8" s="111">
        <v>0</v>
      </c>
      <c r="H8" s="111">
        <v>0</v>
      </c>
    </row>
    <row r="9" spans="1:14" s="106" customFormat="1" ht="19.95" customHeight="1" x14ac:dyDescent="0.3">
      <c r="A9" s="102"/>
      <c r="B9" s="110" t="s">
        <v>523</v>
      </c>
      <c r="C9" s="111">
        <v>0</v>
      </c>
      <c r="D9" s="111">
        <v>0</v>
      </c>
      <c r="E9" s="102"/>
      <c r="F9" s="112" t="s">
        <v>524</v>
      </c>
      <c r="G9" s="111">
        <v>0</v>
      </c>
      <c r="H9" s="111">
        <v>0</v>
      </c>
    </row>
    <row r="10" spans="1:14" s="106" customFormat="1" ht="19.95" customHeight="1" x14ac:dyDescent="0.3">
      <c r="A10" s="102"/>
      <c r="B10" s="110" t="s">
        <v>525</v>
      </c>
      <c r="C10" s="111">
        <v>0</v>
      </c>
      <c r="D10" s="111">
        <v>0</v>
      </c>
      <c r="E10" s="102"/>
      <c r="F10" s="112" t="s">
        <v>526</v>
      </c>
      <c r="G10" s="111">
        <v>0</v>
      </c>
      <c r="H10" s="111">
        <v>0</v>
      </c>
    </row>
    <row r="11" spans="1:14" s="106" customFormat="1" ht="19.95" customHeight="1" x14ac:dyDescent="0.3">
      <c r="A11" s="102"/>
      <c r="B11" s="113" t="s">
        <v>527</v>
      </c>
      <c r="C11" s="114">
        <f>SUM(C6:C10)</f>
        <v>0</v>
      </c>
      <c r="D11" s="114">
        <f>SUM(D6:D10)</f>
        <v>0</v>
      </c>
      <c r="E11" s="102"/>
      <c r="F11" s="112" t="s">
        <v>528</v>
      </c>
      <c r="G11" s="111">
        <v>0</v>
      </c>
      <c r="H11" s="111">
        <v>0</v>
      </c>
    </row>
    <row r="12" spans="1:14" s="106" customFormat="1" ht="19.95" customHeight="1" x14ac:dyDescent="0.3">
      <c r="A12" s="102"/>
      <c r="B12" s="103" t="s">
        <v>529</v>
      </c>
      <c r="C12" s="104"/>
      <c r="D12" s="105"/>
      <c r="E12" s="102"/>
      <c r="F12" s="113" t="s">
        <v>530</v>
      </c>
      <c r="G12" s="114">
        <f>SUM(G6:G11)</f>
        <v>0</v>
      </c>
      <c r="H12" s="114">
        <f>SUM(H6:H11)</f>
        <v>0</v>
      </c>
    </row>
    <row r="13" spans="1:14" s="106" customFormat="1" ht="19.95" customHeight="1" x14ac:dyDescent="0.3">
      <c r="A13" s="102"/>
      <c r="B13" s="107" t="s">
        <v>531</v>
      </c>
      <c r="C13" s="108">
        <v>0</v>
      </c>
      <c r="D13" s="108">
        <v>0</v>
      </c>
      <c r="E13" s="102"/>
      <c r="F13" s="103" t="s">
        <v>532</v>
      </c>
      <c r="G13" s="104"/>
      <c r="H13" s="105"/>
    </row>
    <row r="14" spans="1:14" s="106" customFormat="1" ht="19.95" customHeight="1" x14ac:dyDescent="0.3">
      <c r="A14" s="102"/>
      <c r="B14" s="110" t="s">
        <v>533</v>
      </c>
      <c r="C14" s="111">
        <v>0</v>
      </c>
      <c r="D14" s="111">
        <v>0</v>
      </c>
      <c r="E14" s="102"/>
      <c r="F14" s="107" t="s">
        <v>534</v>
      </c>
      <c r="G14" s="108">
        <v>0</v>
      </c>
      <c r="H14" s="108">
        <v>0</v>
      </c>
    </row>
    <row r="15" spans="1:14" s="106" customFormat="1" ht="23.4" x14ac:dyDescent="0.3">
      <c r="A15" s="102"/>
      <c r="B15" s="112" t="s">
        <v>535</v>
      </c>
      <c r="C15" s="111">
        <v>0</v>
      </c>
      <c r="D15" s="111">
        <v>0</v>
      </c>
      <c r="E15" s="102"/>
      <c r="F15" s="110" t="s">
        <v>536</v>
      </c>
      <c r="G15" s="111">
        <v>0</v>
      </c>
      <c r="H15" s="111">
        <v>0</v>
      </c>
    </row>
    <row r="16" spans="1:14" s="106" customFormat="1" ht="19.95" customHeight="1" x14ac:dyDescent="0.3">
      <c r="A16" s="102"/>
      <c r="B16" s="110" t="s">
        <v>537</v>
      </c>
      <c r="C16" s="111">
        <v>0</v>
      </c>
      <c r="D16" s="111">
        <v>0</v>
      </c>
      <c r="E16" s="102"/>
      <c r="F16" s="110" t="s">
        <v>538</v>
      </c>
      <c r="G16" s="111">
        <v>0</v>
      </c>
      <c r="H16" s="111">
        <v>0</v>
      </c>
    </row>
    <row r="17" spans="1:10" s="106" customFormat="1" ht="19.95" customHeight="1" x14ac:dyDescent="0.3">
      <c r="A17" s="102"/>
      <c r="B17" s="113" t="s">
        <v>539</v>
      </c>
      <c r="C17" s="114">
        <f>SUM(C13:C16)</f>
        <v>0</v>
      </c>
      <c r="D17" s="114">
        <f>SUM(D13:D16)</f>
        <v>0</v>
      </c>
      <c r="E17" s="102"/>
      <c r="F17" s="113" t="s">
        <v>540</v>
      </c>
      <c r="G17" s="114">
        <f>SUM(G14:G16)</f>
        <v>0</v>
      </c>
      <c r="H17" s="114">
        <f>SUM(H14:H16)</f>
        <v>0</v>
      </c>
    </row>
    <row r="18" spans="1:10" s="106" customFormat="1" ht="19.95" customHeight="1" x14ac:dyDescent="0.3">
      <c r="A18" s="102"/>
      <c r="B18" s="103" t="s">
        <v>541</v>
      </c>
      <c r="C18" s="104"/>
      <c r="D18" s="105"/>
      <c r="E18" s="102"/>
      <c r="F18" s="103" t="s">
        <v>542</v>
      </c>
      <c r="G18" s="104"/>
      <c r="H18" s="105"/>
    </row>
    <row r="19" spans="1:10" s="106" customFormat="1" ht="19.95" customHeight="1" x14ac:dyDescent="0.3">
      <c r="A19" s="102"/>
      <c r="B19" s="107" t="s">
        <v>536</v>
      </c>
      <c r="C19" s="108">
        <v>0</v>
      </c>
      <c r="D19" s="108">
        <v>0</v>
      </c>
      <c r="E19" s="102"/>
      <c r="F19" s="107" t="s">
        <v>543</v>
      </c>
      <c r="G19" s="108">
        <v>0</v>
      </c>
      <c r="H19" s="108">
        <v>0</v>
      </c>
    </row>
    <row r="20" spans="1:10" s="106" customFormat="1" ht="19.95" customHeight="1" x14ac:dyDescent="0.3">
      <c r="A20" s="102"/>
      <c r="B20" s="110" t="s">
        <v>538</v>
      </c>
      <c r="C20" s="111">
        <v>0</v>
      </c>
      <c r="D20" s="111">
        <v>0</v>
      </c>
      <c r="E20" s="102"/>
      <c r="F20" s="110" t="s">
        <v>544</v>
      </c>
      <c r="G20" s="111">
        <v>0</v>
      </c>
      <c r="H20" s="111">
        <v>0</v>
      </c>
    </row>
    <row r="21" spans="1:10" s="106" customFormat="1" ht="19.95" customHeight="1" x14ac:dyDescent="0.3">
      <c r="A21" s="102"/>
      <c r="B21" s="115" t="s">
        <v>545</v>
      </c>
      <c r="C21" s="116">
        <f>SUM(C19:C20)</f>
        <v>0</v>
      </c>
      <c r="D21" s="116">
        <f>SUM(D19:D20)</f>
        <v>0</v>
      </c>
      <c r="E21" s="102"/>
      <c r="F21" s="110" t="s">
        <v>538</v>
      </c>
      <c r="G21" s="111">
        <v>0</v>
      </c>
      <c r="H21" s="111">
        <v>0</v>
      </c>
    </row>
    <row r="22" spans="1:10" s="106" customFormat="1" ht="19.95" customHeight="1" x14ac:dyDescent="0.3">
      <c r="A22" s="102"/>
      <c r="B22" s="96"/>
      <c r="C22" s="96"/>
      <c r="D22" s="96"/>
      <c r="E22" s="102"/>
      <c r="F22" s="115" t="s">
        <v>546</v>
      </c>
      <c r="G22" s="116">
        <f>SUM(G19:G21)</f>
        <v>0</v>
      </c>
      <c r="H22" s="116">
        <f>SUM(H19:H21)</f>
        <v>0</v>
      </c>
    </row>
    <row r="23" spans="1:10" s="106" customFormat="1" ht="19.95" customHeight="1" x14ac:dyDescent="0.3">
      <c r="A23" s="102"/>
      <c r="B23" s="117" t="s">
        <v>547</v>
      </c>
      <c r="C23" s="118">
        <f>C11+C17+C21</f>
        <v>0</v>
      </c>
      <c r="D23" s="119">
        <f>D11+D17+D21</f>
        <v>0</v>
      </c>
      <c r="E23" s="102"/>
      <c r="F23" s="96"/>
      <c r="G23" s="96"/>
      <c r="H23" s="96"/>
      <c r="J23" s="120"/>
    </row>
    <row r="24" spans="1:10" s="106" customFormat="1" ht="25.2" x14ac:dyDescent="0.3">
      <c r="A24" s="102"/>
      <c r="B24" s="96"/>
      <c r="C24" s="96"/>
      <c r="D24" s="96"/>
      <c r="E24" s="102"/>
      <c r="F24" s="121" t="s">
        <v>548</v>
      </c>
      <c r="G24" s="119">
        <f>G12+G17+G22</f>
        <v>0</v>
      </c>
      <c r="H24" s="119">
        <f>H12+H17+H22</f>
        <v>0</v>
      </c>
    </row>
    <row r="25" spans="1:10" ht="25.05" customHeight="1" x14ac:dyDescent="0.3">
      <c r="A25" s="96"/>
      <c r="B25" s="99" t="s">
        <v>549</v>
      </c>
      <c r="C25" s="100" t="s">
        <v>513</v>
      </c>
      <c r="D25" s="100" t="s">
        <v>513</v>
      </c>
      <c r="E25" s="96"/>
      <c r="F25" s="96"/>
      <c r="G25" s="96"/>
      <c r="H25" s="96"/>
    </row>
    <row r="26" spans="1:10" ht="34.950000000000003" customHeight="1" x14ac:dyDescent="0.3">
      <c r="A26" s="96"/>
      <c r="B26" s="122" t="s">
        <v>550</v>
      </c>
      <c r="C26" s="123" t="str">
        <f>IF(C23=0,"",(G12+G17)/C23)</f>
        <v/>
      </c>
      <c r="D26" s="123" t="str">
        <f>IF(D23=0,"",(H12+H17)/D23)</f>
        <v/>
      </c>
      <c r="E26" s="96"/>
      <c r="F26" s="96"/>
      <c r="G26" s="96"/>
      <c r="H26" s="96"/>
    </row>
    <row r="27" spans="1:10" ht="34.950000000000003" customHeight="1" x14ac:dyDescent="0.3">
      <c r="A27" s="96"/>
      <c r="B27" s="122" t="s">
        <v>551</v>
      </c>
      <c r="C27" s="123" t="str">
        <f>IF(G12=0,"",C11/G12)</f>
        <v/>
      </c>
      <c r="D27" s="123" t="str">
        <f>IF(H12=0,"",D11/H12)</f>
        <v/>
      </c>
      <c r="E27" s="96"/>
      <c r="F27" s="96"/>
      <c r="G27" s="96"/>
      <c r="H27" s="96"/>
    </row>
    <row r="28" spans="1:10" ht="34.950000000000003" customHeight="1" x14ac:dyDescent="0.3">
      <c r="A28" s="96"/>
      <c r="B28" s="122" t="s">
        <v>552</v>
      </c>
      <c r="C28" s="124">
        <f>C11-G12</f>
        <v>0</v>
      </c>
      <c r="D28" s="124">
        <f>D11-H12</f>
        <v>0</v>
      </c>
      <c r="E28" s="96"/>
      <c r="F28" s="96"/>
      <c r="G28" s="96"/>
      <c r="H28" s="96"/>
    </row>
    <row r="29" spans="1:10" ht="34.950000000000003" customHeight="1" x14ac:dyDescent="0.3">
      <c r="A29" s="102"/>
      <c r="B29" s="122" t="s">
        <v>553</v>
      </c>
      <c r="C29" s="123" t="str">
        <f>IF(G22=0,"",C23/G22)</f>
        <v/>
      </c>
      <c r="D29" s="123" t="str">
        <f>IF(H22=0,"",D23/H22)</f>
        <v/>
      </c>
      <c r="E29" s="96"/>
      <c r="F29" s="96"/>
      <c r="G29" s="96"/>
      <c r="H29" s="96"/>
    </row>
    <row r="30" spans="1:10" ht="34.950000000000003" customHeight="1" x14ac:dyDescent="0.3">
      <c r="A30" s="96"/>
      <c r="B30" s="122" t="s">
        <v>554</v>
      </c>
      <c r="C30" s="123" t="str">
        <f>IF(G22=0,"",(G12+G17)/G22)</f>
        <v/>
      </c>
      <c r="D30" s="123" t="str">
        <f>IF(H22=0,"",(H12+H17)/H22)</f>
        <v/>
      </c>
      <c r="E30" s="96"/>
      <c r="F30" s="96"/>
      <c r="G30" s="96"/>
      <c r="H30" s="96"/>
    </row>
    <row r="31" spans="1:10" ht="19.95" customHeight="1" x14ac:dyDescent="0.3">
      <c r="G31" t="s">
        <v>191</v>
      </c>
    </row>
    <row r="33" spans="7:11" x14ac:dyDescent="0.3">
      <c r="K33" t="s">
        <v>191</v>
      </c>
    </row>
    <row r="40" spans="7:11" x14ac:dyDescent="0.3">
      <c r="G40" t="s">
        <v>191</v>
      </c>
    </row>
  </sheetData>
  <pageMargins left="0.3" right="0.3" top="0.3" bottom="0.3" header="0" footer="0"/>
  <pageSetup scale="78" orientation="landscape" horizontalDpi="1200" verticalDpi="12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F3499-2588-4539-A3CD-96F439B1DB83}">
  <sheetPr codeName="Hoja19">
    <tabColor theme="3" tint="0.39997558519241921"/>
    <pageSetUpPr fitToPage="1"/>
  </sheetPr>
  <dimension ref="A1:AB1006"/>
  <sheetViews>
    <sheetView showGridLines="0" workbookViewId="0">
      <pane ySplit="3" topLeftCell="A10" activePane="bottomLeft" state="frozen"/>
      <selection pane="bottomLeft" activeCell="E22" sqref="E22"/>
    </sheetView>
  </sheetViews>
  <sheetFormatPr baseColWidth="10" defaultColWidth="13.77734375" defaultRowHeight="15" customHeight="1" x14ac:dyDescent="0.25"/>
  <cols>
    <col min="1" max="1" width="2.77734375" style="220" customWidth="1"/>
    <col min="2" max="2" width="16.44140625" style="220" customWidth="1"/>
    <col min="3" max="4" width="53.5546875" style="220" customWidth="1"/>
    <col min="5" max="8" width="16.44140625" style="220" customWidth="1"/>
    <col min="9" max="28" width="10.44140625" style="220" customWidth="1"/>
    <col min="29" max="16384" width="13.77734375" style="220"/>
  </cols>
  <sheetData>
    <row r="1" spans="1:28" ht="42" customHeight="1" x14ac:dyDescent="0.45">
      <c r="A1" s="220" t="s">
        <v>191</v>
      </c>
      <c r="B1" s="263" t="s">
        <v>623</v>
      </c>
      <c r="C1" s="265"/>
      <c r="D1" s="265"/>
      <c r="E1" s="264"/>
    </row>
    <row r="2" spans="1:28" ht="16.2" thickBot="1" x14ac:dyDescent="0.35">
      <c r="A2" s="219"/>
    </row>
    <row r="3" spans="1:28" ht="24" customHeight="1" thickBot="1" x14ac:dyDescent="0.3">
      <c r="A3" s="221"/>
      <c r="B3" s="440" t="s">
        <v>629</v>
      </c>
      <c r="C3" s="441"/>
      <c r="D3" s="442"/>
      <c r="E3" s="438" t="s">
        <v>630</v>
      </c>
      <c r="F3" s="439"/>
      <c r="G3" s="314"/>
      <c r="H3" s="266">
        <f>SUM(E3:F3)</f>
        <v>0</v>
      </c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</row>
    <row r="4" spans="1:28" ht="24" customHeight="1" x14ac:dyDescent="0.25">
      <c r="A4" s="221"/>
      <c r="B4" s="270" t="s">
        <v>631</v>
      </c>
      <c r="C4" s="267" t="s">
        <v>3</v>
      </c>
      <c r="D4" s="267" t="s">
        <v>1304</v>
      </c>
      <c r="E4" s="268" t="s">
        <v>1305</v>
      </c>
      <c r="F4" s="269" t="s">
        <v>1306</v>
      </c>
      <c r="G4" s="315" t="s">
        <v>1321</v>
      </c>
      <c r="H4" s="267" t="s">
        <v>510</v>
      </c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</row>
    <row r="5" spans="1:28" x14ac:dyDescent="0.25">
      <c r="A5" s="221"/>
      <c r="B5" s="318">
        <v>46138</v>
      </c>
      <c r="C5" s="320" t="s">
        <v>1413</v>
      </c>
      <c r="D5" s="320" t="s">
        <v>1414</v>
      </c>
      <c r="E5" s="322">
        <v>4832000</v>
      </c>
      <c r="F5" s="324"/>
      <c r="G5" s="332" t="s">
        <v>1315</v>
      </c>
      <c r="H5" s="325">
        <f t="shared" ref="H5:H11" si="0">SUM(E5:F5)</f>
        <v>4832000</v>
      </c>
      <c r="I5" s="221"/>
      <c r="J5" s="221"/>
      <c r="K5" s="221"/>
      <c r="L5" s="221"/>
      <c r="M5" s="221"/>
      <c r="N5" s="221"/>
      <c r="O5" s="221"/>
      <c r="P5" s="221"/>
      <c r="Q5" s="221"/>
      <c r="R5" s="221"/>
      <c r="S5" s="221"/>
      <c r="T5" s="221"/>
      <c r="U5" s="221"/>
      <c r="V5" s="221"/>
      <c r="W5" s="221"/>
      <c r="X5" s="221"/>
      <c r="Y5" s="221"/>
      <c r="Z5" s="221"/>
      <c r="AA5" s="221"/>
      <c r="AB5" s="221"/>
    </row>
    <row r="6" spans="1:28" x14ac:dyDescent="0.25">
      <c r="A6" s="221"/>
      <c r="B6" s="318">
        <v>46138</v>
      </c>
      <c r="C6" s="320" t="s">
        <v>1413</v>
      </c>
      <c r="D6" s="320" t="s">
        <v>1414</v>
      </c>
      <c r="E6" s="321">
        <v>597065</v>
      </c>
      <c r="F6" s="323"/>
      <c r="G6" s="332" t="s">
        <v>1315</v>
      </c>
      <c r="H6" s="325">
        <f t="shared" si="0"/>
        <v>597065</v>
      </c>
      <c r="I6" s="221"/>
      <c r="J6" s="221"/>
      <c r="K6" s="221"/>
      <c r="L6" s="221"/>
      <c r="M6" s="221"/>
      <c r="N6" s="221"/>
      <c r="O6" s="221"/>
      <c r="P6" s="221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</row>
    <row r="7" spans="1:28" x14ac:dyDescent="0.25">
      <c r="A7" s="221"/>
      <c r="B7" s="318">
        <v>46138</v>
      </c>
      <c r="C7" s="320" t="s">
        <v>1413</v>
      </c>
      <c r="D7" s="320" t="s">
        <v>1414</v>
      </c>
      <c r="E7" s="321">
        <v>445360</v>
      </c>
      <c r="F7" s="323"/>
      <c r="G7" s="332" t="s">
        <v>1315</v>
      </c>
      <c r="H7" s="325">
        <f t="shared" si="0"/>
        <v>445360</v>
      </c>
      <c r="I7" s="221"/>
      <c r="J7" s="221"/>
      <c r="K7" s="221"/>
      <c r="L7" s="221"/>
      <c r="M7" s="221"/>
      <c r="N7" s="221"/>
      <c r="O7" s="221"/>
      <c r="P7" s="221"/>
      <c r="Q7" s="221"/>
      <c r="R7" s="221"/>
      <c r="S7" s="221"/>
      <c r="T7" s="221"/>
      <c r="U7" s="221"/>
      <c r="V7" s="221"/>
      <c r="W7" s="221"/>
      <c r="X7" s="221"/>
      <c r="Y7" s="221"/>
      <c r="Z7" s="221"/>
      <c r="AA7" s="221"/>
      <c r="AB7" s="221"/>
    </row>
    <row r="8" spans="1:28" x14ac:dyDescent="0.25">
      <c r="A8" s="221"/>
      <c r="B8" s="318">
        <v>46138</v>
      </c>
      <c r="C8" s="320" t="s">
        <v>1413</v>
      </c>
      <c r="D8" s="320" t="s">
        <v>1414</v>
      </c>
      <c r="E8" s="321">
        <v>180000</v>
      </c>
      <c r="F8" s="323"/>
      <c r="G8" s="332" t="s">
        <v>1315</v>
      </c>
      <c r="H8" s="325">
        <f t="shared" si="0"/>
        <v>180000</v>
      </c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</row>
    <row r="9" spans="1:28" x14ac:dyDescent="0.25">
      <c r="A9" s="221"/>
      <c r="B9" s="318">
        <v>46138</v>
      </c>
      <c r="C9" s="320" t="s">
        <v>1413</v>
      </c>
      <c r="D9" s="320" t="s">
        <v>1414</v>
      </c>
      <c r="E9" s="321">
        <v>410800</v>
      </c>
      <c r="F9" s="323"/>
      <c r="G9" s="332" t="s">
        <v>1315</v>
      </c>
      <c r="H9" s="325">
        <f t="shared" si="0"/>
        <v>410800</v>
      </c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</row>
    <row r="10" spans="1:28" x14ac:dyDescent="0.25">
      <c r="A10" s="221"/>
      <c r="B10" s="317">
        <v>46139.678888425929</v>
      </c>
      <c r="C10" s="319" t="s">
        <v>1329</v>
      </c>
      <c r="D10" s="319" t="s">
        <v>1408</v>
      </c>
      <c r="E10" s="321"/>
      <c r="F10" s="323">
        <v>41000</v>
      </c>
      <c r="G10" s="333" t="s">
        <v>1315</v>
      </c>
      <c r="H10" s="325">
        <f t="shared" si="0"/>
        <v>41000</v>
      </c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221"/>
      <c r="AB10" s="221"/>
    </row>
    <row r="11" spans="1:28" ht="15.6" x14ac:dyDescent="0.3">
      <c r="A11" s="219"/>
      <c r="B11" s="317">
        <v>46139.678888425929</v>
      </c>
      <c r="C11" s="319" t="s">
        <v>1309</v>
      </c>
      <c r="D11" s="319" t="s">
        <v>1393</v>
      </c>
      <c r="E11" s="321"/>
      <c r="F11" s="323">
        <v>1090000</v>
      </c>
      <c r="G11" s="333" t="s">
        <v>1315</v>
      </c>
      <c r="H11" s="325">
        <f t="shared" si="0"/>
        <v>1090000</v>
      </c>
    </row>
    <row r="12" spans="1:28" ht="15.6" x14ac:dyDescent="0.3">
      <c r="A12" s="219"/>
      <c r="B12" s="317">
        <v>46139.678888425929</v>
      </c>
      <c r="C12" s="319" t="s">
        <v>1329</v>
      </c>
      <c r="D12" s="319" t="s">
        <v>1408</v>
      </c>
      <c r="E12" s="321"/>
      <c r="F12" s="323">
        <v>39000</v>
      </c>
      <c r="G12" s="333" t="s">
        <v>1315</v>
      </c>
      <c r="H12" s="325">
        <f t="shared" ref="H12:H44" si="1">SUM(E12:F12)</f>
        <v>39000</v>
      </c>
    </row>
    <row r="13" spans="1:28" ht="15.6" x14ac:dyDescent="0.3">
      <c r="A13" s="219"/>
      <c r="B13" s="317">
        <v>46139.678888425929</v>
      </c>
      <c r="C13" s="319" t="s">
        <v>1310</v>
      </c>
      <c r="D13" s="319" t="s">
        <v>1319</v>
      </c>
      <c r="E13" s="321"/>
      <c r="F13" s="323">
        <v>50000</v>
      </c>
      <c r="G13" s="333" t="s">
        <v>1315</v>
      </c>
      <c r="H13" s="325">
        <f t="shared" si="1"/>
        <v>50000</v>
      </c>
    </row>
    <row r="14" spans="1:28" ht="15.6" x14ac:dyDescent="0.3">
      <c r="A14" s="219"/>
      <c r="B14" s="317">
        <v>46139.678888425929</v>
      </c>
      <c r="C14" s="319" t="s">
        <v>1310</v>
      </c>
      <c r="D14" s="319" t="s">
        <v>1319</v>
      </c>
      <c r="E14" s="321"/>
      <c r="F14" s="323">
        <v>190000</v>
      </c>
      <c r="G14" s="333" t="s">
        <v>1315</v>
      </c>
      <c r="H14" s="325">
        <f t="shared" si="1"/>
        <v>190000</v>
      </c>
    </row>
    <row r="15" spans="1:28" ht="15.6" x14ac:dyDescent="0.3">
      <c r="A15" s="219"/>
      <c r="B15" s="317">
        <v>46139.678888425929</v>
      </c>
      <c r="C15" s="319" t="s">
        <v>1311</v>
      </c>
      <c r="D15" s="319" t="s">
        <v>1688</v>
      </c>
      <c r="E15" s="321"/>
      <c r="F15" s="323">
        <v>3390000</v>
      </c>
      <c r="G15" s="333" t="s">
        <v>1315</v>
      </c>
      <c r="H15" s="325">
        <f t="shared" si="1"/>
        <v>3390000</v>
      </c>
    </row>
    <row r="16" spans="1:28" ht="15.6" x14ac:dyDescent="0.3">
      <c r="A16" s="219"/>
      <c r="B16" s="317">
        <v>46149.846696851855</v>
      </c>
      <c r="C16" s="319" t="s">
        <v>1313</v>
      </c>
      <c r="D16" s="319" t="s">
        <v>1688</v>
      </c>
      <c r="E16" s="321"/>
      <c r="F16" s="323">
        <v>597065</v>
      </c>
      <c r="G16" s="333" t="s">
        <v>1315</v>
      </c>
      <c r="H16" s="325">
        <f t="shared" si="1"/>
        <v>597065</v>
      </c>
    </row>
    <row r="17" spans="1:8" ht="15.6" x14ac:dyDescent="0.3">
      <c r="A17" s="219"/>
      <c r="B17" s="317">
        <v>46150.855436736114</v>
      </c>
      <c r="C17" s="319" t="s">
        <v>1309</v>
      </c>
      <c r="D17" s="319" t="s">
        <v>1393</v>
      </c>
      <c r="E17" s="321"/>
      <c r="F17" s="323">
        <v>445360</v>
      </c>
      <c r="G17" s="333" t="s">
        <v>1315</v>
      </c>
      <c r="H17" s="325">
        <f t="shared" si="1"/>
        <v>445360</v>
      </c>
    </row>
    <row r="18" spans="1:8" ht="15.6" x14ac:dyDescent="0.3">
      <c r="A18" s="219"/>
      <c r="B18" s="317">
        <v>46152.509430451391</v>
      </c>
      <c r="C18" s="319" t="s">
        <v>1690</v>
      </c>
      <c r="D18" s="319" t="s">
        <v>1320</v>
      </c>
      <c r="E18" s="321"/>
      <c r="F18" s="323">
        <v>4500</v>
      </c>
      <c r="G18" s="333" t="s">
        <v>1315</v>
      </c>
      <c r="H18" s="325">
        <f t="shared" si="1"/>
        <v>4500</v>
      </c>
    </row>
    <row r="19" spans="1:8" ht="15.6" x14ac:dyDescent="0.3">
      <c r="A19" s="219"/>
      <c r="B19" s="317">
        <v>46153.919727291664</v>
      </c>
      <c r="C19" s="319" t="s">
        <v>1309</v>
      </c>
      <c r="D19" s="319" t="s">
        <v>1393</v>
      </c>
      <c r="E19" s="321"/>
      <c r="F19" s="323">
        <v>180000</v>
      </c>
      <c r="G19" s="333" t="s">
        <v>1315</v>
      </c>
      <c r="H19" s="325">
        <f t="shared" si="1"/>
        <v>180000</v>
      </c>
    </row>
    <row r="20" spans="1:8" ht="15.6" x14ac:dyDescent="0.3">
      <c r="A20" s="219"/>
      <c r="B20" s="317">
        <v>46154.919380509258</v>
      </c>
      <c r="C20" s="319" t="s">
        <v>1308</v>
      </c>
      <c r="D20" s="319" t="s">
        <v>1317</v>
      </c>
      <c r="E20" s="321"/>
      <c r="F20" s="323">
        <v>300000</v>
      </c>
      <c r="G20" s="333" t="s">
        <v>1315</v>
      </c>
      <c r="H20" s="325">
        <f t="shared" si="1"/>
        <v>300000</v>
      </c>
    </row>
    <row r="21" spans="1:8" ht="15.6" x14ac:dyDescent="0.3">
      <c r="A21" s="219"/>
      <c r="B21" s="317">
        <v>46155.465579039352</v>
      </c>
      <c r="C21" s="319" t="s">
        <v>1307</v>
      </c>
      <c r="D21" s="319" t="s">
        <v>1316</v>
      </c>
      <c r="E21" s="321"/>
      <c r="F21" s="323">
        <v>25000</v>
      </c>
      <c r="G21" s="333" t="s">
        <v>1315</v>
      </c>
      <c r="H21" s="325">
        <f t="shared" si="1"/>
        <v>25000</v>
      </c>
    </row>
    <row r="22" spans="1:8" ht="15.6" x14ac:dyDescent="0.3">
      <c r="A22" s="219"/>
      <c r="B22" s="317">
        <v>46173.613034351853</v>
      </c>
      <c r="C22" s="319" t="s">
        <v>1899</v>
      </c>
      <c r="D22" s="319" t="s">
        <v>1387</v>
      </c>
      <c r="E22" s="321">
        <v>2341.23</v>
      </c>
      <c r="F22" s="323"/>
      <c r="G22" s="333" t="s">
        <v>1315</v>
      </c>
      <c r="H22" s="325">
        <f t="shared" si="1"/>
        <v>2341.23</v>
      </c>
    </row>
    <row r="23" spans="1:8" ht="15.6" x14ac:dyDescent="0.3">
      <c r="A23" s="219"/>
      <c r="B23" s="317"/>
      <c r="C23" s="319"/>
      <c r="D23" s="319"/>
      <c r="E23" s="321"/>
      <c r="F23" s="323"/>
      <c r="G23" s="333"/>
      <c r="H23" s="325">
        <f t="shared" si="1"/>
        <v>0</v>
      </c>
    </row>
    <row r="24" spans="1:8" ht="15.6" x14ac:dyDescent="0.3">
      <c r="A24" s="219"/>
      <c r="B24" s="317"/>
      <c r="C24" s="319"/>
      <c r="D24" s="319"/>
      <c r="E24" s="321"/>
      <c r="F24" s="323"/>
      <c r="G24" s="333"/>
      <c r="H24" s="325">
        <f t="shared" si="1"/>
        <v>0</v>
      </c>
    </row>
    <row r="25" spans="1:8" ht="15.6" x14ac:dyDescent="0.3">
      <c r="A25" s="219"/>
      <c r="B25" s="317"/>
      <c r="C25" s="319"/>
      <c r="D25" s="319"/>
      <c r="E25" s="321"/>
      <c r="F25" s="323"/>
      <c r="G25" s="333"/>
      <c r="H25" s="325">
        <f t="shared" si="1"/>
        <v>0</v>
      </c>
    </row>
    <row r="26" spans="1:8" ht="15.6" x14ac:dyDescent="0.3">
      <c r="A26" s="219"/>
      <c r="B26" s="317"/>
      <c r="C26" s="319"/>
      <c r="D26" s="319"/>
      <c r="E26" s="321"/>
      <c r="F26" s="323"/>
      <c r="G26" s="333"/>
      <c r="H26" s="325">
        <f t="shared" si="1"/>
        <v>0</v>
      </c>
    </row>
    <row r="27" spans="1:8" ht="15.6" x14ac:dyDescent="0.3">
      <c r="A27" s="219"/>
      <c r="B27" s="317"/>
      <c r="C27" s="319"/>
      <c r="D27" s="319"/>
      <c r="E27" s="321"/>
      <c r="F27" s="323"/>
      <c r="G27" s="333"/>
      <c r="H27" s="325">
        <f t="shared" si="1"/>
        <v>0</v>
      </c>
    </row>
    <row r="28" spans="1:8" ht="15.6" x14ac:dyDescent="0.3">
      <c r="A28" s="219"/>
      <c r="B28" s="317"/>
      <c r="C28" s="319"/>
      <c r="D28" s="319"/>
      <c r="E28" s="321"/>
      <c r="F28" s="323"/>
      <c r="G28" s="333"/>
      <c r="H28" s="325">
        <f t="shared" si="1"/>
        <v>0</v>
      </c>
    </row>
    <row r="29" spans="1:8" ht="15.6" x14ac:dyDescent="0.3">
      <c r="A29" s="219"/>
      <c r="B29" s="317"/>
      <c r="C29" s="319"/>
      <c r="D29" s="319"/>
      <c r="E29" s="321"/>
      <c r="F29" s="323"/>
      <c r="G29" s="333"/>
      <c r="H29" s="325">
        <f t="shared" si="1"/>
        <v>0</v>
      </c>
    </row>
    <row r="30" spans="1:8" ht="15.6" x14ac:dyDescent="0.3">
      <c r="A30" s="219"/>
      <c r="B30" s="317"/>
      <c r="C30" s="319"/>
      <c r="D30" s="319"/>
      <c r="E30" s="321"/>
      <c r="F30" s="323"/>
      <c r="G30" s="333"/>
      <c r="H30" s="325">
        <f t="shared" si="1"/>
        <v>0</v>
      </c>
    </row>
    <row r="31" spans="1:8" ht="15.6" x14ac:dyDescent="0.3">
      <c r="A31" s="219"/>
      <c r="B31" s="317"/>
      <c r="C31" s="319"/>
      <c r="D31" s="319"/>
      <c r="E31" s="321"/>
      <c r="F31" s="323"/>
      <c r="G31" s="333"/>
      <c r="H31" s="325">
        <f t="shared" si="1"/>
        <v>0</v>
      </c>
    </row>
    <row r="32" spans="1:8" ht="15.6" x14ac:dyDescent="0.3">
      <c r="A32" s="219"/>
      <c r="B32" s="317"/>
      <c r="C32" s="319"/>
      <c r="D32" s="319"/>
      <c r="E32" s="321"/>
      <c r="F32" s="323"/>
      <c r="G32" s="333"/>
      <c r="H32" s="325">
        <f t="shared" si="1"/>
        <v>0</v>
      </c>
    </row>
    <row r="33" spans="1:8" ht="15.6" x14ac:dyDescent="0.3">
      <c r="A33" s="219"/>
      <c r="B33" s="317"/>
      <c r="C33" s="319"/>
      <c r="D33" s="319"/>
      <c r="E33" s="321"/>
      <c r="F33" s="323"/>
      <c r="G33" s="333"/>
      <c r="H33" s="325">
        <f t="shared" si="1"/>
        <v>0</v>
      </c>
    </row>
    <row r="34" spans="1:8" ht="15.6" x14ac:dyDescent="0.3">
      <c r="A34" s="219"/>
      <c r="B34" s="317"/>
      <c r="C34" s="319"/>
      <c r="D34" s="319"/>
      <c r="E34" s="321"/>
      <c r="F34" s="323"/>
      <c r="G34" s="333"/>
      <c r="H34" s="325">
        <f t="shared" si="1"/>
        <v>0</v>
      </c>
    </row>
    <row r="35" spans="1:8" ht="15.6" x14ac:dyDescent="0.3">
      <c r="A35" s="219"/>
      <c r="B35" s="317"/>
      <c r="C35" s="319"/>
      <c r="D35" s="319"/>
      <c r="E35" s="321"/>
      <c r="F35" s="323"/>
      <c r="G35" s="333"/>
      <c r="H35" s="325">
        <f t="shared" si="1"/>
        <v>0</v>
      </c>
    </row>
    <row r="36" spans="1:8" ht="15.6" x14ac:dyDescent="0.3">
      <c r="A36" s="219"/>
      <c r="B36" s="317"/>
      <c r="C36" s="319"/>
      <c r="D36" s="319"/>
      <c r="E36" s="321"/>
      <c r="F36" s="323"/>
      <c r="G36" s="333"/>
      <c r="H36" s="325">
        <f t="shared" si="1"/>
        <v>0</v>
      </c>
    </row>
    <row r="37" spans="1:8" ht="15.6" x14ac:dyDescent="0.3">
      <c r="A37" s="219"/>
      <c r="B37" s="317"/>
      <c r="C37" s="319"/>
      <c r="D37" s="319"/>
      <c r="E37" s="321"/>
      <c r="F37" s="323"/>
      <c r="G37" s="333"/>
      <c r="H37" s="325">
        <f t="shared" si="1"/>
        <v>0</v>
      </c>
    </row>
    <row r="38" spans="1:8" ht="15.6" x14ac:dyDescent="0.3">
      <c r="A38" s="219"/>
      <c r="B38" s="317"/>
      <c r="C38" s="319"/>
      <c r="D38" s="319"/>
      <c r="E38" s="321"/>
      <c r="F38" s="323"/>
      <c r="G38" s="333"/>
      <c r="H38" s="325">
        <f t="shared" si="1"/>
        <v>0</v>
      </c>
    </row>
    <row r="39" spans="1:8" ht="15.6" x14ac:dyDescent="0.3">
      <c r="A39" s="219"/>
      <c r="B39" s="317"/>
      <c r="C39" s="319"/>
      <c r="D39" s="319"/>
      <c r="E39" s="321"/>
      <c r="F39" s="323"/>
      <c r="G39" s="333"/>
      <c r="H39" s="325">
        <f t="shared" si="1"/>
        <v>0</v>
      </c>
    </row>
    <row r="40" spans="1:8" ht="15.6" x14ac:dyDescent="0.3">
      <c r="A40" s="219"/>
      <c r="B40" s="317"/>
      <c r="C40" s="319"/>
      <c r="D40" s="319"/>
      <c r="E40" s="321"/>
      <c r="F40" s="323"/>
      <c r="G40" s="333"/>
      <c r="H40" s="325">
        <f t="shared" si="1"/>
        <v>0</v>
      </c>
    </row>
    <row r="41" spans="1:8" ht="15.6" x14ac:dyDescent="0.3">
      <c r="A41" s="219"/>
      <c r="B41" s="317"/>
      <c r="C41" s="319"/>
      <c r="D41" s="319"/>
      <c r="E41" s="321"/>
      <c r="F41" s="323"/>
      <c r="G41" s="333"/>
      <c r="H41" s="325">
        <f t="shared" si="1"/>
        <v>0</v>
      </c>
    </row>
    <row r="42" spans="1:8" ht="15.6" x14ac:dyDescent="0.3">
      <c r="A42" s="219"/>
      <c r="B42" s="317"/>
      <c r="C42" s="319"/>
      <c r="D42" s="319"/>
      <c r="E42" s="321"/>
      <c r="F42" s="323"/>
      <c r="G42" s="333"/>
      <c r="H42" s="325">
        <f t="shared" si="1"/>
        <v>0</v>
      </c>
    </row>
    <row r="43" spans="1:8" ht="15.6" x14ac:dyDescent="0.3">
      <c r="A43" s="219"/>
      <c r="B43" s="317"/>
      <c r="C43" s="319"/>
      <c r="D43" s="319"/>
      <c r="E43" s="321"/>
      <c r="F43" s="323"/>
      <c r="G43" s="333"/>
      <c r="H43" s="325">
        <f t="shared" si="1"/>
        <v>0</v>
      </c>
    </row>
    <row r="44" spans="1:8" ht="15.6" x14ac:dyDescent="0.3">
      <c r="A44" s="219"/>
      <c r="B44" s="326">
        <v>46147.66747266204</v>
      </c>
      <c r="C44" s="327" t="s">
        <v>1689</v>
      </c>
      <c r="D44" s="319" t="s">
        <v>1320</v>
      </c>
      <c r="E44" s="328"/>
      <c r="F44" s="329">
        <v>6000</v>
      </c>
      <c r="G44" s="334" t="s">
        <v>1315</v>
      </c>
      <c r="H44" s="330">
        <f t="shared" si="1"/>
        <v>6000</v>
      </c>
    </row>
    <row r="45" spans="1:8" ht="15.6" x14ac:dyDescent="0.3">
      <c r="A45" s="219"/>
      <c r="B45" s="317">
        <v>46147.667292141203</v>
      </c>
      <c r="C45" s="319" t="s">
        <v>1140</v>
      </c>
      <c r="D45" s="319" t="s">
        <v>1320</v>
      </c>
      <c r="E45" s="321"/>
      <c r="F45" s="323">
        <v>10000</v>
      </c>
      <c r="G45" s="332" t="s">
        <v>1315</v>
      </c>
      <c r="H45" s="325">
        <f t="shared" ref="H45:H79" si="2">SUM(E45:F45)</f>
        <v>10000</v>
      </c>
    </row>
    <row r="46" spans="1:8" ht="15.6" x14ac:dyDescent="0.3">
      <c r="A46" s="219"/>
      <c r="B46" s="317">
        <v>46147.666113703701</v>
      </c>
      <c r="C46" s="319" t="s">
        <v>1691</v>
      </c>
      <c r="D46" s="319" t="s">
        <v>1320</v>
      </c>
      <c r="E46" s="321"/>
      <c r="F46" s="323">
        <v>3000</v>
      </c>
      <c r="G46" s="332" t="s">
        <v>1315</v>
      </c>
      <c r="H46" s="325">
        <f t="shared" si="2"/>
        <v>3000</v>
      </c>
    </row>
    <row r="47" spans="1:8" ht="15.6" x14ac:dyDescent="0.3">
      <c r="A47" s="219"/>
      <c r="B47" s="317"/>
      <c r="C47" s="319"/>
      <c r="D47" s="319"/>
      <c r="E47" s="321"/>
      <c r="F47" s="323"/>
      <c r="G47" s="332"/>
      <c r="H47" s="325">
        <f t="shared" si="2"/>
        <v>0</v>
      </c>
    </row>
    <row r="48" spans="1:8" ht="15.6" x14ac:dyDescent="0.3">
      <c r="A48" s="219"/>
      <c r="B48" s="317"/>
      <c r="C48" s="319"/>
      <c r="D48" s="319"/>
      <c r="E48" s="321"/>
      <c r="F48" s="323"/>
      <c r="G48" s="332"/>
      <c r="H48" s="325">
        <f t="shared" si="2"/>
        <v>0</v>
      </c>
    </row>
    <row r="49" spans="1:8" ht="15.6" x14ac:dyDescent="0.3">
      <c r="A49" s="219"/>
      <c r="B49" s="317"/>
      <c r="C49" s="319"/>
      <c r="D49" s="319"/>
      <c r="E49" s="321"/>
      <c r="F49" s="323"/>
      <c r="G49" s="332"/>
      <c r="H49" s="325">
        <f t="shared" si="2"/>
        <v>0</v>
      </c>
    </row>
    <row r="50" spans="1:8" ht="15.6" x14ac:dyDescent="0.3">
      <c r="A50" s="219"/>
      <c r="B50" s="317"/>
      <c r="C50" s="319"/>
      <c r="D50" s="319"/>
      <c r="E50" s="321"/>
      <c r="F50" s="323"/>
      <c r="G50" s="332"/>
      <c r="H50" s="325">
        <f t="shared" si="2"/>
        <v>0</v>
      </c>
    </row>
    <row r="51" spans="1:8" ht="15.6" x14ac:dyDescent="0.3">
      <c r="A51" s="219"/>
      <c r="B51" s="317"/>
      <c r="C51" s="319"/>
      <c r="D51" s="319"/>
      <c r="E51" s="321"/>
      <c r="F51" s="323"/>
      <c r="G51" s="332"/>
      <c r="H51" s="325">
        <f t="shared" si="2"/>
        <v>0</v>
      </c>
    </row>
    <row r="52" spans="1:8" ht="15.6" x14ac:dyDescent="0.3">
      <c r="A52" s="219"/>
      <c r="B52" s="317"/>
      <c r="C52" s="319"/>
      <c r="D52" s="319"/>
      <c r="E52" s="321"/>
      <c r="F52" s="323"/>
      <c r="G52" s="332"/>
      <c r="H52" s="325">
        <f t="shared" si="2"/>
        <v>0</v>
      </c>
    </row>
    <row r="53" spans="1:8" ht="15.6" x14ac:dyDescent="0.3">
      <c r="A53" s="219"/>
      <c r="B53" s="317"/>
      <c r="C53" s="319"/>
      <c r="D53" s="319"/>
      <c r="E53" s="321"/>
      <c r="F53" s="323"/>
      <c r="G53" s="332"/>
      <c r="H53" s="325">
        <f t="shared" si="2"/>
        <v>0</v>
      </c>
    </row>
    <row r="54" spans="1:8" ht="15.6" x14ac:dyDescent="0.3">
      <c r="A54" s="219"/>
      <c r="B54" s="317"/>
      <c r="C54" s="319"/>
      <c r="D54" s="319"/>
      <c r="E54" s="321"/>
      <c r="F54" s="323"/>
      <c r="G54" s="332"/>
      <c r="H54" s="325">
        <f t="shared" si="2"/>
        <v>0</v>
      </c>
    </row>
    <row r="55" spans="1:8" ht="15.6" x14ac:dyDescent="0.3">
      <c r="A55" s="219"/>
      <c r="B55" s="317"/>
      <c r="C55" s="319"/>
      <c r="D55" s="319"/>
      <c r="E55" s="321"/>
      <c r="F55" s="323"/>
      <c r="G55" s="332"/>
      <c r="H55" s="325">
        <f t="shared" si="2"/>
        <v>0</v>
      </c>
    </row>
    <row r="56" spans="1:8" ht="15.6" x14ac:dyDescent="0.3">
      <c r="A56" s="219"/>
      <c r="B56" s="317"/>
      <c r="C56" s="319"/>
      <c r="D56" s="319"/>
      <c r="E56" s="321"/>
      <c r="F56" s="323"/>
      <c r="G56" s="332"/>
      <c r="H56" s="325">
        <f t="shared" si="2"/>
        <v>0</v>
      </c>
    </row>
    <row r="57" spans="1:8" ht="15.6" x14ac:dyDescent="0.3">
      <c r="A57" s="219"/>
      <c r="B57" s="317"/>
      <c r="C57" s="319"/>
      <c r="D57" s="319"/>
      <c r="E57" s="321"/>
      <c r="F57" s="323"/>
      <c r="G57" s="332"/>
      <c r="H57" s="325">
        <f t="shared" si="2"/>
        <v>0</v>
      </c>
    </row>
    <row r="58" spans="1:8" ht="15.6" x14ac:dyDescent="0.3">
      <c r="A58" s="219"/>
      <c r="B58" s="317"/>
      <c r="C58" s="319"/>
      <c r="D58" s="319"/>
      <c r="E58" s="321"/>
      <c r="F58" s="323"/>
      <c r="G58" s="332"/>
      <c r="H58" s="325">
        <f t="shared" si="2"/>
        <v>0</v>
      </c>
    </row>
    <row r="59" spans="1:8" ht="15.6" x14ac:dyDescent="0.3">
      <c r="A59" s="219"/>
      <c r="B59" s="317"/>
      <c r="C59" s="319"/>
      <c r="D59" s="319"/>
      <c r="E59" s="321"/>
      <c r="F59" s="323"/>
      <c r="G59" s="332"/>
      <c r="H59" s="325">
        <f t="shared" si="2"/>
        <v>0</v>
      </c>
    </row>
    <row r="60" spans="1:8" ht="15.6" x14ac:dyDescent="0.3">
      <c r="A60" s="219"/>
      <c r="B60" s="317"/>
      <c r="C60" s="319"/>
      <c r="D60" s="319"/>
      <c r="E60" s="321"/>
      <c r="F60" s="323"/>
      <c r="G60" s="332"/>
      <c r="H60" s="325">
        <f t="shared" si="2"/>
        <v>0</v>
      </c>
    </row>
    <row r="61" spans="1:8" ht="15.6" x14ac:dyDescent="0.3">
      <c r="A61" s="219"/>
      <c r="B61" s="317"/>
      <c r="C61" s="319"/>
      <c r="D61" s="319"/>
      <c r="E61" s="321"/>
      <c r="F61" s="323"/>
      <c r="G61" s="332"/>
      <c r="H61" s="325">
        <f t="shared" si="2"/>
        <v>0</v>
      </c>
    </row>
    <row r="62" spans="1:8" ht="15.6" x14ac:dyDescent="0.3">
      <c r="A62" s="219"/>
      <c r="B62" s="317"/>
      <c r="C62" s="319"/>
      <c r="D62" s="319"/>
      <c r="E62" s="321"/>
      <c r="F62" s="323"/>
      <c r="G62" s="332"/>
      <c r="H62" s="325">
        <f t="shared" si="2"/>
        <v>0</v>
      </c>
    </row>
    <row r="63" spans="1:8" ht="15.6" x14ac:dyDescent="0.3">
      <c r="A63" s="219"/>
      <c r="B63" s="317"/>
      <c r="C63" s="319"/>
      <c r="D63" s="319"/>
      <c r="E63" s="321"/>
      <c r="F63" s="323"/>
      <c r="G63" s="332"/>
      <c r="H63" s="325">
        <f t="shared" si="2"/>
        <v>0</v>
      </c>
    </row>
    <row r="64" spans="1:8" ht="15.6" x14ac:dyDescent="0.3">
      <c r="A64" s="219"/>
      <c r="B64" s="317"/>
      <c r="C64" s="319"/>
      <c r="D64" s="319"/>
      <c r="E64" s="321"/>
      <c r="F64" s="323"/>
      <c r="G64" s="332"/>
      <c r="H64" s="325">
        <f t="shared" si="2"/>
        <v>0</v>
      </c>
    </row>
    <row r="65" spans="1:8" ht="15.6" x14ac:dyDescent="0.3">
      <c r="A65" s="219"/>
      <c r="B65" s="317"/>
      <c r="C65" s="319"/>
      <c r="D65" s="319"/>
      <c r="E65" s="321"/>
      <c r="F65" s="323"/>
      <c r="G65" s="332"/>
      <c r="H65" s="325">
        <f t="shared" si="2"/>
        <v>0</v>
      </c>
    </row>
    <row r="66" spans="1:8" ht="15.6" x14ac:dyDescent="0.3">
      <c r="A66" s="219"/>
      <c r="B66" s="317"/>
      <c r="C66" s="319"/>
      <c r="D66" s="319"/>
      <c r="E66" s="321"/>
      <c r="F66" s="323"/>
      <c r="G66" s="332"/>
      <c r="H66" s="325">
        <f t="shared" si="2"/>
        <v>0</v>
      </c>
    </row>
    <row r="67" spans="1:8" ht="15.6" x14ac:dyDescent="0.3">
      <c r="A67" s="219"/>
      <c r="B67" s="317"/>
      <c r="C67" s="319"/>
      <c r="D67" s="319"/>
      <c r="E67" s="321"/>
      <c r="F67" s="323"/>
      <c r="G67" s="332"/>
      <c r="H67" s="325">
        <f t="shared" si="2"/>
        <v>0</v>
      </c>
    </row>
    <row r="68" spans="1:8" ht="15.6" x14ac:dyDescent="0.3">
      <c r="A68" s="219"/>
      <c r="B68" s="317"/>
      <c r="C68" s="319"/>
      <c r="D68" s="319"/>
      <c r="E68" s="321"/>
      <c r="F68" s="323"/>
      <c r="G68" s="332"/>
      <c r="H68" s="325">
        <f t="shared" si="2"/>
        <v>0</v>
      </c>
    </row>
    <row r="69" spans="1:8" ht="15.6" x14ac:dyDescent="0.3">
      <c r="A69" s="219"/>
      <c r="B69" s="317"/>
      <c r="C69" s="319"/>
      <c r="D69" s="319"/>
      <c r="E69" s="321"/>
      <c r="F69" s="323"/>
      <c r="G69" s="332"/>
      <c r="H69" s="325">
        <f t="shared" si="2"/>
        <v>0</v>
      </c>
    </row>
    <row r="70" spans="1:8" ht="15.6" x14ac:dyDescent="0.3">
      <c r="A70" s="219"/>
      <c r="B70" s="317"/>
      <c r="C70" s="319"/>
      <c r="D70" s="319"/>
      <c r="E70" s="321"/>
      <c r="F70" s="323"/>
      <c r="G70" s="332"/>
      <c r="H70" s="325">
        <f t="shared" si="2"/>
        <v>0</v>
      </c>
    </row>
    <row r="71" spans="1:8" ht="15.6" x14ac:dyDescent="0.3">
      <c r="A71" s="219"/>
      <c r="B71" s="317"/>
      <c r="C71" s="319"/>
      <c r="D71" s="319"/>
      <c r="E71" s="321"/>
      <c r="F71" s="323"/>
      <c r="G71" s="332"/>
      <c r="H71" s="325">
        <f t="shared" si="2"/>
        <v>0</v>
      </c>
    </row>
    <row r="72" spans="1:8" ht="15.6" x14ac:dyDescent="0.3">
      <c r="A72" s="219"/>
      <c r="B72" s="317"/>
      <c r="C72" s="319"/>
      <c r="D72" s="319"/>
      <c r="E72" s="321"/>
      <c r="F72" s="323"/>
      <c r="G72" s="332"/>
      <c r="H72" s="325">
        <f t="shared" si="2"/>
        <v>0</v>
      </c>
    </row>
    <row r="73" spans="1:8" ht="15.6" x14ac:dyDescent="0.3">
      <c r="A73" s="219"/>
      <c r="B73" s="317"/>
      <c r="C73" s="319"/>
      <c r="D73" s="319"/>
      <c r="E73" s="321"/>
      <c r="F73" s="323"/>
      <c r="G73" s="332"/>
      <c r="H73" s="325">
        <f t="shared" si="2"/>
        <v>0</v>
      </c>
    </row>
    <row r="74" spans="1:8" ht="15.6" x14ac:dyDescent="0.3">
      <c r="A74" s="219"/>
      <c r="B74" s="317"/>
      <c r="C74" s="319"/>
      <c r="D74" s="319"/>
      <c r="E74" s="321"/>
      <c r="F74" s="323"/>
      <c r="G74" s="332"/>
      <c r="H74" s="325">
        <f t="shared" si="2"/>
        <v>0</v>
      </c>
    </row>
    <row r="75" spans="1:8" ht="15.6" x14ac:dyDescent="0.3">
      <c r="A75" s="219"/>
      <c r="B75" s="317"/>
      <c r="C75" s="319"/>
      <c r="D75" s="319"/>
      <c r="E75" s="321"/>
      <c r="F75" s="323"/>
      <c r="G75" s="332"/>
      <c r="H75" s="325">
        <f t="shared" si="2"/>
        <v>0</v>
      </c>
    </row>
    <row r="76" spans="1:8" ht="15.6" x14ac:dyDescent="0.3">
      <c r="A76" s="219"/>
      <c r="B76" s="317"/>
      <c r="C76" s="319"/>
      <c r="D76" s="319"/>
      <c r="E76" s="321"/>
      <c r="F76" s="323"/>
      <c r="G76" s="332"/>
      <c r="H76" s="325">
        <f t="shared" si="2"/>
        <v>0</v>
      </c>
    </row>
    <row r="77" spans="1:8" ht="15.6" x14ac:dyDescent="0.3">
      <c r="A77" s="219"/>
      <c r="B77" s="317"/>
      <c r="C77" s="319"/>
      <c r="D77" s="319"/>
      <c r="E77" s="321"/>
      <c r="F77" s="323"/>
      <c r="G77" s="332"/>
      <c r="H77" s="325">
        <f t="shared" si="2"/>
        <v>0</v>
      </c>
    </row>
    <row r="78" spans="1:8" ht="15.6" x14ac:dyDescent="0.3">
      <c r="A78" s="219"/>
      <c r="B78" s="317"/>
      <c r="C78" s="319"/>
      <c r="D78" s="319"/>
      <c r="E78" s="321"/>
      <c r="F78" s="323"/>
      <c r="G78" s="332"/>
      <c r="H78" s="325">
        <f t="shared" si="2"/>
        <v>0</v>
      </c>
    </row>
    <row r="79" spans="1:8" ht="15.6" x14ac:dyDescent="0.3">
      <c r="A79" s="219"/>
      <c r="B79" s="317"/>
      <c r="C79" s="319"/>
      <c r="D79" s="319"/>
      <c r="E79" s="321"/>
      <c r="F79" s="323"/>
      <c r="G79" s="332"/>
      <c r="H79" s="325">
        <f t="shared" si="2"/>
        <v>0</v>
      </c>
    </row>
    <row r="80" spans="1:8" ht="15.6" x14ac:dyDescent="0.3">
      <c r="A80" s="219"/>
      <c r="B80" s="317"/>
      <c r="C80" s="319"/>
      <c r="D80" s="319"/>
      <c r="E80" s="321"/>
      <c r="F80" s="323"/>
      <c r="G80" s="332"/>
      <c r="H80" s="325">
        <f>SUM(E80:F80)</f>
        <v>0</v>
      </c>
    </row>
    <row r="81" spans="1:8" ht="15.6" x14ac:dyDescent="0.3">
      <c r="A81" s="219"/>
      <c r="B81" s="326"/>
      <c r="C81" s="327"/>
      <c r="D81" s="327"/>
      <c r="E81" s="328"/>
      <c r="F81" s="329"/>
      <c r="G81" s="335"/>
      <c r="H81" s="330">
        <f>SUM(E81:F81)</f>
        <v>0</v>
      </c>
    </row>
    <row r="82" spans="1:8" ht="15.6" x14ac:dyDescent="0.3">
      <c r="A82" s="219"/>
      <c r="B82" s="326"/>
      <c r="C82" s="327"/>
      <c r="D82" s="327"/>
      <c r="E82" s="328"/>
      <c r="F82" s="329"/>
      <c r="G82" s="335"/>
      <c r="H82" s="330">
        <f>SUM(E82:F82)</f>
        <v>0</v>
      </c>
    </row>
    <row r="83" spans="1:8" ht="15.6" x14ac:dyDescent="0.3">
      <c r="A83" s="219"/>
      <c r="B83" s="326"/>
      <c r="C83" s="327"/>
      <c r="D83" s="327"/>
      <c r="E83" s="328"/>
      <c r="F83" s="329"/>
      <c r="G83" s="335"/>
      <c r="H83" s="330">
        <f>SUM(E83:F83)</f>
        <v>0</v>
      </c>
    </row>
    <row r="84" spans="1:8" ht="15.6" x14ac:dyDescent="0.3">
      <c r="A84" s="219"/>
      <c r="B84" s="326"/>
      <c r="C84" s="327"/>
      <c r="D84" s="327"/>
      <c r="E84" s="328"/>
      <c r="F84" s="329"/>
      <c r="G84" s="335"/>
      <c r="H84" s="330">
        <f>SUM(E84:F84)</f>
        <v>0</v>
      </c>
    </row>
    <row r="85" spans="1:8" ht="15.6" x14ac:dyDescent="0.3">
      <c r="A85" s="219"/>
      <c r="B85" s="317"/>
      <c r="C85" s="319"/>
      <c r="D85" s="319"/>
      <c r="E85" s="321"/>
      <c r="F85" s="323"/>
      <c r="G85" s="332"/>
      <c r="H85" s="325">
        <f t="shared" ref="H85:H92" si="3">SUM(E85:F85)</f>
        <v>0</v>
      </c>
    </row>
    <row r="86" spans="1:8" ht="15.6" x14ac:dyDescent="0.3">
      <c r="A86" s="219"/>
      <c r="B86" s="317"/>
      <c r="C86" s="319"/>
      <c r="D86" s="319"/>
      <c r="E86" s="321"/>
      <c r="F86" s="323"/>
      <c r="G86" s="332"/>
      <c r="H86" s="325">
        <f t="shared" si="3"/>
        <v>0</v>
      </c>
    </row>
    <row r="87" spans="1:8" ht="15.6" x14ac:dyDescent="0.3">
      <c r="A87" s="219"/>
      <c r="B87" s="317"/>
      <c r="C87" s="319"/>
      <c r="D87" s="319"/>
      <c r="E87" s="321"/>
      <c r="F87" s="323"/>
      <c r="G87" s="332"/>
      <c r="H87" s="325">
        <f t="shared" si="3"/>
        <v>0</v>
      </c>
    </row>
    <row r="88" spans="1:8" ht="15.6" x14ac:dyDescent="0.3">
      <c r="A88" s="219"/>
      <c r="B88" s="317"/>
      <c r="C88" s="319"/>
      <c r="D88" s="319"/>
      <c r="E88" s="321"/>
      <c r="F88" s="323"/>
      <c r="G88" s="332"/>
      <c r="H88" s="325">
        <f t="shared" si="3"/>
        <v>0</v>
      </c>
    </row>
    <row r="89" spans="1:8" ht="15.6" x14ac:dyDescent="0.3">
      <c r="A89" s="219"/>
      <c r="B89" s="317"/>
      <c r="C89" s="319"/>
      <c r="D89" s="319"/>
      <c r="E89" s="321"/>
      <c r="F89" s="323"/>
      <c r="G89" s="332"/>
      <c r="H89" s="325">
        <f t="shared" si="3"/>
        <v>0</v>
      </c>
    </row>
    <row r="90" spans="1:8" ht="15.6" x14ac:dyDescent="0.3">
      <c r="A90" s="219"/>
      <c r="B90" s="317"/>
      <c r="C90" s="319"/>
      <c r="D90" s="319"/>
      <c r="E90" s="321"/>
      <c r="F90" s="323"/>
      <c r="G90" s="332"/>
      <c r="H90" s="325">
        <f t="shared" si="3"/>
        <v>0</v>
      </c>
    </row>
    <row r="91" spans="1:8" ht="15.6" x14ac:dyDescent="0.3">
      <c r="A91" s="219"/>
      <c r="B91" s="317"/>
      <c r="C91" s="319"/>
      <c r="D91" s="319"/>
      <c r="E91" s="321"/>
      <c r="F91" s="323"/>
      <c r="G91" s="332"/>
      <c r="H91" s="325">
        <f t="shared" si="3"/>
        <v>0</v>
      </c>
    </row>
    <row r="92" spans="1:8" ht="15.6" x14ac:dyDescent="0.3">
      <c r="A92" s="219"/>
      <c r="B92" s="326"/>
      <c r="C92" s="327"/>
      <c r="D92" s="319"/>
      <c r="E92" s="328"/>
      <c r="F92" s="329"/>
      <c r="G92" s="335"/>
      <c r="H92" s="330">
        <f t="shared" si="3"/>
        <v>0</v>
      </c>
    </row>
    <row r="93" spans="1:8" ht="15.6" x14ac:dyDescent="0.3">
      <c r="A93" s="219"/>
      <c r="B93" s="317"/>
      <c r="C93" s="319"/>
      <c r="D93" s="319"/>
      <c r="E93" s="321"/>
      <c r="F93" s="323"/>
      <c r="G93" s="332"/>
      <c r="H93" s="325">
        <f t="shared" ref="H93:H100" si="4">SUM(E93:F93)</f>
        <v>0</v>
      </c>
    </row>
    <row r="94" spans="1:8" ht="15.6" x14ac:dyDescent="0.3">
      <c r="A94" s="219"/>
      <c r="B94" s="317"/>
      <c r="C94" s="319"/>
      <c r="D94" s="319"/>
      <c r="E94" s="321"/>
      <c r="F94" s="323"/>
      <c r="G94" s="332"/>
      <c r="H94" s="325">
        <f t="shared" si="4"/>
        <v>0</v>
      </c>
    </row>
    <row r="95" spans="1:8" ht="15.6" x14ac:dyDescent="0.3">
      <c r="A95" s="219"/>
      <c r="B95" s="317"/>
      <c r="C95" s="319"/>
      <c r="D95" s="319"/>
      <c r="E95" s="321"/>
      <c r="F95" s="323"/>
      <c r="G95" s="332"/>
      <c r="H95" s="325">
        <f t="shared" si="4"/>
        <v>0</v>
      </c>
    </row>
    <row r="96" spans="1:8" ht="15.6" x14ac:dyDescent="0.3">
      <c r="A96" s="219"/>
      <c r="B96" s="326"/>
      <c r="C96" s="327"/>
      <c r="D96" s="319"/>
      <c r="E96" s="328"/>
      <c r="F96" s="329"/>
      <c r="G96" s="335"/>
      <c r="H96" s="330">
        <f t="shared" si="4"/>
        <v>0</v>
      </c>
    </row>
    <row r="97" spans="1:8" ht="15.6" x14ac:dyDescent="0.3">
      <c r="A97" s="219"/>
      <c r="B97" s="317"/>
      <c r="C97" s="319"/>
      <c r="D97" s="319"/>
      <c r="E97" s="321"/>
      <c r="F97" s="323"/>
      <c r="G97" s="332"/>
      <c r="H97" s="325">
        <f t="shared" si="4"/>
        <v>0</v>
      </c>
    </row>
    <row r="98" spans="1:8" ht="15.6" x14ac:dyDescent="0.3">
      <c r="A98" s="219"/>
      <c r="B98" s="317"/>
      <c r="C98" s="319"/>
      <c r="D98" s="319"/>
      <c r="E98" s="321"/>
      <c r="F98" s="323"/>
      <c r="G98" s="332"/>
      <c r="H98" s="325">
        <f t="shared" si="4"/>
        <v>0</v>
      </c>
    </row>
    <row r="99" spans="1:8" ht="15.6" x14ac:dyDescent="0.3">
      <c r="A99" s="219"/>
      <c r="B99" s="317"/>
      <c r="C99" s="319"/>
      <c r="D99" s="319"/>
      <c r="E99" s="321"/>
      <c r="F99" s="323"/>
      <c r="G99" s="332"/>
      <c r="H99" s="325">
        <f t="shared" si="4"/>
        <v>0</v>
      </c>
    </row>
    <row r="100" spans="1:8" ht="15.6" x14ac:dyDescent="0.3">
      <c r="A100" s="219"/>
      <c r="B100" s="326"/>
      <c r="C100" s="327"/>
      <c r="D100" s="319"/>
      <c r="E100" s="328"/>
      <c r="F100" s="329"/>
      <c r="G100" s="335"/>
      <c r="H100" s="330">
        <f t="shared" si="4"/>
        <v>0</v>
      </c>
    </row>
    <row r="101" spans="1:8" ht="15.6" x14ac:dyDescent="0.3">
      <c r="A101" s="219"/>
      <c r="B101" s="317"/>
      <c r="C101" s="319"/>
      <c r="D101" s="319"/>
      <c r="E101" s="321"/>
      <c r="F101" s="323"/>
      <c r="G101" s="332"/>
      <c r="H101" s="325">
        <f t="shared" ref="H101:H114" si="5">SUM(E101:F101)</f>
        <v>0</v>
      </c>
    </row>
    <row r="102" spans="1:8" ht="15.6" x14ac:dyDescent="0.3">
      <c r="A102" s="219"/>
      <c r="B102" s="317"/>
      <c r="C102" s="319"/>
      <c r="D102" s="319"/>
      <c r="E102" s="321"/>
      <c r="F102" s="323"/>
      <c r="G102" s="332"/>
      <c r="H102" s="325">
        <f t="shared" si="5"/>
        <v>0</v>
      </c>
    </row>
    <row r="103" spans="1:8" ht="15.6" x14ac:dyDescent="0.3">
      <c r="A103" s="219"/>
      <c r="B103" s="317"/>
      <c r="C103" s="319"/>
      <c r="D103" s="319"/>
      <c r="E103" s="321"/>
      <c r="F103" s="323"/>
      <c r="G103" s="332"/>
      <c r="H103" s="325">
        <f t="shared" si="5"/>
        <v>0</v>
      </c>
    </row>
    <row r="104" spans="1:8" ht="15.6" x14ac:dyDescent="0.3">
      <c r="A104" s="219"/>
      <c r="B104" s="317"/>
      <c r="C104" s="319"/>
      <c r="D104" s="319"/>
      <c r="E104" s="321"/>
      <c r="F104" s="323"/>
      <c r="G104" s="332"/>
      <c r="H104" s="325">
        <f t="shared" si="5"/>
        <v>0</v>
      </c>
    </row>
    <row r="105" spans="1:8" ht="15.6" x14ac:dyDescent="0.3">
      <c r="A105" s="219"/>
      <c r="B105" s="317"/>
      <c r="C105" s="319"/>
      <c r="D105" s="319"/>
      <c r="E105" s="321"/>
      <c r="F105" s="323"/>
      <c r="G105" s="332"/>
      <c r="H105" s="325">
        <f t="shared" si="5"/>
        <v>0</v>
      </c>
    </row>
    <row r="106" spans="1:8" ht="15.6" x14ac:dyDescent="0.3">
      <c r="A106" s="219"/>
      <c r="B106" s="317"/>
      <c r="C106" s="319"/>
      <c r="D106" s="319"/>
      <c r="E106" s="321"/>
      <c r="F106" s="323"/>
      <c r="G106" s="332"/>
      <c r="H106" s="325">
        <f t="shared" si="5"/>
        <v>0</v>
      </c>
    </row>
    <row r="107" spans="1:8" ht="15.6" x14ac:dyDescent="0.3">
      <c r="A107" s="219"/>
      <c r="B107" s="317"/>
      <c r="C107" s="319"/>
      <c r="D107" s="319"/>
      <c r="E107" s="321"/>
      <c r="F107" s="323"/>
      <c r="G107" s="332"/>
      <c r="H107" s="325">
        <f t="shared" si="5"/>
        <v>0</v>
      </c>
    </row>
    <row r="108" spans="1:8" ht="15.6" x14ac:dyDescent="0.3">
      <c r="A108" s="219"/>
      <c r="B108" s="317"/>
      <c r="C108" s="319"/>
      <c r="D108" s="319"/>
      <c r="E108" s="321"/>
      <c r="F108" s="323"/>
      <c r="G108" s="332"/>
      <c r="H108" s="325">
        <f t="shared" si="5"/>
        <v>0</v>
      </c>
    </row>
    <row r="109" spans="1:8" ht="15.6" x14ac:dyDescent="0.3">
      <c r="A109" s="219"/>
      <c r="B109" s="317"/>
      <c r="C109" s="319"/>
      <c r="D109" s="319"/>
      <c r="E109" s="321"/>
      <c r="F109" s="323"/>
      <c r="G109" s="332"/>
      <c r="H109" s="325">
        <f t="shared" si="5"/>
        <v>0</v>
      </c>
    </row>
    <row r="110" spans="1:8" ht="15.6" x14ac:dyDescent="0.3">
      <c r="A110" s="219"/>
      <c r="B110" s="317"/>
      <c r="C110" s="319"/>
      <c r="D110" s="319"/>
      <c r="E110" s="321"/>
      <c r="F110" s="323"/>
      <c r="G110" s="332"/>
      <c r="H110" s="325">
        <f t="shared" si="5"/>
        <v>0</v>
      </c>
    </row>
    <row r="111" spans="1:8" ht="15.6" x14ac:dyDescent="0.3">
      <c r="A111" s="219"/>
      <c r="B111" s="317"/>
      <c r="C111" s="319"/>
      <c r="D111" s="319"/>
      <c r="E111" s="321"/>
      <c r="F111" s="323"/>
      <c r="G111" s="332"/>
      <c r="H111" s="325">
        <f t="shared" si="5"/>
        <v>0</v>
      </c>
    </row>
    <row r="112" spans="1:8" ht="15.6" x14ac:dyDescent="0.3">
      <c r="A112" s="219"/>
      <c r="B112" s="317"/>
      <c r="C112" s="319"/>
      <c r="D112" s="319"/>
      <c r="E112" s="321"/>
      <c r="F112" s="323"/>
      <c r="G112" s="332"/>
      <c r="H112" s="325">
        <f t="shared" si="5"/>
        <v>0</v>
      </c>
    </row>
    <row r="113" spans="1:8" ht="15.6" x14ac:dyDescent="0.3">
      <c r="A113" s="219"/>
      <c r="B113" s="317"/>
      <c r="C113" s="319"/>
      <c r="D113" s="319"/>
      <c r="E113" s="321"/>
      <c r="F113" s="323"/>
      <c r="G113" s="332"/>
      <c r="H113" s="325">
        <f t="shared" si="5"/>
        <v>0</v>
      </c>
    </row>
    <row r="114" spans="1:8" ht="15.6" x14ac:dyDescent="0.3">
      <c r="A114" s="219"/>
      <c r="B114" s="326"/>
      <c r="C114" s="327"/>
      <c r="D114" s="319"/>
      <c r="E114" s="328"/>
      <c r="F114" s="329"/>
      <c r="G114" s="335"/>
      <c r="H114" s="330">
        <f t="shared" si="5"/>
        <v>0</v>
      </c>
    </row>
    <row r="115" spans="1:8" ht="15.6" x14ac:dyDescent="0.3">
      <c r="A115" s="219"/>
      <c r="B115" s="331"/>
    </row>
    <row r="116" spans="1:8" ht="15.6" x14ac:dyDescent="0.3">
      <c r="A116" s="219"/>
      <c r="B116" s="331"/>
    </row>
    <row r="117" spans="1:8" ht="15.6" x14ac:dyDescent="0.3">
      <c r="A117" s="219"/>
    </row>
    <row r="118" spans="1:8" ht="15.6" x14ac:dyDescent="0.3">
      <c r="A118" s="219"/>
    </row>
    <row r="119" spans="1:8" ht="15.6" x14ac:dyDescent="0.3">
      <c r="A119" s="219"/>
    </row>
    <row r="120" spans="1:8" ht="15.6" x14ac:dyDescent="0.3">
      <c r="A120" s="219"/>
    </row>
    <row r="121" spans="1:8" ht="15.6" x14ac:dyDescent="0.3">
      <c r="A121" s="219"/>
    </row>
    <row r="122" spans="1:8" ht="15.6" x14ac:dyDescent="0.3">
      <c r="A122" s="219"/>
    </row>
    <row r="123" spans="1:8" ht="15.6" x14ac:dyDescent="0.3">
      <c r="A123" s="219"/>
    </row>
    <row r="124" spans="1:8" ht="15.6" x14ac:dyDescent="0.3">
      <c r="A124" s="219"/>
    </row>
    <row r="125" spans="1:8" ht="15.6" x14ac:dyDescent="0.3">
      <c r="A125" s="219"/>
    </row>
    <row r="126" spans="1:8" ht="15.6" x14ac:dyDescent="0.3">
      <c r="A126" s="219"/>
    </row>
    <row r="127" spans="1:8" ht="15.6" x14ac:dyDescent="0.3">
      <c r="A127" s="219"/>
    </row>
    <row r="128" spans="1:8" ht="15.6" x14ac:dyDescent="0.3">
      <c r="A128" s="219"/>
    </row>
    <row r="129" spans="1:1" ht="15.6" x14ac:dyDescent="0.3">
      <c r="A129" s="219"/>
    </row>
    <row r="130" spans="1:1" ht="15.6" x14ac:dyDescent="0.3">
      <c r="A130" s="219"/>
    </row>
    <row r="131" spans="1:1" ht="15.6" x14ac:dyDescent="0.3">
      <c r="A131" s="219"/>
    </row>
    <row r="132" spans="1:1" ht="15.6" x14ac:dyDescent="0.3">
      <c r="A132" s="219"/>
    </row>
    <row r="133" spans="1:1" ht="15.6" x14ac:dyDescent="0.3">
      <c r="A133" s="219"/>
    </row>
    <row r="134" spans="1:1" ht="15.6" x14ac:dyDescent="0.3">
      <c r="A134" s="219"/>
    </row>
    <row r="135" spans="1:1" ht="15.6" x14ac:dyDescent="0.3">
      <c r="A135" s="219"/>
    </row>
    <row r="136" spans="1:1" ht="15.6" x14ac:dyDescent="0.3">
      <c r="A136" s="219"/>
    </row>
    <row r="137" spans="1:1" ht="15.6" x14ac:dyDescent="0.3">
      <c r="A137" s="219"/>
    </row>
    <row r="138" spans="1:1" ht="15.6" x14ac:dyDescent="0.3">
      <c r="A138" s="219"/>
    </row>
    <row r="139" spans="1:1" ht="15.6" x14ac:dyDescent="0.3">
      <c r="A139" s="219"/>
    </row>
    <row r="140" spans="1:1" ht="15.6" x14ac:dyDescent="0.3">
      <c r="A140" s="219"/>
    </row>
    <row r="141" spans="1:1" ht="15.6" x14ac:dyDescent="0.3">
      <c r="A141" s="219"/>
    </row>
    <row r="142" spans="1:1" ht="15.6" x14ac:dyDescent="0.3">
      <c r="A142" s="219"/>
    </row>
    <row r="143" spans="1:1" ht="15.6" x14ac:dyDescent="0.3">
      <c r="A143" s="219"/>
    </row>
    <row r="144" spans="1:1" ht="15.6" x14ac:dyDescent="0.3">
      <c r="A144" s="219"/>
    </row>
    <row r="145" spans="1:1" ht="15.6" x14ac:dyDescent="0.3">
      <c r="A145" s="219"/>
    </row>
    <row r="146" spans="1:1" ht="15.6" x14ac:dyDescent="0.3">
      <c r="A146" s="219"/>
    </row>
    <row r="147" spans="1:1" ht="15.6" x14ac:dyDescent="0.3">
      <c r="A147" s="219"/>
    </row>
    <row r="148" spans="1:1" ht="15.6" x14ac:dyDescent="0.3">
      <c r="A148" s="219"/>
    </row>
    <row r="149" spans="1:1" ht="15.6" x14ac:dyDescent="0.3">
      <c r="A149" s="219"/>
    </row>
    <row r="150" spans="1:1" ht="15.6" x14ac:dyDescent="0.3">
      <c r="A150" s="219"/>
    </row>
    <row r="151" spans="1:1" ht="15.6" x14ac:dyDescent="0.3">
      <c r="A151" s="219"/>
    </row>
    <row r="152" spans="1:1" ht="15.6" x14ac:dyDescent="0.3">
      <c r="A152" s="219"/>
    </row>
    <row r="153" spans="1:1" ht="15.6" x14ac:dyDescent="0.3">
      <c r="A153" s="219"/>
    </row>
    <row r="154" spans="1:1" ht="15.6" x14ac:dyDescent="0.3">
      <c r="A154" s="219"/>
    </row>
    <row r="155" spans="1:1" ht="15.6" x14ac:dyDescent="0.3">
      <c r="A155" s="219"/>
    </row>
    <row r="156" spans="1:1" ht="15.6" x14ac:dyDescent="0.3">
      <c r="A156" s="219"/>
    </row>
    <row r="157" spans="1:1" ht="15.6" x14ac:dyDescent="0.3">
      <c r="A157" s="219"/>
    </row>
    <row r="158" spans="1:1" ht="15.6" x14ac:dyDescent="0.3">
      <c r="A158" s="219"/>
    </row>
    <row r="159" spans="1:1" ht="15.6" x14ac:dyDescent="0.3">
      <c r="A159" s="219"/>
    </row>
    <row r="160" spans="1:1" ht="15.6" x14ac:dyDescent="0.3">
      <c r="A160" s="219"/>
    </row>
    <row r="161" spans="1:1" ht="15.6" x14ac:dyDescent="0.3">
      <c r="A161" s="219"/>
    </row>
    <row r="162" spans="1:1" ht="15.6" x14ac:dyDescent="0.3">
      <c r="A162" s="219"/>
    </row>
    <row r="163" spans="1:1" ht="15.6" x14ac:dyDescent="0.3">
      <c r="A163" s="219"/>
    </row>
    <row r="164" spans="1:1" ht="15.6" x14ac:dyDescent="0.3">
      <c r="A164" s="219"/>
    </row>
    <row r="165" spans="1:1" ht="15.6" x14ac:dyDescent="0.3">
      <c r="A165" s="219"/>
    </row>
    <row r="166" spans="1:1" ht="15.6" x14ac:dyDescent="0.3">
      <c r="A166" s="219"/>
    </row>
    <row r="167" spans="1:1" ht="15.6" x14ac:dyDescent="0.3">
      <c r="A167" s="219"/>
    </row>
    <row r="168" spans="1:1" ht="15.6" x14ac:dyDescent="0.3">
      <c r="A168" s="219"/>
    </row>
    <row r="169" spans="1:1" ht="15.6" x14ac:dyDescent="0.3">
      <c r="A169" s="219"/>
    </row>
    <row r="170" spans="1:1" ht="15.6" x14ac:dyDescent="0.3">
      <c r="A170" s="219"/>
    </row>
    <row r="171" spans="1:1" ht="15.6" x14ac:dyDescent="0.3">
      <c r="A171" s="219"/>
    </row>
    <row r="172" spans="1:1" ht="15.6" x14ac:dyDescent="0.3">
      <c r="A172" s="219"/>
    </row>
    <row r="173" spans="1:1" ht="15.6" x14ac:dyDescent="0.3">
      <c r="A173" s="219"/>
    </row>
    <row r="174" spans="1:1" ht="15.6" x14ac:dyDescent="0.3">
      <c r="A174" s="219"/>
    </row>
    <row r="175" spans="1:1" ht="15.6" x14ac:dyDescent="0.3">
      <c r="A175" s="219"/>
    </row>
    <row r="176" spans="1:1" ht="15.6" x14ac:dyDescent="0.3">
      <c r="A176" s="219"/>
    </row>
    <row r="177" spans="1:1" ht="15.6" x14ac:dyDescent="0.3">
      <c r="A177" s="219"/>
    </row>
    <row r="178" spans="1:1" ht="15.6" x14ac:dyDescent="0.3">
      <c r="A178" s="219"/>
    </row>
    <row r="179" spans="1:1" ht="15.6" x14ac:dyDescent="0.3">
      <c r="A179" s="219"/>
    </row>
    <row r="180" spans="1:1" ht="15.6" x14ac:dyDescent="0.3">
      <c r="A180" s="219"/>
    </row>
    <row r="181" spans="1:1" ht="15.6" x14ac:dyDescent="0.3">
      <c r="A181" s="219"/>
    </row>
    <row r="182" spans="1:1" ht="15.6" x14ac:dyDescent="0.3">
      <c r="A182" s="219"/>
    </row>
    <row r="183" spans="1:1" ht="15.6" x14ac:dyDescent="0.3">
      <c r="A183" s="219"/>
    </row>
    <row r="184" spans="1:1" ht="15.6" x14ac:dyDescent="0.3">
      <c r="A184" s="219"/>
    </row>
    <row r="185" spans="1:1" ht="15.6" x14ac:dyDescent="0.3">
      <c r="A185" s="219"/>
    </row>
    <row r="186" spans="1:1" ht="15.6" x14ac:dyDescent="0.3">
      <c r="A186" s="219"/>
    </row>
    <row r="187" spans="1:1" ht="15.6" x14ac:dyDescent="0.3">
      <c r="A187" s="219"/>
    </row>
    <row r="188" spans="1:1" ht="15.6" x14ac:dyDescent="0.3">
      <c r="A188" s="219"/>
    </row>
    <row r="189" spans="1:1" ht="15.6" x14ac:dyDescent="0.3">
      <c r="A189" s="219"/>
    </row>
    <row r="190" spans="1:1" ht="15.6" x14ac:dyDescent="0.3">
      <c r="A190" s="219"/>
    </row>
    <row r="191" spans="1:1" ht="15.6" x14ac:dyDescent="0.3">
      <c r="A191" s="219"/>
    </row>
    <row r="192" spans="1:1" ht="15.6" x14ac:dyDescent="0.3">
      <c r="A192" s="219"/>
    </row>
    <row r="193" spans="1:1" ht="15.6" x14ac:dyDescent="0.3">
      <c r="A193" s="219"/>
    </row>
    <row r="194" spans="1:1" ht="15.6" x14ac:dyDescent="0.3">
      <c r="A194" s="219"/>
    </row>
    <row r="195" spans="1:1" ht="15.6" x14ac:dyDescent="0.3">
      <c r="A195" s="219"/>
    </row>
    <row r="196" spans="1:1" ht="15.6" x14ac:dyDescent="0.3">
      <c r="A196" s="219"/>
    </row>
    <row r="197" spans="1:1" ht="15.6" x14ac:dyDescent="0.3">
      <c r="A197" s="219"/>
    </row>
    <row r="198" spans="1:1" ht="15.6" x14ac:dyDescent="0.3">
      <c r="A198" s="219"/>
    </row>
    <row r="199" spans="1:1" ht="15.6" x14ac:dyDescent="0.3">
      <c r="A199" s="219"/>
    </row>
    <row r="200" spans="1:1" ht="15.6" x14ac:dyDescent="0.3">
      <c r="A200" s="219"/>
    </row>
    <row r="201" spans="1:1" ht="15.6" x14ac:dyDescent="0.3">
      <c r="A201" s="219"/>
    </row>
    <row r="202" spans="1:1" ht="15.6" x14ac:dyDescent="0.3">
      <c r="A202" s="219"/>
    </row>
    <row r="203" spans="1:1" ht="15.6" x14ac:dyDescent="0.3">
      <c r="A203" s="219"/>
    </row>
    <row r="204" spans="1:1" ht="15.6" x14ac:dyDescent="0.3">
      <c r="A204" s="219"/>
    </row>
    <row r="205" spans="1:1" ht="15.6" x14ac:dyDescent="0.3">
      <c r="A205" s="219"/>
    </row>
    <row r="206" spans="1:1" ht="15.6" x14ac:dyDescent="0.3">
      <c r="A206" s="219"/>
    </row>
    <row r="207" spans="1:1" ht="15.6" x14ac:dyDescent="0.3">
      <c r="A207" s="219"/>
    </row>
    <row r="208" spans="1:1" ht="15.6" x14ac:dyDescent="0.3">
      <c r="A208" s="219"/>
    </row>
    <row r="209" spans="1:1" ht="15.6" x14ac:dyDescent="0.3">
      <c r="A209" s="219"/>
    </row>
    <row r="210" spans="1:1" ht="15.6" x14ac:dyDescent="0.3">
      <c r="A210" s="219"/>
    </row>
    <row r="211" spans="1:1" ht="15.6" x14ac:dyDescent="0.3">
      <c r="A211" s="219"/>
    </row>
    <row r="212" spans="1:1" ht="15.6" x14ac:dyDescent="0.3">
      <c r="A212" s="219"/>
    </row>
    <row r="213" spans="1:1" ht="15.6" x14ac:dyDescent="0.3">
      <c r="A213" s="219"/>
    </row>
    <row r="214" spans="1:1" ht="15.6" x14ac:dyDescent="0.3">
      <c r="A214" s="219"/>
    </row>
    <row r="215" spans="1:1" ht="15.6" x14ac:dyDescent="0.3">
      <c r="A215" s="219"/>
    </row>
    <row r="216" spans="1:1" ht="15.6" x14ac:dyDescent="0.3">
      <c r="A216" s="219"/>
    </row>
    <row r="217" spans="1:1" ht="15.6" x14ac:dyDescent="0.3">
      <c r="A217" s="219"/>
    </row>
    <row r="218" spans="1:1" ht="15.6" x14ac:dyDescent="0.3">
      <c r="A218" s="219"/>
    </row>
    <row r="219" spans="1:1" ht="15.6" x14ac:dyDescent="0.3">
      <c r="A219" s="219"/>
    </row>
    <row r="220" spans="1:1" ht="15.6" x14ac:dyDescent="0.3">
      <c r="A220" s="219"/>
    </row>
    <row r="221" spans="1:1" ht="15.6" x14ac:dyDescent="0.3">
      <c r="A221" s="219"/>
    </row>
    <row r="222" spans="1:1" ht="15.6" x14ac:dyDescent="0.3">
      <c r="A222" s="219"/>
    </row>
    <row r="223" spans="1:1" ht="15.6" x14ac:dyDescent="0.3">
      <c r="A223" s="219"/>
    </row>
    <row r="224" spans="1:1" ht="15.6" x14ac:dyDescent="0.3">
      <c r="A224" s="219"/>
    </row>
    <row r="225" spans="1:1" ht="15.6" x14ac:dyDescent="0.3">
      <c r="A225" s="219"/>
    </row>
    <row r="226" spans="1:1" ht="15.6" x14ac:dyDescent="0.3">
      <c r="A226" s="219"/>
    </row>
    <row r="227" spans="1:1" ht="15.6" x14ac:dyDescent="0.3">
      <c r="A227" s="219"/>
    </row>
    <row r="228" spans="1:1" ht="15.6" x14ac:dyDescent="0.3">
      <c r="A228" s="219"/>
    </row>
    <row r="229" spans="1:1" ht="15.6" x14ac:dyDescent="0.3">
      <c r="A229" s="219"/>
    </row>
    <row r="230" spans="1:1" ht="15.6" x14ac:dyDescent="0.3">
      <c r="A230" s="219"/>
    </row>
    <row r="231" spans="1:1" ht="15.6" x14ac:dyDescent="0.3">
      <c r="A231" s="219"/>
    </row>
    <row r="232" spans="1:1" ht="15.6" x14ac:dyDescent="0.3">
      <c r="A232" s="219"/>
    </row>
    <row r="233" spans="1:1" ht="15.6" x14ac:dyDescent="0.3">
      <c r="A233" s="219"/>
    </row>
    <row r="234" spans="1:1" ht="15.6" x14ac:dyDescent="0.3">
      <c r="A234" s="219"/>
    </row>
    <row r="235" spans="1:1" ht="15.6" x14ac:dyDescent="0.3">
      <c r="A235" s="219"/>
    </row>
    <row r="236" spans="1:1" ht="15.6" x14ac:dyDescent="0.3">
      <c r="A236" s="219"/>
    </row>
    <row r="237" spans="1:1" ht="15.6" x14ac:dyDescent="0.3">
      <c r="A237" s="219"/>
    </row>
    <row r="238" spans="1:1" ht="15.6" x14ac:dyDescent="0.3">
      <c r="A238" s="219"/>
    </row>
    <row r="239" spans="1:1" ht="15.6" x14ac:dyDescent="0.3">
      <c r="A239" s="219"/>
    </row>
    <row r="240" spans="1:1" ht="15.6" x14ac:dyDescent="0.3">
      <c r="A240" s="219"/>
    </row>
    <row r="241" spans="1:1" ht="15.6" x14ac:dyDescent="0.3">
      <c r="A241" s="219"/>
    </row>
    <row r="242" spans="1:1" ht="15.6" x14ac:dyDescent="0.3">
      <c r="A242" s="219"/>
    </row>
    <row r="243" spans="1:1" ht="15.6" x14ac:dyDescent="0.3">
      <c r="A243" s="219"/>
    </row>
    <row r="244" spans="1:1" ht="15.6" x14ac:dyDescent="0.3">
      <c r="A244" s="219"/>
    </row>
    <row r="245" spans="1:1" ht="15.6" x14ac:dyDescent="0.3">
      <c r="A245" s="219"/>
    </row>
    <row r="246" spans="1:1" ht="15.6" x14ac:dyDescent="0.3">
      <c r="A246" s="219"/>
    </row>
    <row r="247" spans="1:1" ht="15.6" x14ac:dyDescent="0.3">
      <c r="A247" s="219"/>
    </row>
    <row r="248" spans="1:1" ht="15.6" x14ac:dyDescent="0.3">
      <c r="A248" s="219"/>
    </row>
    <row r="249" spans="1:1" ht="15.6" x14ac:dyDescent="0.3">
      <c r="A249" s="219"/>
    </row>
    <row r="250" spans="1:1" ht="15.6" x14ac:dyDescent="0.3">
      <c r="A250" s="219"/>
    </row>
    <row r="251" spans="1:1" ht="15.6" x14ac:dyDescent="0.3">
      <c r="A251" s="219"/>
    </row>
    <row r="252" spans="1:1" ht="15.6" x14ac:dyDescent="0.3">
      <c r="A252" s="219"/>
    </row>
    <row r="253" spans="1:1" ht="15.6" x14ac:dyDescent="0.3">
      <c r="A253" s="219"/>
    </row>
    <row r="254" spans="1:1" ht="15.6" x14ac:dyDescent="0.3">
      <c r="A254" s="219"/>
    </row>
    <row r="255" spans="1:1" ht="15.6" x14ac:dyDescent="0.3">
      <c r="A255" s="219"/>
    </row>
    <row r="256" spans="1:1" ht="15.6" x14ac:dyDescent="0.3">
      <c r="A256" s="219"/>
    </row>
    <row r="257" spans="1:1" ht="15.6" x14ac:dyDescent="0.3">
      <c r="A257" s="219"/>
    </row>
    <row r="258" spans="1:1" ht="15.6" x14ac:dyDescent="0.3">
      <c r="A258" s="219"/>
    </row>
    <row r="259" spans="1:1" ht="15.6" x14ac:dyDescent="0.3">
      <c r="A259" s="219"/>
    </row>
    <row r="260" spans="1:1" ht="15.6" x14ac:dyDescent="0.3">
      <c r="A260" s="219"/>
    </row>
    <row r="261" spans="1:1" ht="15.6" x14ac:dyDescent="0.3">
      <c r="A261" s="219"/>
    </row>
    <row r="262" spans="1:1" ht="15.6" x14ac:dyDescent="0.3">
      <c r="A262" s="219"/>
    </row>
    <row r="263" spans="1:1" ht="15.6" x14ac:dyDescent="0.3">
      <c r="A263" s="219"/>
    </row>
    <row r="264" spans="1:1" ht="15.6" x14ac:dyDescent="0.3">
      <c r="A264" s="219"/>
    </row>
    <row r="265" spans="1:1" ht="15.6" x14ac:dyDescent="0.3">
      <c r="A265" s="219"/>
    </row>
    <row r="266" spans="1:1" ht="15.6" x14ac:dyDescent="0.3">
      <c r="A266" s="219"/>
    </row>
    <row r="267" spans="1:1" ht="15.6" x14ac:dyDescent="0.3">
      <c r="A267" s="219"/>
    </row>
    <row r="268" spans="1:1" ht="15.6" x14ac:dyDescent="0.3">
      <c r="A268" s="219"/>
    </row>
    <row r="269" spans="1:1" ht="15.6" x14ac:dyDescent="0.3">
      <c r="A269" s="219"/>
    </row>
    <row r="270" spans="1:1" ht="15.6" x14ac:dyDescent="0.3">
      <c r="A270" s="219"/>
    </row>
    <row r="271" spans="1:1" ht="15.6" x14ac:dyDescent="0.3">
      <c r="A271" s="219"/>
    </row>
    <row r="272" spans="1:1" ht="15.6" x14ac:dyDescent="0.3">
      <c r="A272" s="219"/>
    </row>
    <row r="273" spans="1:1" ht="15.6" x14ac:dyDescent="0.3">
      <c r="A273" s="219"/>
    </row>
    <row r="274" spans="1:1" ht="15.6" x14ac:dyDescent="0.3">
      <c r="A274" s="219"/>
    </row>
    <row r="275" spans="1:1" ht="15.6" x14ac:dyDescent="0.3">
      <c r="A275" s="219"/>
    </row>
    <row r="276" spans="1:1" ht="15.6" x14ac:dyDescent="0.3">
      <c r="A276" s="219"/>
    </row>
    <row r="277" spans="1:1" ht="15.6" x14ac:dyDescent="0.3">
      <c r="A277" s="219"/>
    </row>
    <row r="278" spans="1:1" ht="15.6" x14ac:dyDescent="0.3">
      <c r="A278" s="219"/>
    </row>
    <row r="279" spans="1:1" ht="15.6" x14ac:dyDescent="0.3">
      <c r="A279" s="219"/>
    </row>
    <row r="280" spans="1:1" ht="15.6" x14ac:dyDescent="0.3">
      <c r="A280" s="219"/>
    </row>
    <row r="281" spans="1:1" ht="15.6" x14ac:dyDescent="0.3">
      <c r="A281" s="219"/>
    </row>
    <row r="282" spans="1:1" ht="15.6" x14ac:dyDescent="0.3">
      <c r="A282" s="219"/>
    </row>
    <row r="283" spans="1:1" ht="15.6" x14ac:dyDescent="0.3">
      <c r="A283" s="219"/>
    </row>
    <row r="284" spans="1:1" ht="15.6" x14ac:dyDescent="0.3">
      <c r="A284" s="219"/>
    </row>
    <row r="285" spans="1:1" ht="15.6" x14ac:dyDescent="0.3">
      <c r="A285" s="219"/>
    </row>
    <row r="286" spans="1:1" ht="15.6" x14ac:dyDescent="0.3">
      <c r="A286" s="219"/>
    </row>
    <row r="287" spans="1:1" ht="15.6" x14ac:dyDescent="0.3">
      <c r="A287" s="219"/>
    </row>
    <row r="288" spans="1:1" ht="15.6" x14ac:dyDescent="0.3">
      <c r="A288" s="219"/>
    </row>
    <row r="289" spans="1:1" ht="15.6" x14ac:dyDescent="0.3">
      <c r="A289" s="219"/>
    </row>
    <row r="290" spans="1:1" ht="15.6" x14ac:dyDescent="0.3">
      <c r="A290" s="219"/>
    </row>
    <row r="291" spans="1:1" ht="15.6" x14ac:dyDescent="0.3">
      <c r="A291" s="219"/>
    </row>
    <row r="292" spans="1:1" ht="15.6" x14ac:dyDescent="0.3">
      <c r="A292" s="219"/>
    </row>
    <row r="293" spans="1:1" ht="15.6" x14ac:dyDescent="0.3">
      <c r="A293" s="219"/>
    </row>
    <row r="294" spans="1:1" ht="15.6" x14ac:dyDescent="0.3">
      <c r="A294" s="219"/>
    </row>
    <row r="295" spans="1:1" ht="15.6" x14ac:dyDescent="0.3">
      <c r="A295" s="219"/>
    </row>
    <row r="296" spans="1:1" ht="15.6" x14ac:dyDescent="0.3">
      <c r="A296" s="219"/>
    </row>
    <row r="297" spans="1:1" ht="15.6" x14ac:dyDescent="0.3">
      <c r="A297" s="219"/>
    </row>
    <row r="298" spans="1:1" ht="15.6" x14ac:dyDescent="0.3">
      <c r="A298" s="219"/>
    </row>
    <row r="299" spans="1:1" ht="15.6" x14ac:dyDescent="0.3">
      <c r="A299" s="219"/>
    </row>
    <row r="300" spans="1:1" ht="15.6" x14ac:dyDescent="0.3">
      <c r="A300" s="219"/>
    </row>
    <row r="301" spans="1:1" ht="15.6" x14ac:dyDescent="0.3">
      <c r="A301" s="219"/>
    </row>
    <row r="302" spans="1:1" ht="15.6" x14ac:dyDescent="0.3">
      <c r="A302" s="219"/>
    </row>
    <row r="303" spans="1:1" ht="15.6" x14ac:dyDescent="0.3">
      <c r="A303" s="219"/>
    </row>
    <row r="304" spans="1:1" ht="15.6" x14ac:dyDescent="0.3">
      <c r="A304" s="219"/>
    </row>
    <row r="305" spans="1:1" ht="15.6" x14ac:dyDescent="0.3">
      <c r="A305" s="219"/>
    </row>
    <row r="306" spans="1:1" ht="15.6" x14ac:dyDescent="0.3">
      <c r="A306" s="219"/>
    </row>
    <row r="307" spans="1:1" ht="15.6" x14ac:dyDescent="0.3">
      <c r="A307" s="219"/>
    </row>
    <row r="308" spans="1:1" ht="15.6" x14ac:dyDescent="0.3">
      <c r="A308" s="219"/>
    </row>
    <row r="309" spans="1:1" ht="15.6" x14ac:dyDescent="0.3">
      <c r="A309" s="219"/>
    </row>
    <row r="310" spans="1:1" ht="15.6" x14ac:dyDescent="0.3">
      <c r="A310" s="219"/>
    </row>
    <row r="311" spans="1:1" ht="15.6" x14ac:dyDescent="0.3">
      <c r="A311" s="219"/>
    </row>
    <row r="312" spans="1:1" ht="15.6" x14ac:dyDescent="0.3">
      <c r="A312" s="219"/>
    </row>
    <row r="313" spans="1:1" ht="15.6" x14ac:dyDescent="0.3">
      <c r="A313" s="219"/>
    </row>
    <row r="314" spans="1:1" ht="15.6" x14ac:dyDescent="0.3">
      <c r="A314" s="219"/>
    </row>
    <row r="315" spans="1:1" ht="15.6" x14ac:dyDescent="0.3">
      <c r="A315" s="219"/>
    </row>
    <row r="316" spans="1:1" ht="15.6" x14ac:dyDescent="0.3">
      <c r="A316" s="219"/>
    </row>
    <row r="317" spans="1:1" ht="15.6" x14ac:dyDescent="0.3">
      <c r="A317" s="219"/>
    </row>
    <row r="318" spans="1:1" ht="15.6" x14ac:dyDescent="0.3">
      <c r="A318" s="219"/>
    </row>
    <row r="319" spans="1:1" ht="15.6" x14ac:dyDescent="0.3">
      <c r="A319" s="219"/>
    </row>
    <row r="320" spans="1:1" ht="15.6" x14ac:dyDescent="0.3">
      <c r="A320" s="219"/>
    </row>
    <row r="321" spans="1:1" ht="15.6" x14ac:dyDescent="0.3">
      <c r="A321" s="219"/>
    </row>
    <row r="322" spans="1:1" ht="15.6" x14ac:dyDescent="0.3">
      <c r="A322" s="219"/>
    </row>
    <row r="323" spans="1:1" ht="15.6" x14ac:dyDescent="0.3">
      <c r="A323" s="219"/>
    </row>
    <row r="324" spans="1:1" ht="15.6" x14ac:dyDescent="0.3">
      <c r="A324" s="219"/>
    </row>
    <row r="325" spans="1:1" ht="15.6" x14ac:dyDescent="0.3">
      <c r="A325" s="219"/>
    </row>
    <row r="326" spans="1:1" ht="15.6" x14ac:dyDescent="0.3">
      <c r="A326" s="219"/>
    </row>
    <row r="327" spans="1:1" ht="15.6" x14ac:dyDescent="0.3">
      <c r="A327" s="219"/>
    </row>
    <row r="328" spans="1:1" ht="15.6" x14ac:dyDescent="0.3">
      <c r="A328" s="219"/>
    </row>
    <row r="329" spans="1:1" ht="15.6" x14ac:dyDescent="0.3">
      <c r="A329" s="219"/>
    </row>
    <row r="330" spans="1:1" ht="15.6" x14ac:dyDescent="0.3">
      <c r="A330" s="219"/>
    </row>
    <row r="331" spans="1:1" ht="15.6" x14ac:dyDescent="0.3">
      <c r="A331" s="219"/>
    </row>
    <row r="332" spans="1:1" ht="15.6" x14ac:dyDescent="0.3">
      <c r="A332" s="219"/>
    </row>
    <row r="333" spans="1:1" ht="15.6" x14ac:dyDescent="0.3">
      <c r="A333" s="219"/>
    </row>
    <row r="334" spans="1:1" ht="15.6" x14ac:dyDescent="0.3">
      <c r="A334" s="219"/>
    </row>
    <row r="335" spans="1:1" ht="15.6" x14ac:dyDescent="0.3">
      <c r="A335" s="219"/>
    </row>
    <row r="336" spans="1:1" ht="15.6" x14ac:dyDescent="0.3">
      <c r="A336" s="219"/>
    </row>
    <row r="337" spans="1:1" ht="15.6" x14ac:dyDescent="0.3">
      <c r="A337" s="219"/>
    </row>
    <row r="338" spans="1:1" ht="15.6" x14ac:dyDescent="0.3">
      <c r="A338" s="219"/>
    </row>
    <row r="339" spans="1:1" ht="15.6" x14ac:dyDescent="0.3">
      <c r="A339" s="219"/>
    </row>
    <row r="340" spans="1:1" ht="15.6" x14ac:dyDescent="0.3">
      <c r="A340" s="219"/>
    </row>
    <row r="341" spans="1:1" ht="15.6" x14ac:dyDescent="0.3">
      <c r="A341" s="219"/>
    </row>
    <row r="342" spans="1:1" ht="15.6" x14ac:dyDescent="0.3">
      <c r="A342" s="219"/>
    </row>
    <row r="343" spans="1:1" ht="15.6" x14ac:dyDescent="0.3">
      <c r="A343" s="219"/>
    </row>
    <row r="344" spans="1:1" ht="15.6" x14ac:dyDescent="0.3">
      <c r="A344" s="219"/>
    </row>
    <row r="345" spans="1:1" ht="15.6" x14ac:dyDescent="0.3">
      <c r="A345" s="219"/>
    </row>
    <row r="346" spans="1:1" ht="15.6" x14ac:dyDescent="0.3">
      <c r="A346" s="219"/>
    </row>
    <row r="347" spans="1:1" ht="15.6" x14ac:dyDescent="0.3">
      <c r="A347" s="219"/>
    </row>
    <row r="348" spans="1:1" ht="15.6" x14ac:dyDescent="0.3">
      <c r="A348" s="219"/>
    </row>
    <row r="349" spans="1:1" ht="15.6" x14ac:dyDescent="0.3">
      <c r="A349" s="219"/>
    </row>
    <row r="350" spans="1:1" ht="15.6" x14ac:dyDescent="0.3">
      <c r="A350" s="219"/>
    </row>
    <row r="351" spans="1:1" ht="15.6" x14ac:dyDescent="0.3">
      <c r="A351" s="219"/>
    </row>
    <row r="352" spans="1:1" ht="15.6" x14ac:dyDescent="0.3">
      <c r="A352" s="219"/>
    </row>
    <row r="353" spans="1:1" ht="15.6" x14ac:dyDescent="0.3">
      <c r="A353" s="219"/>
    </row>
    <row r="354" spans="1:1" ht="15.6" x14ac:dyDescent="0.3">
      <c r="A354" s="219"/>
    </row>
    <row r="355" spans="1:1" ht="15.6" x14ac:dyDescent="0.3">
      <c r="A355" s="219"/>
    </row>
    <row r="356" spans="1:1" ht="15.6" x14ac:dyDescent="0.3">
      <c r="A356" s="219"/>
    </row>
    <row r="357" spans="1:1" ht="15.6" x14ac:dyDescent="0.3">
      <c r="A357" s="219"/>
    </row>
    <row r="358" spans="1:1" ht="15.6" x14ac:dyDescent="0.3">
      <c r="A358" s="219"/>
    </row>
    <row r="359" spans="1:1" ht="15.6" x14ac:dyDescent="0.3">
      <c r="A359" s="219"/>
    </row>
    <row r="360" spans="1:1" ht="15.6" x14ac:dyDescent="0.3">
      <c r="A360" s="219"/>
    </row>
    <row r="361" spans="1:1" ht="15.6" x14ac:dyDescent="0.3">
      <c r="A361" s="219"/>
    </row>
    <row r="362" spans="1:1" ht="15.6" x14ac:dyDescent="0.3">
      <c r="A362" s="219"/>
    </row>
    <row r="363" spans="1:1" ht="15.6" x14ac:dyDescent="0.3">
      <c r="A363" s="219"/>
    </row>
    <row r="364" spans="1:1" ht="15.6" x14ac:dyDescent="0.3">
      <c r="A364" s="219"/>
    </row>
    <row r="365" spans="1:1" ht="15.6" x14ac:dyDescent="0.3">
      <c r="A365" s="219"/>
    </row>
    <row r="366" spans="1:1" ht="15.6" x14ac:dyDescent="0.3">
      <c r="A366" s="219"/>
    </row>
    <row r="367" spans="1:1" ht="15.6" x14ac:dyDescent="0.3">
      <c r="A367" s="219"/>
    </row>
    <row r="368" spans="1:1" ht="15.6" x14ac:dyDescent="0.3">
      <c r="A368" s="219"/>
    </row>
    <row r="369" spans="1:1" ht="15.6" x14ac:dyDescent="0.3">
      <c r="A369" s="219"/>
    </row>
    <row r="370" spans="1:1" ht="15.6" x14ac:dyDescent="0.3">
      <c r="A370" s="219"/>
    </row>
    <row r="371" spans="1:1" ht="15.6" x14ac:dyDescent="0.3">
      <c r="A371" s="219"/>
    </row>
    <row r="372" spans="1:1" ht="15.6" x14ac:dyDescent="0.3">
      <c r="A372" s="219"/>
    </row>
    <row r="373" spans="1:1" ht="15.6" x14ac:dyDescent="0.3">
      <c r="A373" s="219"/>
    </row>
    <row r="374" spans="1:1" ht="15.6" x14ac:dyDescent="0.3">
      <c r="A374" s="219"/>
    </row>
    <row r="375" spans="1:1" ht="15.6" x14ac:dyDescent="0.3">
      <c r="A375" s="219"/>
    </row>
    <row r="376" spans="1:1" ht="15.6" x14ac:dyDescent="0.3">
      <c r="A376" s="219"/>
    </row>
    <row r="377" spans="1:1" ht="15.6" x14ac:dyDescent="0.3">
      <c r="A377" s="219"/>
    </row>
    <row r="378" spans="1:1" ht="15.6" x14ac:dyDescent="0.3">
      <c r="A378" s="219"/>
    </row>
    <row r="379" spans="1:1" ht="15.6" x14ac:dyDescent="0.3">
      <c r="A379" s="219"/>
    </row>
    <row r="380" spans="1:1" ht="15.6" x14ac:dyDescent="0.3">
      <c r="A380" s="219"/>
    </row>
    <row r="381" spans="1:1" ht="15.6" x14ac:dyDescent="0.3">
      <c r="A381" s="219"/>
    </row>
    <row r="382" spans="1:1" ht="15.6" x14ac:dyDescent="0.3">
      <c r="A382" s="219"/>
    </row>
    <row r="383" spans="1:1" ht="15.6" x14ac:dyDescent="0.3">
      <c r="A383" s="219"/>
    </row>
    <row r="384" spans="1:1" ht="15.6" x14ac:dyDescent="0.3">
      <c r="A384" s="219"/>
    </row>
    <row r="385" spans="1:1" ht="15.6" x14ac:dyDescent="0.3">
      <c r="A385" s="219"/>
    </row>
    <row r="386" spans="1:1" ht="15.6" x14ac:dyDescent="0.3">
      <c r="A386" s="219"/>
    </row>
    <row r="387" spans="1:1" ht="15.6" x14ac:dyDescent="0.3">
      <c r="A387" s="219"/>
    </row>
    <row r="388" spans="1:1" ht="15.6" x14ac:dyDescent="0.3">
      <c r="A388" s="219"/>
    </row>
    <row r="389" spans="1:1" ht="15.6" x14ac:dyDescent="0.3">
      <c r="A389" s="219"/>
    </row>
    <row r="390" spans="1:1" ht="15.6" x14ac:dyDescent="0.3">
      <c r="A390" s="219"/>
    </row>
    <row r="391" spans="1:1" ht="15.6" x14ac:dyDescent="0.3">
      <c r="A391" s="219"/>
    </row>
    <row r="392" spans="1:1" ht="15.6" x14ac:dyDescent="0.3">
      <c r="A392" s="219"/>
    </row>
    <row r="393" spans="1:1" ht="15.6" x14ac:dyDescent="0.3">
      <c r="A393" s="219"/>
    </row>
    <row r="394" spans="1:1" ht="15.6" x14ac:dyDescent="0.3">
      <c r="A394" s="219"/>
    </row>
    <row r="395" spans="1:1" ht="15.6" x14ac:dyDescent="0.3">
      <c r="A395" s="219"/>
    </row>
    <row r="396" spans="1:1" ht="15.6" x14ac:dyDescent="0.3">
      <c r="A396" s="219"/>
    </row>
    <row r="397" spans="1:1" ht="15.6" x14ac:dyDescent="0.3">
      <c r="A397" s="219"/>
    </row>
    <row r="398" spans="1:1" ht="15.6" x14ac:dyDescent="0.3">
      <c r="A398" s="219"/>
    </row>
    <row r="399" spans="1:1" ht="15.6" x14ac:dyDescent="0.3">
      <c r="A399" s="219"/>
    </row>
    <row r="400" spans="1:1" ht="15.6" x14ac:dyDescent="0.3">
      <c r="A400" s="219"/>
    </row>
    <row r="401" spans="1:1" ht="15.6" x14ac:dyDescent="0.3">
      <c r="A401" s="219"/>
    </row>
    <row r="402" spans="1:1" ht="15.6" x14ac:dyDescent="0.3">
      <c r="A402" s="219"/>
    </row>
    <row r="403" spans="1:1" ht="15.6" x14ac:dyDescent="0.3">
      <c r="A403" s="219"/>
    </row>
    <row r="404" spans="1:1" ht="15.6" x14ac:dyDescent="0.3">
      <c r="A404" s="219"/>
    </row>
    <row r="405" spans="1:1" ht="15.6" x14ac:dyDescent="0.3">
      <c r="A405" s="219"/>
    </row>
    <row r="406" spans="1:1" ht="15.6" x14ac:dyDescent="0.3">
      <c r="A406" s="219"/>
    </row>
    <row r="407" spans="1:1" ht="15.6" x14ac:dyDescent="0.3">
      <c r="A407" s="219"/>
    </row>
    <row r="408" spans="1:1" ht="15.6" x14ac:dyDescent="0.3">
      <c r="A408" s="219"/>
    </row>
    <row r="409" spans="1:1" ht="15.6" x14ac:dyDescent="0.3">
      <c r="A409" s="219"/>
    </row>
    <row r="410" spans="1:1" ht="15.6" x14ac:dyDescent="0.3">
      <c r="A410" s="219"/>
    </row>
    <row r="411" spans="1:1" ht="15.6" x14ac:dyDescent="0.3">
      <c r="A411" s="219"/>
    </row>
    <row r="412" spans="1:1" ht="15.6" x14ac:dyDescent="0.3">
      <c r="A412" s="219"/>
    </row>
    <row r="413" spans="1:1" ht="15.6" x14ac:dyDescent="0.3">
      <c r="A413" s="219"/>
    </row>
    <row r="414" spans="1:1" ht="15.6" x14ac:dyDescent="0.3">
      <c r="A414" s="219"/>
    </row>
    <row r="415" spans="1:1" ht="15.6" x14ac:dyDescent="0.3">
      <c r="A415" s="219"/>
    </row>
    <row r="416" spans="1:1" ht="15.6" x14ac:dyDescent="0.3">
      <c r="A416" s="219"/>
    </row>
    <row r="417" spans="1:1" ht="15.6" x14ac:dyDescent="0.3">
      <c r="A417" s="219"/>
    </row>
    <row r="418" spans="1:1" ht="15.6" x14ac:dyDescent="0.3">
      <c r="A418" s="219"/>
    </row>
    <row r="419" spans="1:1" ht="15.6" x14ac:dyDescent="0.3">
      <c r="A419" s="219"/>
    </row>
    <row r="420" spans="1:1" ht="15.6" x14ac:dyDescent="0.3">
      <c r="A420" s="219"/>
    </row>
    <row r="421" spans="1:1" ht="15.6" x14ac:dyDescent="0.3">
      <c r="A421" s="219"/>
    </row>
    <row r="422" spans="1:1" ht="15.6" x14ac:dyDescent="0.3">
      <c r="A422" s="219"/>
    </row>
    <row r="423" spans="1:1" ht="15.6" x14ac:dyDescent="0.3">
      <c r="A423" s="219"/>
    </row>
    <row r="424" spans="1:1" ht="15.6" x14ac:dyDescent="0.3">
      <c r="A424" s="219"/>
    </row>
    <row r="425" spans="1:1" ht="15.6" x14ac:dyDescent="0.3">
      <c r="A425" s="219"/>
    </row>
    <row r="426" spans="1:1" ht="15.6" x14ac:dyDescent="0.3">
      <c r="A426" s="219"/>
    </row>
    <row r="427" spans="1:1" ht="15.6" x14ac:dyDescent="0.3">
      <c r="A427" s="219"/>
    </row>
    <row r="428" spans="1:1" ht="15.6" x14ac:dyDescent="0.3">
      <c r="A428" s="219"/>
    </row>
    <row r="429" spans="1:1" ht="15.6" x14ac:dyDescent="0.3">
      <c r="A429" s="219"/>
    </row>
    <row r="430" spans="1:1" ht="15.6" x14ac:dyDescent="0.3">
      <c r="A430" s="219"/>
    </row>
    <row r="431" spans="1:1" ht="15.6" x14ac:dyDescent="0.3">
      <c r="A431" s="219"/>
    </row>
    <row r="432" spans="1:1" ht="15.6" x14ac:dyDescent="0.3">
      <c r="A432" s="219"/>
    </row>
    <row r="433" spans="1:1" ht="15.6" x14ac:dyDescent="0.3">
      <c r="A433" s="219"/>
    </row>
    <row r="434" spans="1:1" ht="15.6" x14ac:dyDescent="0.3">
      <c r="A434" s="219"/>
    </row>
    <row r="435" spans="1:1" ht="15.6" x14ac:dyDescent="0.3">
      <c r="A435" s="219"/>
    </row>
    <row r="436" spans="1:1" ht="15.6" x14ac:dyDescent="0.3">
      <c r="A436" s="219"/>
    </row>
    <row r="437" spans="1:1" ht="15.6" x14ac:dyDescent="0.3">
      <c r="A437" s="219"/>
    </row>
    <row r="438" spans="1:1" ht="15.6" x14ac:dyDescent="0.3">
      <c r="A438" s="219"/>
    </row>
    <row r="439" spans="1:1" ht="15.6" x14ac:dyDescent="0.3">
      <c r="A439" s="219"/>
    </row>
    <row r="440" spans="1:1" ht="15.6" x14ac:dyDescent="0.3">
      <c r="A440" s="219"/>
    </row>
    <row r="441" spans="1:1" ht="15.6" x14ac:dyDescent="0.3">
      <c r="A441" s="219"/>
    </row>
    <row r="442" spans="1:1" ht="15.6" x14ac:dyDescent="0.3">
      <c r="A442" s="219"/>
    </row>
    <row r="443" spans="1:1" ht="15.6" x14ac:dyDescent="0.3">
      <c r="A443" s="219"/>
    </row>
    <row r="444" spans="1:1" ht="15.6" x14ac:dyDescent="0.3">
      <c r="A444" s="219"/>
    </row>
    <row r="445" spans="1:1" ht="15.6" x14ac:dyDescent="0.3">
      <c r="A445" s="219"/>
    </row>
    <row r="446" spans="1:1" ht="15.6" x14ac:dyDescent="0.3">
      <c r="A446" s="219"/>
    </row>
    <row r="447" spans="1:1" ht="15.6" x14ac:dyDescent="0.3">
      <c r="A447" s="219"/>
    </row>
    <row r="448" spans="1:1" ht="15.6" x14ac:dyDescent="0.3">
      <c r="A448" s="219"/>
    </row>
    <row r="449" spans="1:1" ht="15.6" x14ac:dyDescent="0.3">
      <c r="A449" s="219"/>
    </row>
    <row r="450" spans="1:1" ht="15.6" x14ac:dyDescent="0.3">
      <c r="A450" s="219"/>
    </row>
    <row r="451" spans="1:1" ht="15.6" x14ac:dyDescent="0.3">
      <c r="A451" s="219"/>
    </row>
    <row r="452" spans="1:1" ht="15.6" x14ac:dyDescent="0.3">
      <c r="A452" s="219"/>
    </row>
    <row r="453" spans="1:1" ht="15.6" x14ac:dyDescent="0.3">
      <c r="A453" s="219"/>
    </row>
    <row r="454" spans="1:1" ht="15.6" x14ac:dyDescent="0.3">
      <c r="A454" s="219"/>
    </row>
    <row r="455" spans="1:1" ht="15.6" x14ac:dyDescent="0.3">
      <c r="A455" s="219"/>
    </row>
    <row r="456" spans="1:1" ht="15.6" x14ac:dyDescent="0.3">
      <c r="A456" s="219"/>
    </row>
    <row r="457" spans="1:1" ht="15.6" x14ac:dyDescent="0.3">
      <c r="A457" s="219"/>
    </row>
    <row r="458" spans="1:1" ht="15.6" x14ac:dyDescent="0.3">
      <c r="A458" s="219"/>
    </row>
    <row r="459" spans="1:1" ht="15.6" x14ac:dyDescent="0.3">
      <c r="A459" s="219"/>
    </row>
    <row r="460" spans="1:1" ht="15.6" x14ac:dyDescent="0.3">
      <c r="A460" s="219"/>
    </row>
    <row r="461" spans="1:1" ht="15.6" x14ac:dyDescent="0.3">
      <c r="A461" s="219"/>
    </row>
    <row r="462" spans="1:1" ht="15.6" x14ac:dyDescent="0.3">
      <c r="A462" s="219"/>
    </row>
    <row r="463" spans="1:1" ht="15.6" x14ac:dyDescent="0.3">
      <c r="A463" s="219"/>
    </row>
    <row r="464" spans="1:1" ht="15.6" x14ac:dyDescent="0.3">
      <c r="A464" s="219"/>
    </row>
    <row r="465" spans="1:1" ht="15.6" x14ac:dyDescent="0.3">
      <c r="A465" s="219"/>
    </row>
    <row r="466" spans="1:1" ht="15.6" x14ac:dyDescent="0.3">
      <c r="A466" s="219"/>
    </row>
    <row r="467" spans="1:1" ht="15.6" x14ac:dyDescent="0.3">
      <c r="A467" s="219"/>
    </row>
    <row r="468" spans="1:1" ht="15.6" x14ac:dyDescent="0.3">
      <c r="A468" s="219"/>
    </row>
    <row r="469" spans="1:1" ht="15.6" x14ac:dyDescent="0.3">
      <c r="A469" s="219"/>
    </row>
    <row r="470" spans="1:1" ht="15.6" x14ac:dyDescent="0.3">
      <c r="A470" s="219"/>
    </row>
    <row r="471" spans="1:1" ht="15.6" x14ac:dyDescent="0.3">
      <c r="A471" s="219"/>
    </row>
    <row r="472" spans="1:1" ht="15.6" x14ac:dyDescent="0.3">
      <c r="A472" s="219"/>
    </row>
    <row r="473" spans="1:1" ht="15.6" x14ac:dyDescent="0.3">
      <c r="A473" s="219"/>
    </row>
    <row r="474" spans="1:1" ht="15.6" x14ac:dyDescent="0.3">
      <c r="A474" s="219"/>
    </row>
    <row r="475" spans="1:1" ht="15.6" x14ac:dyDescent="0.3">
      <c r="A475" s="219"/>
    </row>
    <row r="476" spans="1:1" ht="15.6" x14ac:dyDescent="0.3">
      <c r="A476" s="219"/>
    </row>
    <row r="477" spans="1:1" ht="15.6" x14ac:dyDescent="0.3">
      <c r="A477" s="219"/>
    </row>
    <row r="478" spans="1:1" ht="15.6" x14ac:dyDescent="0.3">
      <c r="A478" s="219"/>
    </row>
    <row r="479" spans="1:1" ht="15.6" x14ac:dyDescent="0.3">
      <c r="A479" s="219"/>
    </row>
    <row r="480" spans="1:1" ht="15.6" x14ac:dyDescent="0.3">
      <c r="A480" s="219"/>
    </row>
    <row r="481" spans="1:1" ht="15.6" x14ac:dyDescent="0.3">
      <c r="A481" s="219"/>
    </row>
    <row r="482" spans="1:1" ht="15.6" x14ac:dyDescent="0.3">
      <c r="A482" s="219"/>
    </row>
    <row r="483" spans="1:1" ht="15.6" x14ac:dyDescent="0.3">
      <c r="A483" s="219"/>
    </row>
    <row r="484" spans="1:1" ht="15.6" x14ac:dyDescent="0.3">
      <c r="A484" s="219"/>
    </row>
    <row r="485" spans="1:1" ht="15.6" x14ac:dyDescent="0.3">
      <c r="A485" s="219"/>
    </row>
    <row r="486" spans="1:1" ht="15.6" x14ac:dyDescent="0.3">
      <c r="A486" s="219"/>
    </row>
    <row r="487" spans="1:1" ht="15.6" x14ac:dyDescent="0.3">
      <c r="A487" s="219"/>
    </row>
    <row r="488" spans="1:1" ht="15.6" x14ac:dyDescent="0.3">
      <c r="A488" s="219"/>
    </row>
    <row r="489" spans="1:1" ht="15.6" x14ac:dyDescent="0.3">
      <c r="A489" s="219"/>
    </row>
    <row r="490" spans="1:1" ht="15.6" x14ac:dyDescent="0.3">
      <c r="A490" s="219"/>
    </row>
    <row r="491" spans="1:1" ht="15.6" x14ac:dyDescent="0.3">
      <c r="A491" s="219"/>
    </row>
    <row r="492" spans="1:1" ht="15.6" x14ac:dyDescent="0.3">
      <c r="A492" s="219"/>
    </row>
    <row r="493" spans="1:1" ht="15.6" x14ac:dyDescent="0.3">
      <c r="A493" s="219"/>
    </row>
    <row r="494" spans="1:1" ht="15.6" x14ac:dyDescent="0.3">
      <c r="A494" s="219"/>
    </row>
    <row r="495" spans="1:1" ht="15.6" x14ac:dyDescent="0.3">
      <c r="A495" s="219"/>
    </row>
    <row r="496" spans="1:1" ht="15.6" x14ac:dyDescent="0.3">
      <c r="A496" s="219"/>
    </row>
    <row r="497" spans="1:1" ht="15.6" x14ac:dyDescent="0.3">
      <c r="A497" s="219"/>
    </row>
    <row r="498" spans="1:1" ht="15.6" x14ac:dyDescent="0.3">
      <c r="A498" s="219"/>
    </row>
    <row r="499" spans="1:1" ht="15.6" x14ac:dyDescent="0.3">
      <c r="A499" s="219"/>
    </row>
    <row r="500" spans="1:1" ht="15.6" x14ac:dyDescent="0.3">
      <c r="A500" s="219"/>
    </row>
    <row r="501" spans="1:1" ht="15.6" x14ac:dyDescent="0.3">
      <c r="A501" s="219"/>
    </row>
    <row r="502" spans="1:1" ht="15.6" x14ac:dyDescent="0.3">
      <c r="A502" s="219"/>
    </row>
    <row r="503" spans="1:1" ht="15.6" x14ac:dyDescent="0.3">
      <c r="A503" s="219"/>
    </row>
    <row r="504" spans="1:1" ht="15.6" x14ac:dyDescent="0.3">
      <c r="A504" s="219"/>
    </row>
    <row r="505" spans="1:1" ht="15.6" x14ac:dyDescent="0.3">
      <c r="A505" s="219"/>
    </row>
    <row r="506" spans="1:1" ht="15.6" x14ac:dyDescent="0.3">
      <c r="A506" s="219"/>
    </row>
    <row r="507" spans="1:1" ht="15.6" x14ac:dyDescent="0.3">
      <c r="A507" s="219"/>
    </row>
    <row r="508" spans="1:1" ht="15.6" x14ac:dyDescent="0.3">
      <c r="A508" s="219"/>
    </row>
    <row r="509" spans="1:1" ht="15.6" x14ac:dyDescent="0.3">
      <c r="A509" s="219"/>
    </row>
    <row r="510" spans="1:1" ht="15.6" x14ac:dyDescent="0.3">
      <c r="A510" s="219"/>
    </row>
    <row r="511" spans="1:1" ht="15.6" x14ac:dyDescent="0.3">
      <c r="A511" s="219"/>
    </row>
    <row r="512" spans="1:1" ht="15.6" x14ac:dyDescent="0.3">
      <c r="A512" s="219"/>
    </row>
    <row r="513" spans="1:1" ht="15.6" x14ac:dyDescent="0.3">
      <c r="A513" s="219"/>
    </row>
    <row r="514" spans="1:1" ht="15.6" x14ac:dyDescent="0.3">
      <c r="A514" s="219"/>
    </row>
    <row r="515" spans="1:1" ht="15.6" x14ac:dyDescent="0.3">
      <c r="A515" s="219"/>
    </row>
    <row r="516" spans="1:1" ht="15.6" x14ac:dyDescent="0.3">
      <c r="A516" s="219"/>
    </row>
    <row r="517" spans="1:1" ht="15.6" x14ac:dyDescent="0.3">
      <c r="A517" s="219"/>
    </row>
    <row r="518" spans="1:1" ht="15.6" x14ac:dyDescent="0.3">
      <c r="A518" s="219"/>
    </row>
    <row r="519" spans="1:1" ht="15.6" x14ac:dyDescent="0.3">
      <c r="A519" s="219"/>
    </row>
    <row r="520" spans="1:1" ht="15.6" x14ac:dyDescent="0.3">
      <c r="A520" s="219"/>
    </row>
    <row r="521" spans="1:1" ht="15.6" x14ac:dyDescent="0.3">
      <c r="A521" s="219"/>
    </row>
    <row r="522" spans="1:1" ht="15.6" x14ac:dyDescent="0.3">
      <c r="A522" s="219"/>
    </row>
    <row r="523" spans="1:1" ht="15.6" x14ac:dyDescent="0.3">
      <c r="A523" s="219"/>
    </row>
    <row r="524" spans="1:1" ht="15.6" x14ac:dyDescent="0.3">
      <c r="A524" s="219"/>
    </row>
    <row r="525" spans="1:1" ht="15.6" x14ac:dyDescent="0.3">
      <c r="A525" s="219"/>
    </row>
    <row r="526" spans="1:1" ht="15.6" x14ac:dyDescent="0.3">
      <c r="A526" s="219"/>
    </row>
    <row r="527" spans="1:1" ht="15.6" x14ac:dyDescent="0.3">
      <c r="A527" s="219"/>
    </row>
    <row r="528" spans="1:1" ht="15.6" x14ac:dyDescent="0.3">
      <c r="A528" s="219"/>
    </row>
    <row r="529" spans="1:1" ht="15.6" x14ac:dyDescent="0.3">
      <c r="A529" s="219"/>
    </row>
    <row r="530" spans="1:1" ht="15.6" x14ac:dyDescent="0.3">
      <c r="A530" s="219"/>
    </row>
    <row r="531" spans="1:1" ht="15.6" x14ac:dyDescent="0.3">
      <c r="A531" s="219"/>
    </row>
    <row r="532" spans="1:1" ht="15.6" x14ac:dyDescent="0.3">
      <c r="A532" s="219"/>
    </row>
    <row r="533" spans="1:1" ht="15.6" x14ac:dyDescent="0.3">
      <c r="A533" s="219"/>
    </row>
    <row r="534" spans="1:1" ht="15.6" x14ac:dyDescent="0.3">
      <c r="A534" s="219"/>
    </row>
    <row r="535" spans="1:1" ht="15.6" x14ac:dyDescent="0.3">
      <c r="A535" s="219"/>
    </row>
    <row r="536" spans="1:1" ht="15.6" x14ac:dyDescent="0.3">
      <c r="A536" s="219"/>
    </row>
    <row r="537" spans="1:1" ht="15.6" x14ac:dyDescent="0.3">
      <c r="A537" s="219"/>
    </row>
    <row r="538" spans="1:1" ht="15.6" x14ac:dyDescent="0.3">
      <c r="A538" s="219"/>
    </row>
    <row r="539" spans="1:1" ht="15.6" x14ac:dyDescent="0.3">
      <c r="A539" s="219"/>
    </row>
    <row r="540" spans="1:1" ht="15.6" x14ac:dyDescent="0.3">
      <c r="A540" s="219"/>
    </row>
    <row r="541" spans="1:1" ht="15.6" x14ac:dyDescent="0.3">
      <c r="A541" s="219"/>
    </row>
    <row r="542" spans="1:1" ht="15.6" x14ac:dyDescent="0.3">
      <c r="A542" s="219"/>
    </row>
    <row r="543" spans="1:1" ht="15.6" x14ac:dyDescent="0.3">
      <c r="A543" s="219"/>
    </row>
    <row r="544" spans="1:1" ht="15.6" x14ac:dyDescent="0.3">
      <c r="A544" s="219"/>
    </row>
    <row r="545" spans="1:1" ht="15.6" x14ac:dyDescent="0.3">
      <c r="A545" s="219"/>
    </row>
    <row r="546" spans="1:1" ht="15.6" x14ac:dyDescent="0.3">
      <c r="A546" s="219"/>
    </row>
    <row r="547" spans="1:1" ht="15.6" x14ac:dyDescent="0.3">
      <c r="A547" s="219"/>
    </row>
    <row r="548" spans="1:1" ht="15.6" x14ac:dyDescent="0.3">
      <c r="A548" s="219"/>
    </row>
    <row r="549" spans="1:1" ht="15.6" x14ac:dyDescent="0.3">
      <c r="A549" s="219"/>
    </row>
    <row r="550" spans="1:1" ht="15.6" x14ac:dyDescent="0.3">
      <c r="A550" s="219"/>
    </row>
    <row r="551" spans="1:1" ht="15.6" x14ac:dyDescent="0.3">
      <c r="A551" s="219"/>
    </row>
    <row r="552" spans="1:1" ht="15.6" x14ac:dyDescent="0.3">
      <c r="A552" s="219"/>
    </row>
    <row r="553" spans="1:1" ht="15.6" x14ac:dyDescent="0.3">
      <c r="A553" s="219"/>
    </row>
    <row r="554" spans="1:1" ht="15.6" x14ac:dyDescent="0.3">
      <c r="A554" s="219"/>
    </row>
    <row r="555" spans="1:1" ht="15.6" x14ac:dyDescent="0.3">
      <c r="A555" s="219"/>
    </row>
    <row r="556" spans="1:1" ht="15.6" x14ac:dyDescent="0.3">
      <c r="A556" s="219"/>
    </row>
    <row r="557" spans="1:1" ht="15.6" x14ac:dyDescent="0.3">
      <c r="A557" s="219"/>
    </row>
    <row r="558" spans="1:1" ht="15.6" x14ac:dyDescent="0.3">
      <c r="A558" s="219"/>
    </row>
    <row r="559" spans="1:1" ht="15.6" x14ac:dyDescent="0.3">
      <c r="A559" s="219"/>
    </row>
    <row r="560" spans="1:1" ht="15.6" x14ac:dyDescent="0.3">
      <c r="A560" s="219"/>
    </row>
    <row r="561" spans="1:1" ht="15.6" x14ac:dyDescent="0.3">
      <c r="A561" s="219"/>
    </row>
    <row r="562" spans="1:1" ht="15.6" x14ac:dyDescent="0.3">
      <c r="A562" s="219"/>
    </row>
    <row r="563" spans="1:1" ht="15.6" x14ac:dyDescent="0.3">
      <c r="A563" s="219"/>
    </row>
    <row r="564" spans="1:1" ht="15.6" x14ac:dyDescent="0.3">
      <c r="A564" s="219"/>
    </row>
    <row r="565" spans="1:1" ht="15.6" x14ac:dyDescent="0.3">
      <c r="A565" s="219"/>
    </row>
    <row r="566" spans="1:1" ht="15.6" x14ac:dyDescent="0.3">
      <c r="A566" s="219"/>
    </row>
    <row r="567" spans="1:1" ht="15.6" x14ac:dyDescent="0.3">
      <c r="A567" s="219"/>
    </row>
    <row r="568" spans="1:1" ht="15.6" x14ac:dyDescent="0.3">
      <c r="A568" s="219"/>
    </row>
    <row r="569" spans="1:1" ht="15.6" x14ac:dyDescent="0.3">
      <c r="A569" s="219"/>
    </row>
    <row r="570" spans="1:1" ht="15.6" x14ac:dyDescent="0.3">
      <c r="A570" s="219"/>
    </row>
    <row r="571" spans="1:1" ht="15.6" x14ac:dyDescent="0.3">
      <c r="A571" s="219"/>
    </row>
    <row r="572" spans="1:1" ht="15.6" x14ac:dyDescent="0.3">
      <c r="A572" s="219"/>
    </row>
    <row r="573" spans="1:1" ht="15.6" x14ac:dyDescent="0.3">
      <c r="A573" s="219"/>
    </row>
    <row r="574" spans="1:1" ht="15.6" x14ac:dyDescent="0.3">
      <c r="A574" s="219"/>
    </row>
    <row r="575" spans="1:1" ht="15.6" x14ac:dyDescent="0.3">
      <c r="A575" s="219"/>
    </row>
    <row r="576" spans="1:1" ht="15.6" x14ac:dyDescent="0.3">
      <c r="A576" s="219"/>
    </row>
    <row r="577" spans="1:1" ht="15.6" x14ac:dyDescent="0.3">
      <c r="A577" s="219"/>
    </row>
    <row r="578" spans="1:1" ht="15.6" x14ac:dyDescent="0.3">
      <c r="A578" s="219"/>
    </row>
    <row r="579" spans="1:1" ht="15.6" x14ac:dyDescent="0.3">
      <c r="A579" s="219"/>
    </row>
    <row r="580" spans="1:1" ht="15.6" x14ac:dyDescent="0.3">
      <c r="A580" s="219"/>
    </row>
    <row r="581" spans="1:1" ht="15.6" x14ac:dyDescent="0.3">
      <c r="A581" s="219"/>
    </row>
    <row r="582" spans="1:1" ht="15.6" x14ac:dyDescent="0.3">
      <c r="A582" s="219"/>
    </row>
    <row r="583" spans="1:1" ht="15.6" x14ac:dyDescent="0.3">
      <c r="A583" s="219"/>
    </row>
    <row r="584" spans="1:1" ht="15.6" x14ac:dyDescent="0.3">
      <c r="A584" s="219"/>
    </row>
    <row r="585" spans="1:1" ht="15.6" x14ac:dyDescent="0.3">
      <c r="A585" s="219"/>
    </row>
    <row r="586" spans="1:1" ht="15.6" x14ac:dyDescent="0.3">
      <c r="A586" s="219"/>
    </row>
    <row r="587" spans="1:1" ht="15.6" x14ac:dyDescent="0.3">
      <c r="A587" s="219"/>
    </row>
    <row r="588" spans="1:1" ht="15.6" x14ac:dyDescent="0.3">
      <c r="A588" s="219"/>
    </row>
    <row r="589" spans="1:1" ht="15.6" x14ac:dyDescent="0.3">
      <c r="A589" s="219"/>
    </row>
    <row r="590" spans="1:1" ht="15.6" x14ac:dyDescent="0.3">
      <c r="A590" s="219"/>
    </row>
    <row r="591" spans="1:1" ht="15.6" x14ac:dyDescent="0.3">
      <c r="A591" s="219"/>
    </row>
    <row r="592" spans="1:1" ht="15.6" x14ac:dyDescent="0.3">
      <c r="A592" s="219"/>
    </row>
    <row r="593" spans="1:1" ht="15.6" x14ac:dyDescent="0.3">
      <c r="A593" s="219"/>
    </row>
    <row r="594" spans="1:1" ht="15.6" x14ac:dyDescent="0.3">
      <c r="A594" s="219"/>
    </row>
    <row r="595" spans="1:1" ht="15.6" x14ac:dyDescent="0.3">
      <c r="A595" s="219"/>
    </row>
    <row r="596" spans="1:1" ht="15.6" x14ac:dyDescent="0.3">
      <c r="A596" s="219"/>
    </row>
    <row r="597" spans="1:1" ht="15.6" x14ac:dyDescent="0.3">
      <c r="A597" s="219"/>
    </row>
    <row r="598" spans="1:1" ht="15.6" x14ac:dyDescent="0.3">
      <c r="A598" s="219"/>
    </row>
    <row r="599" spans="1:1" ht="15.6" x14ac:dyDescent="0.3">
      <c r="A599" s="219"/>
    </row>
    <row r="600" spans="1:1" ht="15.6" x14ac:dyDescent="0.3">
      <c r="A600" s="219"/>
    </row>
    <row r="601" spans="1:1" ht="15.6" x14ac:dyDescent="0.3">
      <c r="A601" s="219"/>
    </row>
    <row r="602" spans="1:1" ht="15.6" x14ac:dyDescent="0.3">
      <c r="A602" s="219"/>
    </row>
    <row r="603" spans="1:1" ht="15.6" x14ac:dyDescent="0.3">
      <c r="A603" s="219"/>
    </row>
    <row r="604" spans="1:1" ht="15.6" x14ac:dyDescent="0.3">
      <c r="A604" s="219"/>
    </row>
    <row r="605" spans="1:1" ht="15.6" x14ac:dyDescent="0.3">
      <c r="A605" s="219"/>
    </row>
    <row r="606" spans="1:1" ht="15.6" x14ac:dyDescent="0.3">
      <c r="A606" s="219"/>
    </row>
    <row r="607" spans="1:1" ht="15.6" x14ac:dyDescent="0.3">
      <c r="A607" s="219"/>
    </row>
    <row r="608" spans="1:1" ht="15.6" x14ac:dyDescent="0.3">
      <c r="A608" s="219"/>
    </row>
    <row r="609" spans="1:1" ht="15.6" x14ac:dyDescent="0.3">
      <c r="A609" s="219"/>
    </row>
    <row r="610" spans="1:1" ht="15.6" x14ac:dyDescent="0.3">
      <c r="A610" s="219"/>
    </row>
    <row r="611" spans="1:1" ht="15.6" x14ac:dyDescent="0.3">
      <c r="A611" s="219"/>
    </row>
    <row r="612" spans="1:1" ht="15.6" x14ac:dyDescent="0.3">
      <c r="A612" s="219"/>
    </row>
    <row r="613" spans="1:1" ht="15.6" x14ac:dyDescent="0.3">
      <c r="A613" s="219"/>
    </row>
    <row r="614" spans="1:1" ht="15.6" x14ac:dyDescent="0.3">
      <c r="A614" s="219"/>
    </row>
    <row r="615" spans="1:1" ht="15.6" x14ac:dyDescent="0.3">
      <c r="A615" s="219"/>
    </row>
    <row r="616" spans="1:1" ht="15.6" x14ac:dyDescent="0.3">
      <c r="A616" s="219"/>
    </row>
    <row r="617" spans="1:1" ht="15.6" x14ac:dyDescent="0.3">
      <c r="A617" s="219"/>
    </row>
    <row r="618" spans="1:1" ht="15.6" x14ac:dyDescent="0.3">
      <c r="A618" s="219"/>
    </row>
    <row r="619" spans="1:1" ht="15.6" x14ac:dyDescent="0.3">
      <c r="A619" s="219"/>
    </row>
    <row r="620" spans="1:1" ht="15.6" x14ac:dyDescent="0.3">
      <c r="A620" s="219"/>
    </row>
    <row r="621" spans="1:1" ht="15.6" x14ac:dyDescent="0.3">
      <c r="A621" s="219"/>
    </row>
    <row r="622" spans="1:1" ht="15.6" x14ac:dyDescent="0.3">
      <c r="A622" s="219"/>
    </row>
    <row r="623" spans="1:1" ht="15.6" x14ac:dyDescent="0.3">
      <c r="A623" s="219"/>
    </row>
    <row r="624" spans="1:1" ht="15.6" x14ac:dyDescent="0.3">
      <c r="A624" s="219"/>
    </row>
    <row r="625" spans="1:1" ht="15.6" x14ac:dyDescent="0.3">
      <c r="A625" s="219"/>
    </row>
    <row r="626" spans="1:1" ht="15.6" x14ac:dyDescent="0.3">
      <c r="A626" s="219"/>
    </row>
    <row r="627" spans="1:1" ht="15.6" x14ac:dyDescent="0.3">
      <c r="A627" s="219"/>
    </row>
    <row r="628" spans="1:1" ht="15.6" x14ac:dyDescent="0.3">
      <c r="A628" s="219"/>
    </row>
    <row r="629" spans="1:1" ht="15.6" x14ac:dyDescent="0.3">
      <c r="A629" s="219"/>
    </row>
    <row r="630" spans="1:1" ht="15.6" x14ac:dyDescent="0.3">
      <c r="A630" s="219"/>
    </row>
    <row r="631" spans="1:1" ht="15.6" x14ac:dyDescent="0.3">
      <c r="A631" s="219"/>
    </row>
    <row r="632" spans="1:1" ht="15.6" x14ac:dyDescent="0.3">
      <c r="A632" s="219"/>
    </row>
    <row r="633" spans="1:1" ht="15.6" x14ac:dyDescent="0.3">
      <c r="A633" s="219"/>
    </row>
    <row r="634" spans="1:1" ht="15.6" x14ac:dyDescent="0.3">
      <c r="A634" s="219"/>
    </row>
    <row r="635" spans="1:1" ht="15.6" x14ac:dyDescent="0.3">
      <c r="A635" s="219"/>
    </row>
    <row r="636" spans="1:1" ht="15.6" x14ac:dyDescent="0.3">
      <c r="A636" s="219"/>
    </row>
    <row r="637" spans="1:1" ht="15.6" x14ac:dyDescent="0.3">
      <c r="A637" s="219"/>
    </row>
    <row r="638" spans="1:1" ht="15.6" x14ac:dyDescent="0.3">
      <c r="A638" s="219"/>
    </row>
    <row r="639" spans="1:1" ht="15.6" x14ac:dyDescent="0.3">
      <c r="A639" s="219"/>
    </row>
    <row r="640" spans="1:1" ht="15.6" x14ac:dyDescent="0.3">
      <c r="A640" s="219"/>
    </row>
    <row r="641" spans="1:1" ht="15.6" x14ac:dyDescent="0.3">
      <c r="A641" s="219"/>
    </row>
    <row r="642" spans="1:1" ht="15.6" x14ac:dyDescent="0.3">
      <c r="A642" s="219"/>
    </row>
    <row r="643" spans="1:1" ht="15.6" x14ac:dyDescent="0.3">
      <c r="A643" s="219"/>
    </row>
    <row r="644" spans="1:1" ht="15.6" x14ac:dyDescent="0.3">
      <c r="A644" s="219"/>
    </row>
    <row r="645" spans="1:1" ht="15.6" x14ac:dyDescent="0.3">
      <c r="A645" s="219"/>
    </row>
    <row r="646" spans="1:1" ht="15.6" x14ac:dyDescent="0.3">
      <c r="A646" s="219"/>
    </row>
    <row r="647" spans="1:1" ht="15.6" x14ac:dyDescent="0.3">
      <c r="A647" s="219"/>
    </row>
    <row r="648" spans="1:1" ht="15.6" x14ac:dyDescent="0.3">
      <c r="A648" s="219"/>
    </row>
    <row r="649" spans="1:1" ht="15.6" x14ac:dyDescent="0.3">
      <c r="A649" s="219"/>
    </row>
    <row r="650" spans="1:1" ht="15.6" x14ac:dyDescent="0.3">
      <c r="A650" s="219"/>
    </row>
    <row r="651" spans="1:1" ht="15.6" x14ac:dyDescent="0.3">
      <c r="A651" s="219"/>
    </row>
    <row r="652" spans="1:1" ht="15.6" x14ac:dyDescent="0.3">
      <c r="A652" s="219"/>
    </row>
    <row r="653" spans="1:1" ht="15.6" x14ac:dyDescent="0.3">
      <c r="A653" s="219"/>
    </row>
    <row r="654" spans="1:1" ht="15.6" x14ac:dyDescent="0.3">
      <c r="A654" s="219"/>
    </row>
    <row r="655" spans="1:1" ht="15.6" x14ac:dyDescent="0.3">
      <c r="A655" s="219"/>
    </row>
    <row r="656" spans="1:1" ht="15.6" x14ac:dyDescent="0.3">
      <c r="A656" s="219"/>
    </row>
    <row r="657" spans="1:1" ht="15.6" x14ac:dyDescent="0.3">
      <c r="A657" s="219"/>
    </row>
    <row r="658" spans="1:1" ht="15.6" x14ac:dyDescent="0.3">
      <c r="A658" s="219"/>
    </row>
    <row r="659" spans="1:1" ht="15.6" x14ac:dyDescent="0.3">
      <c r="A659" s="219"/>
    </row>
    <row r="660" spans="1:1" ht="15.6" x14ac:dyDescent="0.3">
      <c r="A660" s="219"/>
    </row>
    <row r="661" spans="1:1" ht="15.6" x14ac:dyDescent="0.3">
      <c r="A661" s="219"/>
    </row>
    <row r="662" spans="1:1" ht="15.6" x14ac:dyDescent="0.3">
      <c r="A662" s="219"/>
    </row>
    <row r="663" spans="1:1" ht="15.6" x14ac:dyDescent="0.3">
      <c r="A663" s="219"/>
    </row>
    <row r="664" spans="1:1" ht="15.6" x14ac:dyDescent="0.3">
      <c r="A664" s="219"/>
    </row>
    <row r="665" spans="1:1" ht="15.6" x14ac:dyDescent="0.3">
      <c r="A665" s="219"/>
    </row>
    <row r="666" spans="1:1" ht="15.6" x14ac:dyDescent="0.3">
      <c r="A666" s="219"/>
    </row>
    <row r="667" spans="1:1" ht="15.6" x14ac:dyDescent="0.3">
      <c r="A667" s="219"/>
    </row>
    <row r="668" spans="1:1" ht="15.6" x14ac:dyDescent="0.3">
      <c r="A668" s="219"/>
    </row>
    <row r="669" spans="1:1" ht="15.6" x14ac:dyDescent="0.3">
      <c r="A669" s="219"/>
    </row>
    <row r="670" spans="1:1" ht="15.6" x14ac:dyDescent="0.3">
      <c r="A670" s="219"/>
    </row>
    <row r="671" spans="1:1" ht="15.6" x14ac:dyDescent="0.3">
      <c r="A671" s="219"/>
    </row>
    <row r="672" spans="1:1" ht="15.6" x14ac:dyDescent="0.3">
      <c r="A672" s="219"/>
    </row>
    <row r="673" spans="1:1" ht="15.6" x14ac:dyDescent="0.3">
      <c r="A673" s="219"/>
    </row>
    <row r="674" spans="1:1" ht="15.6" x14ac:dyDescent="0.3">
      <c r="A674" s="219"/>
    </row>
    <row r="675" spans="1:1" ht="15.6" x14ac:dyDescent="0.3">
      <c r="A675" s="219"/>
    </row>
    <row r="676" spans="1:1" ht="15.6" x14ac:dyDescent="0.3">
      <c r="A676" s="219"/>
    </row>
    <row r="677" spans="1:1" ht="15.6" x14ac:dyDescent="0.3">
      <c r="A677" s="219"/>
    </row>
    <row r="678" spans="1:1" ht="15.6" x14ac:dyDescent="0.3">
      <c r="A678" s="219"/>
    </row>
    <row r="679" spans="1:1" ht="15.6" x14ac:dyDescent="0.3">
      <c r="A679" s="219"/>
    </row>
    <row r="680" spans="1:1" ht="15.6" x14ac:dyDescent="0.3">
      <c r="A680" s="219"/>
    </row>
    <row r="681" spans="1:1" ht="15.6" x14ac:dyDescent="0.3">
      <c r="A681" s="219"/>
    </row>
    <row r="682" spans="1:1" ht="15.6" x14ac:dyDescent="0.3">
      <c r="A682" s="219"/>
    </row>
    <row r="683" spans="1:1" ht="15.6" x14ac:dyDescent="0.3">
      <c r="A683" s="219"/>
    </row>
    <row r="684" spans="1:1" ht="15.6" x14ac:dyDescent="0.3">
      <c r="A684" s="219"/>
    </row>
    <row r="685" spans="1:1" ht="15.6" x14ac:dyDescent="0.3">
      <c r="A685" s="219"/>
    </row>
    <row r="686" spans="1:1" ht="15.6" x14ac:dyDescent="0.3">
      <c r="A686" s="219"/>
    </row>
    <row r="687" spans="1:1" ht="15.6" x14ac:dyDescent="0.3">
      <c r="A687" s="219"/>
    </row>
    <row r="688" spans="1:1" ht="15.6" x14ac:dyDescent="0.3">
      <c r="A688" s="219"/>
    </row>
    <row r="689" spans="1:1" ht="15.6" x14ac:dyDescent="0.3">
      <c r="A689" s="219"/>
    </row>
    <row r="690" spans="1:1" ht="15.6" x14ac:dyDescent="0.3">
      <c r="A690" s="219"/>
    </row>
    <row r="691" spans="1:1" ht="15.6" x14ac:dyDescent="0.3">
      <c r="A691" s="219"/>
    </row>
    <row r="692" spans="1:1" ht="15.6" x14ac:dyDescent="0.3">
      <c r="A692" s="219"/>
    </row>
    <row r="693" spans="1:1" ht="15.6" x14ac:dyDescent="0.3">
      <c r="A693" s="219"/>
    </row>
    <row r="694" spans="1:1" ht="15.6" x14ac:dyDescent="0.3">
      <c r="A694" s="219"/>
    </row>
    <row r="695" spans="1:1" ht="15.6" x14ac:dyDescent="0.3">
      <c r="A695" s="219"/>
    </row>
    <row r="696" spans="1:1" ht="15.6" x14ac:dyDescent="0.3">
      <c r="A696" s="219"/>
    </row>
    <row r="697" spans="1:1" ht="15.6" x14ac:dyDescent="0.3">
      <c r="A697" s="219"/>
    </row>
    <row r="698" spans="1:1" ht="15.6" x14ac:dyDescent="0.3">
      <c r="A698" s="219"/>
    </row>
    <row r="699" spans="1:1" ht="15.6" x14ac:dyDescent="0.3">
      <c r="A699" s="219"/>
    </row>
    <row r="700" spans="1:1" ht="15.6" x14ac:dyDescent="0.3">
      <c r="A700" s="219"/>
    </row>
    <row r="701" spans="1:1" ht="15.6" x14ac:dyDescent="0.3">
      <c r="A701" s="219"/>
    </row>
    <row r="702" spans="1:1" ht="15.6" x14ac:dyDescent="0.3">
      <c r="A702" s="219"/>
    </row>
    <row r="703" spans="1:1" ht="15.6" x14ac:dyDescent="0.3">
      <c r="A703" s="219"/>
    </row>
    <row r="704" spans="1:1" ht="15.6" x14ac:dyDescent="0.3">
      <c r="A704" s="219"/>
    </row>
    <row r="705" spans="1:1" ht="15.6" x14ac:dyDescent="0.3">
      <c r="A705" s="219"/>
    </row>
    <row r="706" spans="1:1" ht="15.6" x14ac:dyDescent="0.3">
      <c r="A706" s="219"/>
    </row>
    <row r="707" spans="1:1" ht="15.6" x14ac:dyDescent="0.3">
      <c r="A707" s="219"/>
    </row>
    <row r="708" spans="1:1" ht="15.6" x14ac:dyDescent="0.3">
      <c r="A708" s="219"/>
    </row>
    <row r="709" spans="1:1" ht="15.6" x14ac:dyDescent="0.3">
      <c r="A709" s="219"/>
    </row>
    <row r="710" spans="1:1" ht="15.6" x14ac:dyDescent="0.3">
      <c r="A710" s="219"/>
    </row>
    <row r="711" spans="1:1" ht="15.6" x14ac:dyDescent="0.3">
      <c r="A711" s="219"/>
    </row>
    <row r="712" spans="1:1" ht="15.6" x14ac:dyDescent="0.3">
      <c r="A712" s="219"/>
    </row>
    <row r="713" spans="1:1" ht="15.6" x14ac:dyDescent="0.3">
      <c r="A713" s="219"/>
    </row>
    <row r="714" spans="1:1" ht="15.6" x14ac:dyDescent="0.3">
      <c r="A714" s="219"/>
    </row>
    <row r="715" spans="1:1" ht="15.6" x14ac:dyDescent="0.3">
      <c r="A715" s="219"/>
    </row>
    <row r="716" spans="1:1" ht="15.6" x14ac:dyDescent="0.3">
      <c r="A716" s="219"/>
    </row>
    <row r="717" spans="1:1" ht="15.6" x14ac:dyDescent="0.3">
      <c r="A717" s="219"/>
    </row>
    <row r="718" spans="1:1" ht="15.6" x14ac:dyDescent="0.3">
      <c r="A718" s="219"/>
    </row>
    <row r="719" spans="1:1" ht="15.6" x14ac:dyDescent="0.3">
      <c r="A719" s="219"/>
    </row>
    <row r="720" spans="1:1" ht="15.6" x14ac:dyDescent="0.3">
      <c r="A720" s="219"/>
    </row>
    <row r="721" spans="1:1" ht="15.6" x14ac:dyDescent="0.3">
      <c r="A721" s="219"/>
    </row>
    <row r="722" spans="1:1" ht="15.6" x14ac:dyDescent="0.3">
      <c r="A722" s="219"/>
    </row>
    <row r="723" spans="1:1" ht="15.6" x14ac:dyDescent="0.3">
      <c r="A723" s="219"/>
    </row>
    <row r="724" spans="1:1" ht="15.6" x14ac:dyDescent="0.3">
      <c r="A724" s="219"/>
    </row>
    <row r="725" spans="1:1" ht="15.6" x14ac:dyDescent="0.3">
      <c r="A725" s="219"/>
    </row>
    <row r="726" spans="1:1" ht="15.6" x14ac:dyDescent="0.3">
      <c r="A726" s="219"/>
    </row>
    <row r="727" spans="1:1" ht="15.6" x14ac:dyDescent="0.3">
      <c r="A727" s="219"/>
    </row>
    <row r="728" spans="1:1" ht="15.6" x14ac:dyDescent="0.3">
      <c r="A728" s="219"/>
    </row>
    <row r="729" spans="1:1" ht="15.6" x14ac:dyDescent="0.3">
      <c r="A729" s="219"/>
    </row>
    <row r="730" spans="1:1" ht="15.6" x14ac:dyDescent="0.3">
      <c r="A730" s="219"/>
    </row>
    <row r="731" spans="1:1" ht="15.6" x14ac:dyDescent="0.3">
      <c r="A731" s="219"/>
    </row>
    <row r="732" spans="1:1" ht="15.6" x14ac:dyDescent="0.3">
      <c r="A732" s="219"/>
    </row>
    <row r="733" spans="1:1" ht="15.6" x14ac:dyDescent="0.3">
      <c r="A733" s="219"/>
    </row>
    <row r="734" spans="1:1" ht="15.6" x14ac:dyDescent="0.3">
      <c r="A734" s="219"/>
    </row>
    <row r="735" spans="1:1" ht="15.6" x14ac:dyDescent="0.3">
      <c r="A735" s="219"/>
    </row>
    <row r="736" spans="1:1" ht="15.6" x14ac:dyDescent="0.3">
      <c r="A736" s="219"/>
    </row>
    <row r="737" spans="1:1" ht="15.6" x14ac:dyDescent="0.3">
      <c r="A737" s="219"/>
    </row>
    <row r="738" spans="1:1" ht="15.6" x14ac:dyDescent="0.3">
      <c r="A738" s="219"/>
    </row>
    <row r="739" spans="1:1" ht="15.6" x14ac:dyDescent="0.3">
      <c r="A739" s="219"/>
    </row>
    <row r="740" spans="1:1" ht="15.6" x14ac:dyDescent="0.3">
      <c r="A740" s="219"/>
    </row>
    <row r="741" spans="1:1" ht="15.6" x14ac:dyDescent="0.3">
      <c r="A741" s="219"/>
    </row>
    <row r="742" spans="1:1" ht="15.6" x14ac:dyDescent="0.3">
      <c r="A742" s="219"/>
    </row>
    <row r="743" spans="1:1" ht="15.6" x14ac:dyDescent="0.3">
      <c r="A743" s="219"/>
    </row>
    <row r="744" spans="1:1" ht="15.6" x14ac:dyDescent="0.3">
      <c r="A744" s="219"/>
    </row>
    <row r="745" spans="1:1" ht="15.6" x14ac:dyDescent="0.3">
      <c r="A745" s="219"/>
    </row>
    <row r="746" spans="1:1" ht="15.6" x14ac:dyDescent="0.3">
      <c r="A746" s="219"/>
    </row>
    <row r="747" spans="1:1" ht="15.6" x14ac:dyDescent="0.3">
      <c r="A747" s="219"/>
    </row>
    <row r="748" spans="1:1" ht="15.6" x14ac:dyDescent="0.3">
      <c r="A748" s="219"/>
    </row>
    <row r="749" spans="1:1" ht="15.6" x14ac:dyDescent="0.3">
      <c r="A749" s="219"/>
    </row>
    <row r="750" spans="1:1" ht="15.6" x14ac:dyDescent="0.3">
      <c r="A750" s="219"/>
    </row>
    <row r="751" spans="1:1" ht="15.6" x14ac:dyDescent="0.3">
      <c r="A751" s="219"/>
    </row>
    <row r="752" spans="1:1" ht="15.6" x14ac:dyDescent="0.3">
      <c r="A752" s="219"/>
    </row>
    <row r="753" spans="1:1" ht="15.6" x14ac:dyDescent="0.3">
      <c r="A753" s="219"/>
    </row>
    <row r="754" spans="1:1" ht="15.6" x14ac:dyDescent="0.3">
      <c r="A754" s="219"/>
    </row>
    <row r="755" spans="1:1" ht="15.6" x14ac:dyDescent="0.3">
      <c r="A755" s="219"/>
    </row>
    <row r="756" spans="1:1" ht="15.6" x14ac:dyDescent="0.3">
      <c r="A756" s="219"/>
    </row>
    <row r="757" spans="1:1" ht="15.6" x14ac:dyDescent="0.3">
      <c r="A757" s="219"/>
    </row>
    <row r="758" spans="1:1" ht="15.6" x14ac:dyDescent="0.3">
      <c r="A758" s="219"/>
    </row>
    <row r="759" spans="1:1" ht="15.6" x14ac:dyDescent="0.3">
      <c r="A759" s="219"/>
    </row>
    <row r="760" spans="1:1" ht="15.6" x14ac:dyDescent="0.3">
      <c r="A760" s="219"/>
    </row>
    <row r="761" spans="1:1" ht="15.6" x14ac:dyDescent="0.3">
      <c r="A761" s="219"/>
    </row>
    <row r="762" spans="1:1" ht="15.6" x14ac:dyDescent="0.3">
      <c r="A762" s="219"/>
    </row>
    <row r="763" spans="1:1" ht="15.6" x14ac:dyDescent="0.3">
      <c r="A763" s="219"/>
    </row>
    <row r="764" spans="1:1" ht="15.6" x14ac:dyDescent="0.3">
      <c r="A764" s="219"/>
    </row>
    <row r="765" spans="1:1" ht="15.6" x14ac:dyDescent="0.3">
      <c r="A765" s="219"/>
    </row>
    <row r="766" spans="1:1" ht="15.6" x14ac:dyDescent="0.3">
      <c r="A766" s="219"/>
    </row>
    <row r="767" spans="1:1" ht="15.6" x14ac:dyDescent="0.3">
      <c r="A767" s="219"/>
    </row>
    <row r="768" spans="1:1" ht="15.6" x14ac:dyDescent="0.3">
      <c r="A768" s="219"/>
    </row>
    <row r="769" spans="1:1" ht="15.6" x14ac:dyDescent="0.3">
      <c r="A769" s="219"/>
    </row>
    <row r="770" spans="1:1" ht="15.6" x14ac:dyDescent="0.3">
      <c r="A770" s="219"/>
    </row>
    <row r="771" spans="1:1" ht="15.6" x14ac:dyDescent="0.3">
      <c r="A771" s="219"/>
    </row>
    <row r="772" spans="1:1" ht="15.6" x14ac:dyDescent="0.3">
      <c r="A772" s="219"/>
    </row>
    <row r="773" spans="1:1" ht="15.6" x14ac:dyDescent="0.3">
      <c r="A773" s="219"/>
    </row>
    <row r="774" spans="1:1" ht="15.6" x14ac:dyDescent="0.3">
      <c r="A774" s="219"/>
    </row>
    <row r="775" spans="1:1" ht="15.6" x14ac:dyDescent="0.3">
      <c r="A775" s="219"/>
    </row>
    <row r="776" spans="1:1" ht="15.6" x14ac:dyDescent="0.3">
      <c r="A776" s="219"/>
    </row>
    <row r="777" spans="1:1" ht="15.6" x14ac:dyDescent="0.3">
      <c r="A777" s="219"/>
    </row>
    <row r="778" spans="1:1" ht="15.6" x14ac:dyDescent="0.3">
      <c r="A778" s="219"/>
    </row>
    <row r="779" spans="1:1" ht="15.6" x14ac:dyDescent="0.3">
      <c r="A779" s="219"/>
    </row>
    <row r="780" spans="1:1" ht="15.6" x14ac:dyDescent="0.3">
      <c r="A780" s="219"/>
    </row>
    <row r="781" spans="1:1" ht="15.6" x14ac:dyDescent="0.3">
      <c r="A781" s="219"/>
    </row>
    <row r="782" spans="1:1" ht="15.6" x14ac:dyDescent="0.3">
      <c r="A782" s="219"/>
    </row>
    <row r="783" spans="1:1" ht="15.6" x14ac:dyDescent="0.3">
      <c r="A783" s="219"/>
    </row>
    <row r="784" spans="1:1" ht="15.6" x14ac:dyDescent="0.3">
      <c r="A784" s="219"/>
    </row>
    <row r="785" spans="1:1" ht="15.6" x14ac:dyDescent="0.3">
      <c r="A785" s="219"/>
    </row>
    <row r="786" spans="1:1" ht="15.6" x14ac:dyDescent="0.3">
      <c r="A786" s="219"/>
    </row>
    <row r="787" spans="1:1" ht="15.6" x14ac:dyDescent="0.3">
      <c r="A787" s="219"/>
    </row>
    <row r="788" spans="1:1" ht="15.6" x14ac:dyDescent="0.3">
      <c r="A788" s="219"/>
    </row>
    <row r="789" spans="1:1" ht="15.6" x14ac:dyDescent="0.3">
      <c r="A789" s="219"/>
    </row>
    <row r="790" spans="1:1" ht="15.6" x14ac:dyDescent="0.3">
      <c r="A790" s="219"/>
    </row>
    <row r="791" spans="1:1" ht="15.6" x14ac:dyDescent="0.3">
      <c r="A791" s="219"/>
    </row>
    <row r="792" spans="1:1" ht="15.6" x14ac:dyDescent="0.3">
      <c r="A792" s="219"/>
    </row>
    <row r="793" spans="1:1" ht="15.6" x14ac:dyDescent="0.3">
      <c r="A793" s="219"/>
    </row>
    <row r="794" spans="1:1" ht="15.6" x14ac:dyDescent="0.3">
      <c r="A794" s="219"/>
    </row>
    <row r="795" spans="1:1" ht="15.6" x14ac:dyDescent="0.3">
      <c r="A795" s="219"/>
    </row>
    <row r="796" spans="1:1" ht="15.6" x14ac:dyDescent="0.3">
      <c r="A796" s="219"/>
    </row>
    <row r="797" spans="1:1" ht="15.6" x14ac:dyDescent="0.3">
      <c r="A797" s="219"/>
    </row>
    <row r="798" spans="1:1" ht="15.6" x14ac:dyDescent="0.3">
      <c r="A798" s="219"/>
    </row>
    <row r="799" spans="1:1" ht="15.6" x14ac:dyDescent="0.3">
      <c r="A799" s="219"/>
    </row>
    <row r="800" spans="1:1" ht="15.6" x14ac:dyDescent="0.3">
      <c r="A800" s="219"/>
    </row>
    <row r="801" spans="1:1" ht="15.6" x14ac:dyDescent="0.3">
      <c r="A801" s="219"/>
    </row>
    <row r="802" spans="1:1" ht="15.6" x14ac:dyDescent="0.3">
      <c r="A802" s="219"/>
    </row>
    <row r="803" spans="1:1" ht="15.6" x14ac:dyDescent="0.3">
      <c r="A803" s="219"/>
    </row>
    <row r="804" spans="1:1" ht="15.6" x14ac:dyDescent="0.3">
      <c r="A804" s="219"/>
    </row>
    <row r="805" spans="1:1" ht="15.6" x14ac:dyDescent="0.3">
      <c r="A805" s="219"/>
    </row>
    <row r="806" spans="1:1" ht="15.6" x14ac:dyDescent="0.3">
      <c r="A806" s="219"/>
    </row>
    <row r="807" spans="1:1" ht="15.6" x14ac:dyDescent="0.3">
      <c r="A807" s="219"/>
    </row>
    <row r="808" spans="1:1" ht="15.6" x14ac:dyDescent="0.3">
      <c r="A808" s="219"/>
    </row>
    <row r="809" spans="1:1" ht="15.6" x14ac:dyDescent="0.3">
      <c r="A809" s="219"/>
    </row>
    <row r="810" spans="1:1" ht="15.6" x14ac:dyDescent="0.3">
      <c r="A810" s="219"/>
    </row>
    <row r="811" spans="1:1" ht="15.6" x14ac:dyDescent="0.3">
      <c r="A811" s="219"/>
    </row>
    <row r="812" spans="1:1" ht="15.6" x14ac:dyDescent="0.3">
      <c r="A812" s="219"/>
    </row>
    <row r="813" spans="1:1" ht="15.6" x14ac:dyDescent="0.3">
      <c r="A813" s="219"/>
    </row>
    <row r="814" spans="1:1" ht="15.6" x14ac:dyDescent="0.3">
      <c r="A814" s="219"/>
    </row>
    <row r="815" spans="1:1" ht="15.6" x14ac:dyDescent="0.3">
      <c r="A815" s="219"/>
    </row>
    <row r="816" spans="1:1" ht="15.6" x14ac:dyDescent="0.3">
      <c r="A816" s="219"/>
    </row>
    <row r="817" spans="1:1" ht="15.6" x14ac:dyDescent="0.3">
      <c r="A817" s="219"/>
    </row>
    <row r="818" spans="1:1" ht="15.6" x14ac:dyDescent="0.3">
      <c r="A818" s="219"/>
    </row>
    <row r="819" spans="1:1" ht="15.6" x14ac:dyDescent="0.3">
      <c r="A819" s="219"/>
    </row>
    <row r="820" spans="1:1" ht="15.6" x14ac:dyDescent="0.3">
      <c r="A820" s="219"/>
    </row>
    <row r="821" spans="1:1" ht="15.6" x14ac:dyDescent="0.3">
      <c r="A821" s="219"/>
    </row>
    <row r="822" spans="1:1" ht="15.6" x14ac:dyDescent="0.3">
      <c r="A822" s="219"/>
    </row>
    <row r="823" spans="1:1" ht="15.6" x14ac:dyDescent="0.3">
      <c r="A823" s="219"/>
    </row>
    <row r="824" spans="1:1" ht="15.6" x14ac:dyDescent="0.3">
      <c r="A824" s="219"/>
    </row>
    <row r="825" spans="1:1" ht="15.6" x14ac:dyDescent="0.3">
      <c r="A825" s="219"/>
    </row>
    <row r="826" spans="1:1" ht="15.6" x14ac:dyDescent="0.3">
      <c r="A826" s="219"/>
    </row>
    <row r="827" spans="1:1" ht="15.6" x14ac:dyDescent="0.3">
      <c r="A827" s="219"/>
    </row>
    <row r="828" spans="1:1" ht="15.6" x14ac:dyDescent="0.3">
      <c r="A828" s="219"/>
    </row>
    <row r="829" spans="1:1" ht="15.6" x14ac:dyDescent="0.3">
      <c r="A829" s="219"/>
    </row>
    <row r="830" spans="1:1" ht="15.6" x14ac:dyDescent="0.3">
      <c r="A830" s="219"/>
    </row>
    <row r="831" spans="1:1" ht="15.6" x14ac:dyDescent="0.3">
      <c r="A831" s="219"/>
    </row>
    <row r="832" spans="1:1" ht="15.6" x14ac:dyDescent="0.3">
      <c r="A832" s="219"/>
    </row>
    <row r="833" spans="1:1" ht="15.6" x14ac:dyDescent="0.3">
      <c r="A833" s="219"/>
    </row>
    <row r="834" spans="1:1" ht="15.6" x14ac:dyDescent="0.3">
      <c r="A834" s="219"/>
    </row>
    <row r="835" spans="1:1" ht="15.6" x14ac:dyDescent="0.3">
      <c r="A835" s="219"/>
    </row>
    <row r="836" spans="1:1" ht="15.6" x14ac:dyDescent="0.3">
      <c r="A836" s="219"/>
    </row>
    <row r="837" spans="1:1" ht="15.6" x14ac:dyDescent="0.3">
      <c r="A837" s="219"/>
    </row>
    <row r="838" spans="1:1" ht="15.6" x14ac:dyDescent="0.3">
      <c r="A838" s="219"/>
    </row>
    <row r="839" spans="1:1" ht="15.6" x14ac:dyDescent="0.3">
      <c r="A839" s="219"/>
    </row>
    <row r="840" spans="1:1" ht="15.6" x14ac:dyDescent="0.3">
      <c r="A840" s="219"/>
    </row>
    <row r="841" spans="1:1" ht="15.6" x14ac:dyDescent="0.3">
      <c r="A841" s="219"/>
    </row>
    <row r="842" spans="1:1" ht="15.6" x14ac:dyDescent="0.3">
      <c r="A842" s="219"/>
    </row>
    <row r="843" spans="1:1" ht="15.6" x14ac:dyDescent="0.3">
      <c r="A843" s="219"/>
    </row>
    <row r="844" spans="1:1" ht="15.6" x14ac:dyDescent="0.3">
      <c r="A844" s="219"/>
    </row>
    <row r="845" spans="1:1" ht="15.6" x14ac:dyDescent="0.3">
      <c r="A845" s="219"/>
    </row>
    <row r="846" spans="1:1" ht="15.6" x14ac:dyDescent="0.3">
      <c r="A846" s="219"/>
    </row>
    <row r="847" spans="1:1" ht="15.6" x14ac:dyDescent="0.3">
      <c r="A847" s="219"/>
    </row>
    <row r="848" spans="1:1" ht="15.6" x14ac:dyDescent="0.3">
      <c r="A848" s="219"/>
    </row>
    <row r="849" spans="1:1" ht="15.6" x14ac:dyDescent="0.3">
      <c r="A849" s="219"/>
    </row>
    <row r="850" spans="1:1" ht="15.6" x14ac:dyDescent="0.3">
      <c r="A850" s="219"/>
    </row>
    <row r="851" spans="1:1" ht="15.6" x14ac:dyDescent="0.3">
      <c r="A851" s="219"/>
    </row>
    <row r="852" spans="1:1" ht="15.6" x14ac:dyDescent="0.3">
      <c r="A852" s="219"/>
    </row>
    <row r="853" spans="1:1" ht="15.6" x14ac:dyDescent="0.3">
      <c r="A853" s="219"/>
    </row>
    <row r="854" spans="1:1" ht="15.6" x14ac:dyDescent="0.3">
      <c r="A854" s="219"/>
    </row>
    <row r="855" spans="1:1" ht="15.6" x14ac:dyDescent="0.3">
      <c r="A855" s="219"/>
    </row>
    <row r="856" spans="1:1" ht="15.6" x14ac:dyDescent="0.3">
      <c r="A856" s="219"/>
    </row>
    <row r="857" spans="1:1" ht="15.6" x14ac:dyDescent="0.3">
      <c r="A857" s="219"/>
    </row>
    <row r="858" spans="1:1" ht="15.6" x14ac:dyDescent="0.3">
      <c r="A858" s="219"/>
    </row>
    <row r="859" spans="1:1" ht="15.6" x14ac:dyDescent="0.3">
      <c r="A859" s="219"/>
    </row>
    <row r="860" spans="1:1" ht="15.6" x14ac:dyDescent="0.3">
      <c r="A860" s="219"/>
    </row>
    <row r="861" spans="1:1" ht="15.6" x14ac:dyDescent="0.3">
      <c r="A861" s="219"/>
    </row>
    <row r="862" spans="1:1" ht="15.6" x14ac:dyDescent="0.3">
      <c r="A862" s="219"/>
    </row>
    <row r="863" spans="1:1" ht="15.6" x14ac:dyDescent="0.3">
      <c r="A863" s="219"/>
    </row>
    <row r="864" spans="1:1" ht="15.6" x14ac:dyDescent="0.3">
      <c r="A864" s="219"/>
    </row>
    <row r="865" spans="1:1" ht="15.6" x14ac:dyDescent="0.3">
      <c r="A865" s="219"/>
    </row>
    <row r="866" spans="1:1" ht="15.6" x14ac:dyDescent="0.3">
      <c r="A866" s="219"/>
    </row>
    <row r="867" spans="1:1" ht="15.6" x14ac:dyDescent="0.3">
      <c r="A867" s="219"/>
    </row>
    <row r="868" spans="1:1" ht="15.6" x14ac:dyDescent="0.3">
      <c r="A868" s="219"/>
    </row>
    <row r="869" spans="1:1" ht="15.6" x14ac:dyDescent="0.3">
      <c r="A869" s="219"/>
    </row>
    <row r="870" spans="1:1" ht="15.6" x14ac:dyDescent="0.3">
      <c r="A870" s="219"/>
    </row>
    <row r="871" spans="1:1" ht="15.6" x14ac:dyDescent="0.3">
      <c r="A871" s="219"/>
    </row>
    <row r="872" spans="1:1" ht="15.6" x14ac:dyDescent="0.3">
      <c r="A872" s="219"/>
    </row>
    <row r="873" spans="1:1" ht="15.6" x14ac:dyDescent="0.3">
      <c r="A873" s="219"/>
    </row>
    <row r="874" spans="1:1" ht="15.6" x14ac:dyDescent="0.3">
      <c r="A874" s="219"/>
    </row>
    <row r="875" spans="1:1" ht="15.6" x14ac:dyDescent="0.3">
      <c r="A875" s="219"/>
    </row>
    <row r="876" spans="1:1" ht="15.6" x14ac:dyDescent="0.3">
      <c r="A876" s="219"/>
    </row>
    <row r="877" spans="1:1" ht="15.6" x14ac:dyDescent="0.3">
      <c r="A877" s="219"/>
    </row>
    <row r="878" spans="1:1" ht="15.6" x14ac:dyDescent="0.3">
      <c r="A878" s="219"/>
    </row>
    <row r="879" spans="1:1" ht="15.6" x14ac:dyDescent="0.3">
      <c r="A879" s="219"/>
    </row>
    <row r="880" spans="1:1" ht="15.6" x14ac:dyDescent="0.3">
      <c r="A880" s="219"/>
    </row>
    <row r="881" spans="1:1" ht="15.6" x14ac:dyDescent="0.3">
      <c r="A881" s="219"/>
    </row>
    <row r="882" spans="1:1" ht="15.6" x14ac:dyDescent="0.3">
      <c r="A882" s="219"/>
    </row>
    <row r="883" spans="1:1" ht="15.6" x14ac:dyDescent="0.3">
      <c r="A883" s="219"/>
    </row>
    <row r="884" spans="1:1" ht="15.6" x14ac:dyDescent="0.3">
      <c r="A884" s="219"/>
    </row>
    <row r="885" spans="1:1" ht="15.6" x14ac:dyDescent="0.3">
      <c r="A885" s="219"/>
    </row>
    <row r="886" spans="1:1" ht="15.6" x14ac:dyDescent="0.3">
      <c r="A886" s="219"/>
    </row>
    <row r="887" spans="1:1" ht="15.6" x14ac:dyDescent="0.3">
      <c r="A887" s="219"/>
    </row>
    <row r="888" spans="1:1" ht="15.6" x14ac:dyDescent="0.3">
      <c r="A888" s="219"/>
    </row>
    <row r="889" spans="1:1" ht="15.6" x14ac:dyDescent="0.3">
      <c r="A889" s="219"/>
    </row>
    <row r="890" spans="1:1" ht="15.6" x14ac:dyDescent="0.3">
      <c r="A890" s="219"/>
    </row>
    <row r="891" spans="1:1" ht="15.6" x14ac:dyDescent="0.3">
      <c r="A891" s="219"/>
    </row>
    <row r="892" spans="1:1" ht="15.6" x14ac:dyDescent="0.3">
      <c r="A892" s="219"/>
    </row>
    <row r="893" spans="1:1" ht="15.6" x14ac:dyDescent="0.3">
      <c r="A893" s="219"/>
    </row>
    <row r="894" spans="1:1" ht="15.6" x14ac:dyDescent="0.3">
      <c r="A894" s="219"/>
    </row>
    <row r="895" spans="1:1" ht="15.6" x14ac:dyDescent="0.3">
      <c r="A895" s="219"/>
    </row>
    <row r="896" spans="1:1" ht="15.6" x14ac:dyDescent="0.3">
      <c r="A896" s="219"/>
    </row>
    <row r="897" spans="1:1" ht="15.6" x14ac:dyDescent="0.3">
      <c r="A897" s="219"/>
    </row>
    <row r="898" spans="1:1" ht="15.6" x14ac:dyDescent="0.3">
      <c r="A898" s="219"/>
    </row>
    <row r="899" spans="1:1" ht="15.6" x14ac:dyDescent="0.3">
      <c r="A899" s="219"/>
    </row>
    <row r="900" spans="1:1" ht="15.6" x14ac:dyDescent="0.3">
      <c r="A900" s="219"/>
    </row>
    <row r="901" spans="1:1" ht="15.6" x14ac:dyDescent="0.3">
      <c r="A901" s="219"/>
    </row>
    <row r="902" spans="1:1" ht="15.6" x14ac:dyDescent="0.3">
      <c r="A902" s="219"/>
    </row>
    <row r="903" spans="1:1" ht="15.6" x14ac:dyDescent="0.3">
      <c r="A903" s="219"/>
    </row>
    <row r="904" spans="1:1" ht="15.6" x14ac:dyDescent="0.3">
      <c r="A904" s="219"/>
    </row>
    <row r="905" spans="1:1" ht="15.6" x14ac:dyDescent="0.3">
      <c r="A905" s="219"/>
    </row>
    <row r="906" spans="1:1" ht="15.6" x14ac:dyDescent="0.3">
      <c r="A906" s="219"/>
    </row>
    <row r="907" spans="1:1" ht="15.6" x14ac:dyDescent="0.3">
      <c r="A907" s="219"/>
    </row>
    <row r="908" spans="1:1" ht="15.6" x14ac:dyDescent="0.3">
      <c r="A908" s="219"/>
    </row>
    <row r="909" spans="1:1" ht="15.6" x14ac:dyDescent="0.3">
      <c r="A909" s="219"/>
    </row>
    <row r="910" spans="1:1" ht="15.6" x14ac:dyDescent="0.3">
      <c r="A910" s="219"/>
    </row>
    <row r="911" spans="1:1" ht="15.6" x14ac:dyDescent="0.3">
      <c r="A911" s="219"/>
    </row>
    <row r="912" spans="1:1" ht="15.6" x14ac:dyDescent="0.3">
      <c r="A912" s="219"/>
    </row>
    <row r="913" spans="1:1" ht="15.6" x14ac:dyDescent="0.3">
      <c r="A913" s="219"/>
    </row>
    <row r="914" spans="1:1" ht="15.6" x14ac:dyDescent="0.3">
      <c r="A914" s="219"/>
    </row>
    <row r="915" spans="1:1" ht="15.6" x14ac:dyDescent="0.3">
      <c r="A915" s="219"/>
    </row>
    <row r="916" spans="1:1" ht="15.6" x14ac:dyDescent="0.3">
      <c r="A916" s="219"/>
    </row>
    <row r="917" spans="1:1" ht="15.6" x14ac:dyDescent="0.3">
      <c r="A917" s="219"/>
    </row>
    <row r="918" spans="1:1" ht="15.6" x14ac:dyDescent="0.3">
      <c r="A918" s="219"/>
    </row>
    <row r="919" spans="1:1" ht="15.6" x14ac:dyDescent="0.3">
      <c r="A919" s="219"/>
    </row>
    <row r="920" spans="1:1" ht="15.6" x14ac:dyDescent="0.3">
      <c r="A920" s="219"/>
    </row>
    <row r="921" spans="1:1" ht="15.6" x14ac:dyDescent="0.3">
      <c r="A921" s="219"/>
    </row>
    <row r="922" spans="1:1" ht="15.6" x14ac:dyDescent="0.3">
      <c r="A922" s="219"/>
    </row>
    <row r="923" spans="1:1" ht="15.6" x14ac:dyDescent="0.3">
      <c r="A923" s="219"/>
    </row>
    <row r="924" spans="1:1" ht="15.6" x14ac:dyDescent="0.3">
      <c r="A924" s="219"/>
    </row>
    <row r="925" spans="1:1" ht="15.6" x14ac:dyDescent="0.3">
      <c r="A925" s="219"/>
    </row>
    <row r="926" spans="1:1" ht="15.6" x14ac:dyDescent="0.3">
      <c r="A926" s="219"/>
    </row>
    <row r="927" spans="1:1" ht="15.6" x14ac:dyDescent="0.3">
      <c r="A927" s="219"/>
    </row>
    <row r="928" spans="1:1" ht="15.6" x14ac:dyDescent="0.3">
      <c r="A928" s="219"/>
    </row>
    <row r="929" spans="1:1" ht="15.6" x14ac:dyDescent="0.3">
      <c r="A929" s="219"/>
    </row>
    <row r="930" spans="1:1" ht="15.6" x14ac:dyDescent="0.3">
      <c r="A930" s="219"/>
    </row>
    <row r="931" spans="1:1" ht="15.6" x14ac:dyDescent="0.3">
      <c r="A931" s="219"/>
    </row>
    <row r="932" spans="1:1" ht="15.6" x14ac:dyDescent="0.3">
      <c r="A932" s="219"/>
    </row>
    <row r="933" spans="1:1" ht="15.6" x14ac:dyDescent="0.3">
      <c r="A933" s="219"/>
    </row>
    <row r="934" spans="1:1" ht="15.6" x14ac:dyDescent="0.3">
      <c r="A934" s="219"/>
    </row>
    <row r="935" spans="1:1" ht="15.6" x14ac:dyDescent="0.3">
      <c r="A935" s="219"/>
    </row>
    <row r="936" spans="1:1" ht="15.6" x14ac:dyDescent="0.3">
      <c r="A936" s="219"/>
    </row>
    <row r="937" spans="1:1" ht="15.6" x14ac:dyDescent="0.3">
      <c r="A937" s="219"/>
    </row>
    <row r="938" spans="1:1" ht="15.6" x14ac:dyDescent="0.3">
      <c r="A938" s="219"/>
    </row>
    <row r="939" spans="1:1" ht="15.6" x14ac:dyDescent="0.3">
      <c r="A939" s="219"/>
    </row>
    <row r="940" spans="1:1" ht="15.6" x14ac:dyDescent="0.3">
      <c r="A940" s="219"/>
    </row>
    <row r="941" spans="1:1" ht="15.6" x14ac:dyDescent="0.3">
      <c r="A941" s="219"/>
    </row>
    <row r="942" spans="1:1" ht="15.6" x14ac:dyDescent="0.3">
      <c r="A942" s="219"/>
    </row>
    <row r="943" spans="1:1" ht="15.6" x14ac:dyDescent="0.3">
      <c r="A943" s="219"/>
    </row>
    <row r="944" spans="1:1" ht="15.6" x14ac:dyDescent="0.3">
      <c r="A944" s="219"/>
    </row>
    <row r="945" spans="1:1" ht="15.6" x14ac:dyDescent="0.3">
      <c r="A945" s="219"/>
    </row>
    <row r="946" spans="1:1" ht="15.6" x14ac:dyDescent="0.3">
      <c r="A946" s="219"/>
    </row>
    <row r="947" spans="1:1" ht="15.6" x14ac:dyDescent="0.3">
      <c r="A947" s="219"/>
    </row>
    <row r="948" spans="1:1" ht="15.6" x14ac:dyDescent="0.3">
      <c r="A948" s="219"/>
    </row>
    <row r="949" spans="1:1" ht="15.6" x14ac:dyDescent="0.3">
      <c r="A949" s="219"/>
    </row>
    <row r="950" spans="1:1" ht="15.6" x14ac:dyDescent="0.3">
      <c r="A950" s="219"/>
    </row>
    <row r="951" spans="1:1" ht="15.6" x14ac:dyDescent="0.3">
      <c r="A951" s="219"/>
    </row>
    <row r="952" spans="1:1" ht="15.6" x14ac:dyDescent="0.3">
      <c r="A952" s="219"/>
    </row>
    <row r="953" spans="1:1" ht="15.6" x14ac:dyDescent="0.3">
      <c r="A953" s="219"/>
    </row>
    <row r="954" spans="1:1" ht="15.6" x14ac:dyDescent="0.3">
      <c r="A954" s="219"/>
    </row>
    <row r="955" spans="1:1" ht="15.6" x14ac:dyDescent="0.3">
      <c r="A955" s="219"/>
    </row>
    <row r="956" spans="1:1" ht="15.6" x14ac:dyDescent="0.3">
      <c r="A956" s="219"/>
    </row>
    <row r="957" spans="1:1" ht="15.6" x14ac:dyDescent="0.3">
      <c r="A957" s="219"/>
    </row>
    <row r="958" spans="1:1" ht="15.6" x14ac:dyDescent="0.3">
      <c r="A958" s="219"/>
    </row>
    <row r="959" spans="1:1" ht="15.6" x14ac:dyDescent="0.3">
      <c r="A959" s="219"/>
    </row>
    <row r="960" spans="1:1" ht="15.6" x14ac:dyDescent="0.3">
      <c r="A960" s="219"/>
    </row>
    <row r="961" spans="1:1" ht="15.6" x14ac:dyDescent="0.3">
      <c r="A961" s="219"/>
    </row>
    <row r="962" spans="1:1" ht="15.6" x14ac:dyDescent="0.3">
      <c r="A962" s="219"/>
    </row>
    <row r="963" spans="1:1" ht="15.6" x14ac:dyDescent="0.3">
      <c r="A963" s="219"/>
    </row>
    <row r="964" spans="1:1" ht="15.6" x14ac:dyDescent="0.3">
      <c r="A964" s="219"/>
    </row>
    <row r="965" spans="1:1" ht="15.6" x14ac:dyDescent="0.3">
      <c r="A965" s="219"/>
    </row>
    <row r="966" spans="1:1" ht="15.6" x14ac:dyDescent="0.3">
      <c r="A966" s="219"/>
    </row>
    <row r="967" spans="1:1" ht="15.6" x14ac:dyDescent="0.3">
      <c r="A967" s="219"/>
    </row>
    <row r="968" spans="1:1" ht="15.6" x14ac:dyDescent="0.3">
      <c r="A968" s="219"/>
    </row>
    <row r="969" spans="1:1" ht="15.6" x14ac:dyDescent="0.3">
      <c r="A969" s="219"/>
    </row>
    <row r="970" spans="1:1" ht="15.6" x14ac:dyDescent="0.3">
      <c r="A970" s="219"/>
    </row>
    <row r="971" spans="1:1" ht="15.6" x14ac:dyDescent="0.3">
      <c r="A971" s="219"/>
    </row>
    <row r="972" spans="1:1" ht="15.6" x14ac:dyDescent="0.3">
      <c r="A972" s="219"/>
    </row>
    <row r="973" spans="1:1" ht="15.6" x14ac:dyDescent="0.3">
      <c r="A973" s="219"/>
    </row>
    <row r="974" spans="1:1" ht="15.6" x14ac:dyDescent="0.3">
      <c r="A974" s="219"/>
    </row>
    <row r="975" spans="1:1" ht="15.6" x14ac:dyDescent="0.3">
      <c r="A975" s="219"/>
    </row>
    <row r="976" spans="1:1" ht="15.6" x14ac:dyDescent="0.3">
      <c r="A976" s="219"/>
    </row>
    <row r="977" spans="1:1" ht="15.6" x14ac:dyDescent="0.3">
      <c r="A977" s="219"/>
    </row>
    <row r="978" spans="1:1" ht="15.6" x14ac:dyDescent="0.3">
      <c r="A978" s="219"/>
    </row>
    <row r="979" spans="1:1" ht="15.6" x14ac:dyDescent="0.3">
      <c r="A979" s="219"/>
    </row>
    <row r="980" spans="1:1" ht="15.6" x14ac:dyDescent="0.3">
      <c r="A980" s="219"/>
    </row>
    <row r="981" spans="1:1" ht="15.6" x14ac:dyDescent="0.3">
      <c r="A981" s="219"/>
    </row>
    <row r="982" spans="1:1" ht="15.6" x14ac:dyDescent="0.3">
      <c r="A982" s="219"/>
    </row>
    <row r="983" spans="1:1" ht="15.6" x14ac:dyDescent="0.3">
      <c r="A983" s="219"/>
    </row>
    <row r="984" spans="1:1" ht="15.6" x14ac:dyDescent="0.3">
      <c r="A984" s="219"/>
    </row>
    <row r="985" spans="1:1" ht="15.6" x14ac:dyDescent="0.3">
      <c r="A985" s="219"/>
    </row>
    <row r="986" spans="1:1" ht="15.6" x14ac:dyDescent="0.3">
      <c r="A986" s="219"/>
    </row>
    <row r="987" spans="1:1" ht="15.6" x14ac:dyDescent="0.3">
      <c r="A987" s="219"/>
    </row>
    <row r="988" spans="1:1" ht="15.6" x14ac:dyDescent="0.3">
      <c r="A988" s="219"/>
    </row>
    <row r="989" spans="1:1" ht="15.6" x14ac:dyDescent="0.3">
      <c r="A989" s="219"/>
    </row>
    <row r="990" spans="1:1" ht="15.6" x14ac:dyDescent="0.3">
      <c r="A990" s="219"/>
    </row>
    <row r="991" spans="1:1" ht="15.6" x14ac:dyDescent="0.3">
      <c r="A991" s="219"/>
    </row>
    <row r="992" spans="1:1" ht="15.6" x14ac:dyDescent="0.3">
      <c r="A992" s="219"/>
    </row>
    <row r="993" spans="1:1" ht="15.6" x14ac:dyDescent="0.3">
      <c r="A993" s="219"/>
    </row>
    <row r="994" spans="1:1" ht="15.6" x14ac:dyDescent="0.3">
      <c r="A994" s="219"/>
    </row>
    <row r="995" spans="1:1" ht="15.6" x14ac:dyDescent="0.3">
      <c r="A995" s="219"/>
    </row>
    <row r="996" spans="1:1" ht="15.6" x14ac:dyDescent="0.3">
      <c r="A996" s="219"/>
    </row>
    <row r="997" spans="1:1" ht="15.6" x14ac:dyDescent="0.3">
      <c r="A997" s="219"/>
    </row>
    <row r="998" spans="1:1" ht="15.6" x14ac:dyDescent="0.3">
      <c r="A998" s="219"/>
    </row>
    <row r="999" spans="1:1" ht="15.6" x14ac:dyDescent="0.3">
      <c r="A999" s="219"/>
    </row>
    <row r="1000" spans="1:1" ht="15.6" x14ac:dyDescent="0.3">
      <c r="A1000" s="219"/>
    </row>
    <row r="1001" spans="1:1" ht="15.6" x14ac:dyDescent="0.3">
      <c r="A1001" s="219"/>
    </row>
    <row r="1002" spans="1:1" ht="15.6" x14ac:dyDescent="0.3">
      <c r="A1002" s="219"/>
    </row>
    <row r="1003" spans="1:1" ht="15.6" x14ac:dyDescent="0.3">
      <c r="A1003" s="219"/>
    </row>
    <row r="1004" spans="1:1" ht="15.6" x14ac:dyDescent="0.3">
      <c r="A1004" s="219"/>
    </row>
    <row r="1005" spans="1:1" ht="15.6" x14ac:dyDescent="0.3">
      <c r="A1005" s="219"/>
    </row>
    <row r="1006" spans="1:1" ht="15.6" x14ac:dyDescent="0.3">
      <c r="A1006" s="219"/>
    </row>
  </sheetData>
  <mergeCells count="2">
    <mergeCell ref="E3:F3"/>
    <mergeCell ref="B3:D3"/>
  </mergeCells>
  <printOptions horizontalCentered="1" verticalCentered="1"/>
  <pageMargins left="0.25" right="0.25" top="0.25" bottom="0.25" header="0" footer="0"/>
  <pageSetup orientation="landscape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3BD5-4FE5-4420-BA67-05B20DF11414}">
  <sheetPr codeName="Hoja23"/>
  <dimension ref="A1:H571"/>
  <sheetViews>
    <sheetView workbookViewId="0">
      <pane ySplit="1" topLeftCell="A552" activePane="bottomLeft" state="frozen"/>
      <selection pane="bottomLeft" activeCell="A560" sqref="A560:XFD565"/>
    </sheetView>
  </sheetViews>
  <sheetFormatPr baseColWidth="10" defaultRowHeight="14.4" x14ac:dyDescent="0.3"/>
  <cols>
    <col min="1" max="1" width="11.77734375" bestFit="1" customWidth="1"/>
    <col min="2" max="2" width="15.5546875" bestFit="1" customWidth="1"/>
    <col min="3" max="3" width="13.109375" bestFit="1" customWidth="1"/>
    <col min="4" max="4" width="39" customWidth="1"/>
    <col min="5" max="5" width="32.33203125" customWidth="1"/>
    <col min="6" max="8" width="12.88671875" bestFit="1" customWidth="1"/>
  </cols>
  <sheetData>
    <row r="1" spans="1:8" x14ac:dyDescent="0.3">
      <c r="A1" s="308" t="s">
        <v>1277</v>
      </c>
      <c r="B1" s="308" t="s">
        <v>73</v>
      </c>
      <c r="C1" s="308" t="s">
        <v>1278</v>
      </c>
      <c r="D1" s="308" t="s">
        <v>1279</v>
      </c>
      <c r="E1" s="308" t="s">
        <v>1280</v>
      </c>
      <c r="F1" s="313" t="s">
        <v>1281</v>
      </c>
      <c r="G1" s="313" t="s">
        <v>1282</v>
      </c>
    </row>
    <row r="2" spans="1:8" x14ac:dyDescent="0.3">
      <c r="A2">
        <v>8</v>
      </c>
      <c r="B2" s="316">
        <v>46138</v>
      </c>
      <c r="C2">
        <v>110505</v>
      </c>
      <c r="D2" t="s">
        <v>1314</v>
      </c>
      <c r="E2" t="s">
        <v>1413</v>
      </c>
      <c r="F2" s="447">
        <v>4832000</v>
      </c>
      <c r="G2" s="447">
        <v>0</v>
      </c>
      <c r="H2" s="9">
        <f>+G2-F2</f>
        <v>-4832000</v>
      </c>
    </row>
    <row r="3" spans="1:8" x14ac:dyDescent="0.3">
      <c r="A3">
        <v>8</v>
      </c>
      <c r="B3" s="316">
        <v>46138</v>
      </c>
      <c r="C3">
        <v>311505</v>
      </c>
      <c r="D3" t="s">
        <v>1415</v>
      </c>
      <c r="E3" t="s">
        <v>1413</v>
      </c>
      <c r="F3" s="447">
        <v>0</v>
      </c>
      <c r="G3" s="447">
        <v>4832000</v>
      </c>
      <c r="H3" s="9">
        <f t="shared" ref="H3:H66" si="0">+G3-F3</f>
        <v>4832000</v>
      </c>
    </row>
    <row r="4" spans="1:8" x14ac:dyDescent="0.3">
      <c r="A4">
        <v>9</v>
      </c>
      <c r="B4" s="316">
        <v>46138</v>
      </c>
      <c r="C4">
        <v>110505</v>
      </c>
      <c r="D4" t="s">
        <v>1314</v>
      </c>
      <c r="E4" t="s">
        <v>1413</v>
      </c>
      <c r="F4" s="447">
        <v>597065</v>
      </c>
      <c r="G4" s="447">
        <v>0</v>
      </c>
      <c r="H4" s="9">
        <f t="shared" si="0"/>
        <v>-597065</v>
      </c>
    </row>
    <row r="5" spans="1:8" x14ac:dyDescent="0.3">
      <c r="A5">
        <v>9</v>
      </c>
      <c r="B5" s="316">
        <v>46138</v>
      </c>
      <c r="C5">
        <v>311505</v>
      </c>
      <c r="D5" t="s">
        <v>1415</v>
      </c>
      <c r="E5" t="s">
        <v>1413</v>
      </c>
      <c r="F5" s="447">
        <v>0</v>
      </c>
      <c r="G5" s="447">
        <v>597065</v>
      </c>
      <c r="H5" s="9">
        <f t="shared" si="0"/>
        <v>597065</v>
      </c>
    </row>
    <row r="6" spans="1:8" x14ac:dyDescent="0.3">
      <c r="A6">
        <v>10</v>
      </c>
      <c r="B6" s="316">
        <v>46138</v>
      </c>
      <c r="C6">
        <v>110505</v>
      </c>
      <c r="D6" t="s">
        <v>1314</v>
      </c>
      <c r="E6" t="s">
        <v>1413</v>
      </c>
      <c r="F6" s="447">
        <v>445360</v>
      </c>
      <c r="G6" s="447">
        <v>0</v>
      </c>
      <c r="H6" s="9">
        <f t="shared" si="0"/>
        <v>-445360</v>
      </c>
    </row>
    <row r="7" spans="1:8" x14ac:dyDescent="0.3">
      <c r="A7">
        <v>10</v>
      </c>
      <c r="B7" s="316">
        <v>46138</v>
      </c>
      <c r="C7">
        <v>311505</v>
      </c>
      <c r="D7" t="s">
        <v>1415</v>
      </c>
      <c r="E7" t="s">
        <v>1413</v>
      </c>
      <c r="F7" s="447">
        <v>0</v>
      </c>
      <c r="G7" s="447">
        <v>445360</v>
      </c>
      <c r="H7" s="9">
        <f t="shared" si="0"/>
        <v>445360</v>
      </c>
    </row>
    <row r="8" spans="1:8" x14ac:dyDescent="0.3">
      <c r="A8">
        <v>11</v>
      </c>
      <c r="B8" s="316">
        <v>46138</v>
      </c>
      <c r="C8">
        <v>110505</v>
      </c>
      <c r="D8" t="s">
        <v>1314</v>
      </c>
      <c r="E8" t="s">
        <v>1413</v>
      </c>
      <c r="F8" s="447">
        <v>180000</v>
      </c>
      <c r="G8" s="447">
        <v>0</v>
      </c>
      <c r="H8" s="9">
        <f t="shared" si="0"/>
        <v>-180000</v>
      </c>
    </row>
    <row r="9" spans="1:8" x14ac:dyDescent="0.3">
      <c r="A9">
        <v>11</v>
      </c>
      <c r="B9" s="316">
        <v>46138</v>
      </c>
      <c r="C9">
        <v>311505</v>
      </c>
      <c r="D9" t="s">
        <v>1415</v>
      </c>
      <c r="E9" t="s">
        <v>1413</v>
      </c>
      <c r="F9" s="447">
        <v>0</v>
      </c>
      <c r="G9" s="447">
        <v>180000</v>
      </c>
      <c r="H9" s="9">
        <f t="shared" si="0"/>
        <v>180000</v>
      </c>
    </row>
    <row r="10" spans="1:8" x14ac:dyDescent="0.3">
      <c r="A10">
        <v>12</v>
      </c>
      <c r="B10" s="316">
        <v>46138</v>
      </c>
      <c r="C10">
        <v>110505</v>
      </c>
      <c r="D10" t="s">
        <v>1314</v>
      </c>
      <c r="E10" t="s">
        <v>1413</v>
      </c>
      <c r="F10" s="447">
        <v>410800</v>
      </c>
      <c r="G10" s="447">
        <v>0</v>
      </c>
      <c r="H10" s="9">
        <f t="shared" si="0"/>
        <v>-410800</v>
      </c>
    </row>
    <row r="11" spans="1:8" x14ac:dyDescent="0.3">
      <c r="A11">
        <v>12</v>
      </c>
      <c r="B11" s="316">
        <v>46138</v>
      </c>
      <c r="C11">
        <v>311505</v>
      </c>
      <c r="D11" t="s">
        <v>1415</v>
      </c>
      <c r="E11" t="s">
        <v>1413</v>
      </c>
      <c r="F11" s="447">
        <v>0</v>
      </c>
      <c r="G11" s="447">
        <v>410800</v>
      </c>
      <c r="H11" s="9">
        <f t="shared" si="0"/>
        <v>410800</v>
      </c>
    </row>
    <row r="12" spans="1:8" x14ac:dyDescent="0.3">
      <c r="A12">
        <v>25</v>
      </c>
      <c r="B12" s="316">
        <v>46139.678472222222</v>
      </c>
      <c r="C12">
        <v>140505</v>
      </c>
      <c r="D12" t="s">
        <v>1353</v>
      </c>
      <c r="E12" t="s">
        <v>1494</v>
      </c>
      <c r="F12" s="447">
        <v>60000</v>
      </c>
      <c r="G12" s="447">
        <v>0</v>
      </c>
      <c r="H12" s="9">
        <f t="shared" si="0"/>
        <v>-60000</v>
      </c>
    </row>
    <row r="13" spans="1:8" x14ac:dyDescent="0.3">
      <c r="A13">
        <v>25</v>
      </c>
      <c r="B13" s="316">
        <v>46139.678472222222</v>
      </c>
      <c r="C13">
        <v>233525</v>
      </c>
      <c r="D13" t="s">
        <v>1373</v>
      </c>
      <c r="E13" t="s">
        <v>1495</v>
      </c>
      <c r="F13" s="447">
        <v>0</v>
      </c>
      <c r="G13" s="447">
        <v>60000</v>
      </c>
      <c r="H13" s="9">
        <f t="shared" si="0"/>
        <v>60000</v>
      </c>
    </row>
    <row r="14" spans="1:8" x14ac:dyDescent="0.3">
      <c r="A14">
        <v>26</v>
      </c>
      <c r="B14" s="316">
        <v>46139.678472222222</v>
      </c>
      <c r="C14">
        <v>140505</v>
      </c>
      <c r="D14" t="s">
        <v>1353</v>
      </c>
      <c r="E14" t="s">
        <v>1498</v>
      </c>
      <c r="F14" s="447">
        <v>65000</v>
      </c>
      <c r="G14" s="447">
        <v>0</v>
      </c>
      <c r="H14" s="9">
        <f t="shared" si="0"/>
        <v>-65000</v>
      </c>
    </row>
    <row r="15" spans="1:8" x14ac:dyDescent="0.3">
      <c r="A15">
        <v>26</v>
      </c>
      <c r="B15" s="316">
        <v>46139.678472222222</v>
      </c>
      <c r="C15">
        <v>233525</v>
      </c>
      <c r="D15" t="s">
        <v>1373</v>
      </c>
      <c r="E15" t="s">
        <v>1499</v>
      </c>
      <c r="F15" s="447">
        <v>0</v>
      </c>
      <c r="G15" s="447">
        <v>65000</v>
      </c>
      <c r="H15" s="9">
        <f t="shared" si="0"/>
        <v>65000</v>
      </c>
    </row>
    <row r="16" spans="1:8" x14ac:dyDescent="0.3">
      <c r="A16">
        <v>27</v>
      </c>
      <c r="B16" s="316">
        <v>46139.678472222222</v>
      </c>
      <c r="C16">
        <v>140505</v>
      </c>
      <c r="D16" t="s">
        <v>1353</v>
      </c>
      <c r="E16" t="s">
        <v>1498</v>
      </c>
      <c r="F16" s="447">
        <v>65000</v>
      </c>
      <c r="G16" s="447">
        <v>0</v>
      </c>
      <c r="H16" s="9">
        <f t="shared" si="0"/>
        <v>-65000</v>
      </c>
    </row>
    <row r="17" spans="1:8" x14ac:dyDescent="0.3">
      <c r="A17">
        <v>27</v>
      </c>
      <c r="B17" s="316">
        <v>46139.678472222222</v>
      </c>
      <c r="C17">
        <v>233525</v>
      </c>
      <c r="D17" t="s">
        <v>1373</v>
      </c>
      <c r="E17" t="s">
        <v>1499</v>
      </c>
      <c r="F17" s="447">
        <v>0</v>
      </c>
      <c r="G17" s="447">
        <v>65000</v>
      </c>
      <c r="H17" s="9">
        <f t="shared" si="0"/>
        <v>65000</v>
      </c>
    </row>
    <row r="18" spans="1:8" x14ac:dyDescent="0.3">
      <c r="A18">
        <v>31</v>
      </c>
      <c r="B18" s="316">
        <v>46139.678472222222</v>
      </c>
      <c r="C18">
        <v>140505</v>
      </c>
      <c r="D18" t="s">
        <v>1353</v>
      </c>
      <c r="E18" t="s">
        <v>1504</v>
      </c>
      <c r="F18" s="447">
        <v>60000</v>
      </c>
      <c r="G18" s="447">
        <v>0</v>
      </c>
      <c r="H18" s="9">
        <f t="shared" si="0"/>
        <v>-60000</v>
      </c>
    </row>
    <row r="19" spans="1:8" x14ac:dyDescent="0.3">
      <c r="A19">
        <v>31</v>
      </c>
      <c r="B19" s="316">
        <v>46139.678472222222</v>
      </c>
      <c r="C19">
        <v>233525</v>
      </c>
      <c r="D19" t="s">
        <v>1373</v>
      </c>
      <c r="E19" t="s">
        <v>1505</v>
      </c>
      <c r="F19" s="447">
        <v>0</v>
      </c>
      <c r="G19" s="447">
        <v>60000</v>
      </c>
      <c r="H19" s="9">
        <f t="shared" si="0"/>
        <v>60000</v>
      </c>
    </row>
    <row r="20" spans="1:8" x14ac:dyDescent="0.3">
      <c r="A20">
        <v>35</v>
      </c>
      <c r="B20" s="316">
        <v>46139.678472222222</v>
      </c>
      <c r="C20">
        <v>140505</v>
      </c>
      <c r="D20" t="s">
        <v>1353</v>
      </c>
      <c r="E20" t="s">
        <v>1510</v>
      </c>
      <c r="F20" s="447">
        <v>60000</v>
      </c>
      <c r="G20" s="447">
        <v>0</v>
      </c>
      <c r="H20" s="9">
        <f t="shared" si="0"/>
        <v>-60000</v>
      </c>
    </row>
    <row r="21" spans="1:8" x14ac:dyDescent="0.3">
      <c r="A21">
        <v>35</v>
      </c>
      <c r="B21" s="316">
        <v>46139.678472222222</v>
      </c>
      <c r="C21">
        <v>233525</v>
      </c>
      <c r="D21" t="s">
        <v>1373</v>
      </c>
      <c r="E21" t="s">
        <v>1511</v>
      </c>
      <c r="F21" s="447">
        <v>0</v>
      </c>
      <c r="G21" s="447">
        <v>60000</v>
      </c>
      <c r="H21" s="9">
        <f t="shared" si="0"/>
        <v>60000</v>
      </c>
    </row>
    <row r="22" spans="1:8" x14ac:dyDescent="0.3">
      <c r="A22">
        <v>39</v>
      </c>
      <c r="B22" s="316">
        <v>46139.678472222222</v>
      </c>
      <c r="C22">
        <v>140505</v>
      </c>
      <c r="D22" t="s">
        <v>1353</v>
      </c>
      <c r="E22" t="s">
        <v>1515</v>
      </c>
      <c r="F22" s="447">
        <v>60000</v>
      </c>
      <c r="G22" s="447">
        <v>0</v>
      </c>
      <c r="H22" s="9">
        <f t="shared" si="0"/>
        <v>-60000</v>
      </c>
    </row>
    <row r="23" spans="1:8" x14ac:dyDescent="0.3">
      <c r="A23">
        <v>39</v>
      </c>
      <c r="B23" s="316">
        <v>46139.678472222222</v>
      </c>
      <c r="C23">
        <v>233525</v>
      </c>
      <c r="D23" t="s">
        <v>1373</v>
      </c>
      <c r="E23" t="s">
        <v>1516</v>
      </c>
      <c r="F23" s="447">
        <v>0</v>
      </c>
      <c r="G23" s="447">
        <v>60000</v>
      </c>
      <c r="H23" s="9">
        <f t="shared" si="0"/>
        <v>60000</v>
      </c>
    </row>
    <row r="24" spans="1:8" x14ac:dyDescent="0.3">
      <c r="A24">
        <v>40</v>
      </c>
      <c r="B24" s="316">
        <v>46139.678472222222</v>
      </c>
      <c r="C24">
        <v>140505</v>
      </c>
      <c r="D24" t="s">
        <v>1353</v>
      </c>
      <c r="E24" t="s">
        <v>1518</v>
      </c>
      <c r="F24" s="447">
        <v>65000</v>
      </c>
      <c r="G24" s="447">
        <v>0</v>
      </c>
      <c r="H24" s="9">
        <f t="shared" si="0"/>
        <v>-65000</v>
      </c>
    </row>
    <row r="25" spans="1:8" x14ac:dyDescent="0.3">
      <c r="A25">
        <v>40</v>
      </c>
      <c r="B25" s="316">
        <v>46139.678472222222</v>
      </c>
      <c r="C25">
        <v>233525</v>
      </c>
      <c r="D25" t="s">
        <v>1373</v>
      </c>
      <c r="E25" t="s">
        <v>1519</v>
      </c>
      <c r="F25" s="447">
        <v>0</v>
      </c>
      <c r="G25" s="447">
        <v>65000</v>
      </c>
      <c r="H25" s="9">
        <f t="shared" si="0"/>
        <v>65000</v>
      </c>
    </row>
    <row r="26" spans="1:8" x14ac:dyDescent="0.3">
      <c r="A26">
        <v>41</v>
      </c>
      <c r="B26" s="316">
        <v>46139.678472222222</v>
      </c>
      <c r="C26">
        <v>140505</v>
      </c>
      <c r="D26" t="s">
        <v>1353</v>
      </c>
      <c r="E26" t="s">
        <v>1521</v>
      </c>
      <c r="F26" s="447">
        <v>65000</v>
      </c>
      <c r="G26" s="447">
        <v>0</v>
      </c>
      <c r="H26" s="9">
        <f t="shared" si="0"/>
        <v>-65000</v>
      </c>
    </row>
    <row r="27" spans="1:8" x14ac:dyDescent="0.3">
      <c r="A27">
        <v>41</v>
      </c>
      <c r="B27" s="316">
        <v>46139.678472222222</v>
      </c>
      <c r="C27">
        <v>233525</v>
      </c>
      <c r="D27" t="s">
        <v>1373</v>
      </c>
      <c r="E27" t="s">
        <v>1522</v>
      </c>
      <c r="F27" s="447">
        <v>0</v>
      </c>
      <c r="G27" s="447">
        <v>65000</v>
      </c>
      <c r="H27" s="9">
        <f t="shared" si="0"/>
        <v>65000</v>
      </c>
    </row>
    <row r="28" spans="1:8" x14ac:dyDescent="0.3">
      <c r="A28">
        <v>44</v>
      </c>
      <c r="B28" s="316">
        <v>46139.678472222222</v>
      </c>
      <c r="C28">
        <v>140505</v>
      </c>
      <c r="D28" t="s">
        <v>1353</v>
      </c>
      <c r="E28" t="s">
        <v>1527</v>
      </c>
      <c r="F28" s="447">
        <v>65000</v>
      </c>
      <c r="G28" s="447">
        <v>0</v>
      </c>
      <c r="H28" s="9">
        <f t="shared" si="0"/>
        <v>-65000</v>
      </c>
    </row>
    <row r="29" spans="1:8" x14ac:dyDescent="0.3">
      <c r="A29">
        <v>44</v>
      </c>
      <c r="B29" s="316">
        <v>46139.678472222222</v>
      </c>
      <c r="C29">
        <v>233525</v>
      </c>
      <c r="D29" t="s">
        <v>1373</v>
      </c>
      <c r="E29" t="s">
        <v>1528</v>
      </c>
      <c r="F29" s="447">
        <v>0</v>
      </c>
      <c r="G29" s="447">
        <v>65000</v>
      </c>
      <c r="H29" s="9">
        <f t="shared" si="0"/>
        <v>65000</v>
      </c>
    </row>
    <row r="30" spans="1:8" x14ac:dyDescent="0.3">
      <c r="A30">
        <v>45</v>
      </c>
      <c r="B30" s="316">
        <v>46139.678472222222</v>
      </c>
      <c r="C30">
        <v>140505</v>
      </c>
      <c r="D30" t="s">
        <v>1353</v>
      </c>
      <c r="E30" t="s">
        <v>1530</v>
      </c>
      <c r="F30" s="447">
        <v>100000</v>
      </c>
      <c r="G30" s="447">
        <v>0</v>
      </c>
      <c r="H30" s="9">
        <f t="shared" si="0"/>
        <v>-100000</v>
      </c>
    </row>
    <row r="31" spans="1:8" x14ac:dyDescent="0.3">
      <c r="A31">
        <v>45</v>
      </c>
      <c r="B31" s="316">
        <v>46139.678472222222</v>
      </c>
      <c r="C31">
        <v>233525</v>
      </c>
      <c r="D31" t="s">
        <v>1373</v>
      </c>
      <c r="E31" t="s">
        <v>1531</v>
      </c>
      <c r="F31" s="447">
        <v>0</v>
      </c>
      <c r="G31" s="447">
        <v>100000</v>
      </c>
      <c r="H31" s="9">
        <f t="shared" si="0"/>
        <v>100000</v>
      </c>
    </row>
    <row r="32" spans="1:8" x14ac:dyDescent="0.3">
      <c r="A32">
        <v>46</v>
      </c>
      <c r="B32" s="316">
        <v>46139.678472222222</v>
      </c>
      <c r="C32">
        <v>140505</v>
      </c>
      <c r="D32" t="s">
        <v>1353</v>
      </c>
      <c r="E32" t="s">
        <v>1534</v>
      </c>
      <c r="F32" s="447">
        <v>65000</v>
      </c>
      <c r="G32" s="447">
        <v>0</v>
      </c>
      <c r="H32" s="9">
        <f t="shared" si="0"/>
        <v>-65000</v>
      </c>
    </row>
    <row r="33" spans="1:8" x14ac:dyDescent="0.3">
      <c r="A33">
        <v>46</v>
      </c>
      <c r="B33" s="316">
        <v>46139.678472222222</v>
      </c>
      <c r="C33">
        <v>233525</v>
      </c>
      <c r="D33" t="s">
        <v>1373</v>
      </c>
      <c r="E33" t="s">
        <v>1535</v>
      </c>
      <c r="F33" s="447">
        <v>0</v>
      </c>
      <c r="G33" s="447">
        <v>65000</v>
      </c>
      <c r="H33" s="9">
        <f t="shared" si="0"/>
        <v>65000</v>
      </c>
    </row>
    <row r="34" spans="1:8" x14ac:dyDescent="0.3">
      <c r="A34">
        <v>50</v>
      </c>
      <c r="B34" s="316">
        <v>46139.678472222222</v>
      </c>
      <c r="C34">
        <v>140505</v>
      </c>
      <c r="D34" t="s">
        <v>1353</v>
      </c>
      <c r="E34" t="s">
        <v>1542</v>
      </c>
      <c r="F34" s="447">
        <v>65000</v>
      </c>
      <c r="G34" s="447">
        <v>0</v>
      </c>
      <c r="H34" s="9">
        <f t="shared" si="0"/>
        <v>-65000</v>
      </c>
    </row>
    <row r="35" spans="1:8" x14ac:dyDescent="0.3">
      <c r="A35">
        <v>50</v>
      </c>
      <c r="B35" s="316">
        <v>46139.678472222222</v>
      </c>
      <c r="C35">
        <v>233525</v>
      </c>
      <c r="D35" t="s">
        <v>1373</v>
      </c>
      <c r="E35" t="s">
        <v>1543</v>
      </c>
      <c r="F35" s="447">
        <v>0</v>
      </c>
      <c r="G35" s="447">
        <v>65000</v>
      </c>
      <c r="H35" s="9">
        <f t="shared" si="0"/>
        <v>65000</v>
      </c>
    </row>
    <row r="36" spans="1:8" x14ac:dyDescent="0.3">
      <c r="A36">
        <v>51</v>
      </c>
      <c r="B36" s="316">
        <v>46139.678472222222</v>
      </c>
      <c r="C36">
        <v>140505</v>
      </c>
      <c r="D36" t="s">
        <v>1353</v>
      </c>
      <c r="E36" t="s">
        <v>1545</v>
      </c>
      <c r="F36" s="447">
        <v>65000</v>
      </c>
      <c r="G36" s="447">
        <v>0</v>
      </c>
      <c r="H36" s="9">
        <f t="shared" si="0"/>
        <v>-65000</v>
      </c>
    </row>
    <row r="37" spans="1:8" x14ac:dyDescent="0.3">
      <c r="A37">
        <v>51</v>
      </c>
      <c r="B37" s="316">
        <v>46139.678472222222</v>
      </c>
      <c r="C37">
        <v>233525</v>
      </c>
      <c r="D37" t="s">
        <v>1373</v>
      </c>
      <c r="E37" t="s">
        <v>1546</v>
      </c>
      <c r="F37" s="447">
        <v>0</v>
      </c>
      <c r="G37" s="447">
        <v>65000</v>
      </c>
      <c r="H37" s="9">
        <f t="shared" si="0"/>
        <v>65000</v>
      </c>
    </row>
    <row r="38" spans="1:8" x14ac:dyDescent="0.3">
      <c r="A38">
        <v>52</v>
      </c>
      <c r="B38" s="316">
        <v>46139.678472222222</v>
      </c>
      <c r="C38">
        <v>140505</v>
      </c>
      <c r="D38" t="s">
        <v>1353</v>
      </c>
      <c r="E38" t="s">
        <v>1549</v>
      </c>
      <c r="F38" s="447">
        <v>130000</v>
      </c>
      <c r="G38" s="447">
        <v>0</v>
      </c>
      <c r="H38" s="9">
        <f t="shared" si="0"/>
        <v>-130000</v>
      </c>
    </row>
    <row r="39" spans="1:8" x14ac:dyDescent="0.3">
      <c r="A39">
        <v>52</v>
      </c>
      <c r="B39" s="316">
        <v>46139.678472222222</v>
      </c>
      <c r="C39">
        <v>233525</v>
      </c>
      <c r="D39" t="s">
        <v>1373</v>
      </c>
      <c r="E39" t="s">
        <v>1550</v>
      </c>
      <c r="F39" s="447">
        <v>0</v>
      </c>
      <c r="G39" s="447">
        <v>130000</v>
      </c>
      <c r="H39" s="9">
        <f t="shared" si="0"/>
        <v>130000</v>
      </c>
    </row>
    <row r="40" spans="1:8" x14ac:dyDescent="0.3">
      <c r="A40">
        <v>54</v>
      </c>
      <c r="B40" s="316">
        <v>46139.678472222222</v>
      </c>
      <c r="C40">
        <v>140505</v>
      </c>
      <c r="D40" t="s">
        <v>1353</v>
      </c>
      <c r="E40" t="s">
        <v>1554</v>
      </c>
      <c r="F40" s="447">
        <v>65000</v>
      </c>
      <c r="G40" s="447">
        <v>0</v>
      </c>
      <c r="H40" s="9">
        <f t="shared" si="0"/>
        <v>-65000</v>
      </c>
    </row>
    <row r="41" spans="1:8" x14ac:dyDescent="0.3">
      <c r="A41">
        <v>54</v>
      </c>
      <c r="B41" s="316">
        <v>46139.678472222222</v>
      </c>
      <c r="C41">
        <v>233525</v>
      </c>
      <c r="D41" t="s">
        <v>1373</v>
      </c>
      <c r="E41" t="s">
        <v>1555</v>
      </c>
      <c r="F41" s="447">
        <v>0</v>
      </c>
      <c r="G41" s="447">
        <v>65000</v>
      </c>
      <c r="H41" s="9">
        <f t="shared" si="0"/>
        <v>65000</v>
      </c>
    </row>
    <row r="42" spans="1:8" x14ac:dyDescent="0.3">
      <c r="A42">
        <v>55</v>
      </c>
      <c r="B42" s="316">
        <v>46139.678472222222</v>
      </c>
      <c r="C42">
        <v>140505</v>
      </c>
      <c r="D42" t="s">
        <v>1353</v>
      </c>
      <c r="E42" t="s">
        <v>1557</v>
      </c>
      <c r="F42" s="447">
        <v>65000</v>
      </c>
      <c r="G42" s="447">
        <v>0</v>
      </c>
      <c r="H42" s="9">
        <f t="shared" si="0"/>
        <v>-65000</v>
      </c>
    </row>
    <row r="43" spans="1:8" x14ac:dyDescent="0.3">
      <c r="A43">
        <v>55</v>
      </c>
      <c r="B43" s="316">
        <v>46139.678472222222</v>
      </c>
      <c r="C43">
        <v>233525</v>
      </c>
      <c r="D43" t="s">
        <v>1373</v>
      </c>
      <c r="E43" t="s">
        <v>1558</v>
      </c>
      <c r="F43" s="447">
        <v>0</v>
      </c>
      <c r="G43" s="447">
        <v>65000</v>
      </c>
      <c r="H43" s="9">
        <f t="shared" si="0"/>
        <v>65000</v>
      </c>
    </row>
    <row r="44" spans="1:8" x14ac:dyDescent="0.3">
      <c r="A44">
        <v>2</v>
      </c>
      <c r="B44" s="316">
        <v>46139.678888888891</v>
      </c>
      <c r="C44">
        <v>514505</v>
      </c>
      <c r="D44" t="s">
        <v>1331</v>
      </c>
      <c r="E44" t="s">
        <v>1329</v>
      </c>
      <c r="F44" s="447">
        <v>41000</v>
      </c>
      <c r="G44" s="447">
        <v>0</v>
      </c>
      <c r="H44" s="9">
        <f t="shared" si="0"/>
        <v>-41000</v>
      </c>
    </row>
    <row r="45" spans="1:8" x14ac:dyDescent="0.3">
      <c r="A45">
        <v>2</v>
      </c>
      <c r="B45" s="316">
        <v>46139.678888888891</v>
      </c>
      <c r="C45">
        <v>110505</v>
      </c>
      <c r="D45" t="s">
        <v>1314</v>
      </c>
      <c r="E45" t="s">
        <v>1329</v>
      </c>
      <c r="F45" s="447">
        <v>0</v>
      </c>
      <c r="G45" s="447">
        <v>41000</v>
      </c>
      <c r="H45" s="9">
        <f t="shared" si="0"/>
        <v>41000</v>
      </c>
    </row>
    <row r="46" spans="1:8" x14ac:dyDescent="0.3">
      <c r="A46">
        <v>3</v>
      </c>
      <c r="B46" s="316">
        <v>46139.678888888891</v>
      </c>
      <c r="C46">
        <v>730501</v>
      </c>
      <c r="D46" t="s">
        <v>1325</v>
      </c>
      <c r="E46" t="s">
        <v>1309</v>
      </c>
      <c r="F46" s="447">
        <v>1090000</v>
      </c>
      <c r="G46" s="447">
        <v>0</v>
      </c>
      <c r="H46" s="9">
        <f t="shared" si="0"/>
        <v>-1090000</v>
      </c>
    </row>
    <row r="47" spans="1:8" x14ac:dyDescent="0.3">
      <c r="A47">
        <v>3</v>
      </c>
      <c r="B47" s="316">
        <v>46139.678888888891</v>
      </c>
      <c r="C47">
        <v>110505</v>
      </c>
      <c r="D47" t="s">
        <v>1314</v>
      </c>
      <c r="E47" t="s">
        <v>1309</v>
      </c>
      <c r="F47" s="447">
        <v>0</v>
      </c>
      <c r="G47" s="447">
        <v>1090000</v>
      </c>
      <c r="H47" s="9">
        <f t="shared" si="0"/>
        <v>1090000</v>
      </c>
    </row>
    <row r="48" spans="1:8" x14ac:dyDescent="0.3">
      <c r="A48">
        <v>4</v>
      </c>
      <c r="B48" s="316">
        <v>46139.678888888891</v>
      </c>
      <c r="C48">
        <v>514505</v>
      </c>
      <c r="D48" t="s">
        <v>1331</v>
      </c>
      <c r="E48" t="s">
        <v>1329</v>
      </c>
      <c r="F48" s="447">
        <v>39000</v>
      </c>
      <c r="G48" s="447">
        <v>0</v>
      </c>
      <c r="H48" s="9">
        <f t="shared" si="0"/>
        <v>-39000</v>
      </c>
    </row>
    <row r="49" spans="1:8" x14ac:dyDescent="0.3">
      <c r="A49">
        <v>4</v>
      </c>
      <c r="B49" s="316">
        <v>46139.678888888891</v>
      </c>
      <c r="C49">
        <v>110505</v>
      </c>
      <c r="D49" t="s">
        <v>1314</v>
      </c>
      <c r="E49" t="s">
        <v>1329</v>
      </c>
      <c r="F49" s="447">
        <v>0</v>
      </c>
      <c r="G49" s="447">
        <v>39000</v>
      </c>
      <c r="H49" s="9">
        <f t="shared" si="0"/>
        <v>39000</v>
      </c>
    </row>
    <row r="50" spans="1:8" x14ac:dyDescent="0.3">
      <c r="A50">
        <v>5</v>
      </c>
      <c r="B50" s="316">
        <v>46139.678888888891</v>
      </c>
      <c r="C50">
        <v>152005</v>
      </c>
      <c r="D50" t="s">
        <v>1327</v>
      </c>
      <c r="E50" t="s">
        <v>1310</v>
      </c>
      <c r="F50" s="447">
        <v>50000</v>
      </c>
      <c r="G50" s="447">
        <v>0</v>
      </c>
      <c r="H50" s="9">
        <f t="shared" si="0"/>
        <v>-50000</v>
      </c>
    </row>
    <row r="51" spans="1:8" x14ac:dyDescent="0.3">
      <c r="A51">
        <v>5</v>
      </c>
      <c r="B51" s="316">
        <v>46139.678888888891</v>
      </c>
      <c r="C51">
        <v>110505</v>
      </c>
      <c r="D51" t="s">
        <v>1314</v>
      </c>
      <c r="E51" t="s">
        <v>1310</v>
      </c>
      <c r="F51" s="447">
        <v>0</v>
      </c>
      <c r="G51" s="447">
        <v>50000</v>
      </c>
      <c r="H51" s="9">
        <f t="shared" si="0"/>
        <v>50000</v>
      </c>
    </row>
    <row r="52" spans="1:8" x14ac:dyDescent="0.3">
      <c r="A52">
        <v>6</v>
      </c>
      <c r="B52" s="316">
        <v>46139.678888888891</v>
      </c>
      <c r="C52">
        <v>152005</v>
      </c>
      <c r="D52" t="s">
        <v>1327</v>
      </c>
      <c r="E52" t="s">
        <v>1310</v>
      </c>
      <c r="F52" s="447">
        <v>190000</v>
      </c>
      <c r="G52" s="447">
        <v>0</v>
      </c>
      <c r="H52" s="9">
        <f t="shared" si="0"/>
        <v>-190000</v>
      </c>
    </row>
    <row r="53" spans="1:8" x14ac:dyDescent="0.3">
      <c r="A53">
        <v>6</v>
      </c>
      <c r="B53" s="316">
        <v>46139.678888888891</v>
      </c>
      <c r="C53">
        <v>110505</v>
      </c>
      <c r="D53" t="s">
        <v>1314</v>
      </c>
      <c r="E53" t="s">
        <v>1310</v>
      </c>
      <c r="F53" s="447">
        <v>0</v>
      </c>
      <c r="G53" s="447">
        <v>190000</v>
      </c>
      <c r="H53" s="9">
        <f t="shared" si="0"/>
        <v>190000</v>
      </c>
    </row>
    <row r="54" spans="1:8" x14ac:dyDescent="0.3">
      <c r="A54">
        <v>7</v>
      </c>
      <c r="B54" s="316">
        <v>46139.678888888891</v>
      </c>
      <c r="C54">
        <v>152005</v>
      </c>
      <c r="D54" t="s">
        <v>1327</v>
      </c>
      <c r="E54" t="s">
        <v>1311</v>
      </c>
      <c r="F54" s="447">
        <v>3390000</v>
      </c>
      <c r="G54" s="447">
        <v>0</v>
      </c>
      <c r="H54" s="9">
        <f t="shared" si="0"/>
        <v>-3390000</v>
      </c>
    </row>
    <row r="55" spans="1:8" x14ac:dyDescent="0.3">
      <c r="A55">
        <v>7</v>
      </c>
      <c r="B55" s="316">
        <v>46139.678888888891</v>
      </c>
      <c r="C55">
        <v>110505</v>
      </c>
      <c r="D55" t="s">
        <v>1314</v>
      </c>
      <c r="E55" t="s">
        <v>1311</v>
      </c>
      <c r="F55" s="447">
        <v>0</v>
      </c>
      <c r="G55" s="447">
        <v>3390000</v>
      </c>
      <c r="H55" s="9">
        <f t="shared" si="0"/>
        <v>3390000</v>
      </c>
    </row>
    <row r="56" spans="1:8" x14ac:dyDescent="0.3">
      <c r="A56">
        <v>1</v>
      </c>
      <c r="B56" s="316">
        <v>46141.667986111112</v>
      </c>
      <c r="C56">
        <v>513501</v>
      </c>
      <c r="D56" t="s">
        <v>1330</v>
      </c>
      <c r="E56" t="s">
        <v>1312</v>
      </c>
      <c r="F56" s="447">
        <v>32000</v>
      </c>
      <c r="G56" s="447">
        <v>0</v>
      </c>
      <c r="H56" s="9">
        <f t="shared" si="0"/>
        <v>-32000</v>
      </c>
    </row>
    <row r="57" spans="1:8" x14ac:dyDescent="0.3">
      <c r="A57">
        <v>1</v>
      </c>
      <c r="B57" s="316">
        <v>46142.667986111112</v>
      </c>
      <c r="C57">
        <v>110505</v>
      </c>
      <c r="D57" t="s">
        <v>1314</v>
      </c>
      <c r="E57" t="s">
        <v>1312</v>
      </c>
      <c r="F57" s="447">
        <v>0</v>
      </c>
      <c r="G57" s="447">
        <v>32000</v>
      </c>
      <c r="H57" s="9">
        <f t="shared" si="0"/>
        <v>32000</v>
      </c>
    </row>
    <row r="58" spans="1:8" x14ac:dyDescent="0.3">
      <c r="A58">
        <v>13</v>
      </c>
      <c r="B58" s="316">
        <v>46145</v>
      </c>
      <c r="C58">
        <v>612099</v>
      </c>
      <c r="D58" t="s">
        <v>1352</v>
      </c>
      <c r="E58" t="s">
        <v>1417</v>
      </c>
      <c r="F58" s="447">
        <v>9229.1328000000012</v>
      </c>
      <c r="G58" s="447">
        <v>0</v>
      </c>
      <c r="H58" s="9">
        <f t="shared" si="0"/>
        <v>-9229.1328000000012</v>
      </c>
    </row>
    <row r="59" spans="1:8" x14ac:dyDescent="0.3">
      <c r="A59">
        <v>13</v>
      </c>
      <c r="B59" s="316">
        <v>46145</v>
      </c>
      <c r="C59">
        <v>140505</v>
      </c>
      <c r="D59" t="s">
        <v>1353</v>
      </c>
      <c r="E59" t="s">
        <v>1418</v>
      </c>
      <c r="F59" s="447">
        <v>0</v>
      </c>
      <c r="G59" s="447">
        <v>9229.1328000000012</v>
      </c>
      <c r="H59" s="9">
        <f t="shared" si="0"/>
        <v>9229.1328000000012</v>
      </c>
    </row>
    <row r="60" spans="1:8" x14ac:dyDescent="0.3">
      <c r="A60">
        <v>13</v>
      </c>
      <c r="B60" s="316">
        <v>46145</v>
      </c>
      <c r="C60">
        <v>612099</v>
      </c>
      <c r="D60" t="s">
        <v>1352</v>
      </c>
      <c r="E60" t="s">
        <v>1419</v>
      </c>
      <c r="F60" s="447">
        <v>922.91328000000021</v>
      </c>
      <c r="G60" s="447">
        <v>0</v>
      </c>
      <c r="H60" s="9">
        <f t="shared" si="0"/>
        <v>-922.91328000000021</v>
      </c>
    </row>
    <row r="61" spans="1:8" x14ac:dyDescent="0.3">
      <c r="A61">
        <v>13</v>
      </c>
      <c r="B61" s="316">
        <v>46145</v>
      </c>
      <c r="C61">
        <v>250505</v>
      </c>
      <c r="D61" t="s">
        <v>1420</v>
      </c>
      <c r="E61" t="s">
        <v>1421</v>
      </c>
      <c r="F61" s="447">
        <v>0</v>
      </c>
      <c r="G61" s="447">
        <v>922.91328000000021</v>
      </c>
      <c r="H61" s="9">
        <f t="shared" si="0"/>
        <v>922.91328000000021</v>
      </c>
    </row>
    <row r="62" spans="1:8" x14ac:dyDescent="0.3">
      <c r="A62">
        <v>13</v>
      </c>
      <c r="B62" s="316">
        <v>46145</v>
      </c>
      <c r="C62">
        <v>612099</v>
      </c>
      <c r="D62" t="s">
        <v>1352</v>
      </c>
      <c r="E62" t="s">
        <v>1422</v>
      </c>
      <c r="F62" s="447">
        <v>3541.3907199999999</v>
      </c>
      <c r="G62" s="447">
        <v>0</v>
      </c>
      <c r="H62" s="9">
        <f t="shared" si="0"/>
        <v>-3541.3907199999999</v>
      </c>
    </row>
    <row r="63" spans="1:8" x14ac:dyDescent="0.3">
      <c r="A63">
        <v>13</v>
      </c>
      <c r="B63" s="316">
        <v>46145</v>
      </c>
      <c r="C63">
        <v>233525</v>
      </c>
      <c r="D63" t="s">
        <v>1373</v>
      </c>
      <c r="E63" t="s">
        <v>1423</v>
      </c>
      <c r="F63" s="447">
        <v>0</v>
      </c>
      <c r="G63" s="447">
        <v>3541.3907199999999</v>
      </c>
      <c r="H63" s="9">
        <f t="shared" si="0"/>
        <v>3541.3907199999999</v>
      </c>
    </row>
    <row r="64" spans="1:8" x14ac:dyDescent="0.3">
      <c r="A64">
        <v>17</v>
      </c>
      <c r="B64" s="316">
        <v>46145</v>
      </c>
      <c r="C64">
        <v>612099</v>
      </c>
      <c r="D64" t="s">
        <v>1352</v>
      </c>
      <c r="E64" t="s">
        <v>1425</v>
      </c>
      <c r="F64" s="447">
        <v>9923.8007085714289</v>
      </c>
      <c r="G64" s="447">
        <v>0</v>
      </c>
      <c r="H64" s="9">
        <f t="shared" si="0"/>
        <v>-9923.8007085714289</v>
      </c>
    </row>
    <row r="65" spans="1:8" x14ac:dyDescent="0.3">
      <c r="A65">
        <v>17</v>
      </c>
      <c r="B65" s="316">
        <v>46145</v>
      </c>
      <c r="C65">
        <v>140505</v>
      </c>
      <c r="D65" t="s">
        <v>1353</v>
      </c>
      <c r="E65" t="s">
        <v>1426</v>
      </c>
      <c r="F65" s="447">
        <v>0</v>
      </c>
      <c r="G65" s="447">
        <v>9923.8007085714289</v>
      </c>
      <c r="H65" s="9">
        <f t="shared" si="0"/>
        <v>9923.8007085714289</v>
      </c>
    </row>
    <row r="66" spans="1:8" x14ac:dyDescent="0.3">
      <c r="A66">
        <v>17</v>
      </c>
      <c r="B66" s="316">
        <v>46145</v>
      </c>
      <c r="C66">
        <v>612099</v>
      </c>
      <c r="D66" t="s">
        <v>1352</v>
      </c>
      <c r="E66" t="s">
        <v>1427</v>
      </c>
      <c r="F66" s="447">
        <v>992.38007085714298</v>
      </c>
      <c r="G66" s="447">
        <v>0</v>
      </c>
      <c r="H66" s="9">
        <f t="shared" si="0"/>
        <v>-992.38007085714298</v>
      </c>
    </row>
    <row r="67" spans="1:8" x14ac:dyDescent="0.3">
      <c r="A67">
        <v>17</v>
      </c>
      <c r="B67" s="316">
        <v>46145</v>
      </c>
      <c r="C67">
        <v>250505</v>
      </c>
      <c r="D67" t="s">
        <v>1420</v>
      </c>
      <c r="E67" t="s">
        <v>1428</v>
      </c>
      <c r="F67" s="447">
        <v>0</v>
      </c>
      <c r="G67" s="447">
        <v>992.38007085714298</v>
      </c>
      <c r="H67" s="9">
        <f t="shared" ref="H67:H130" si="1">+G67-F67</f>
        <v>992.38007085714298</v>
      </c>
    </row>
    <row r="68" spans="1:8" x14ac:dyDescent="0.3">
      <c r="A68">
        <v>17</v>
      </c>
      <c r="B68" s="316">
        <v>46145</v>
      </c>
      <c r="C68">
        <v>612099</v>
      </c>
      <c r="D68" t="s">
        <v>1352</v>
      </c>
      <c r="E68" t="s">
        <v>1429</v>
      </c>
      <c r="F68" s="447">
        <v>4436.1079291428559</v>
      </c>
      <c r="G68" s="447">
        <v>0</v>
      </c>
      <c r="H68" s="9">
        <f t="shared" si="1"/>
        <v>-4436.1079291428559</v>
      </c>
    </row>
    <row r="69" spans="1:8" x14ac:dyDescent="0.3">
      <c r="A69">
        <v>17</v>
      </c>
      <c r="B69" s="316">
        <v>46145</v>
      </c>
      <c r="C69">
        <v>233525</v>
      </c>
      <c r="D69" t="s">
        <v>1373</v>
      </c>
      <c r="E69" t="s">
        <v>1430</v>
      </c>
      <c r="F69" s="447">
        <v>0</v>
      </c>
      <c r="G69" s="447">
        <v>4436.1079291428559</v>
      </c>
      <c r="H69" s="9">
        <f t="shared" si="1"/>
        <v>4436.1079291428559</v>
      </c>
    </row>
    <row r="70" spans="1:8" x14ac:dyDescent="0.3">
      <c r="A70">
        <v>15</v>
      </c>
      <c r="B70" s="316">
        <v>46146</v>
      </c>
      <c r="C70">
        <v>612099</v>
      </c>
      <c r="D70" t="s">
        <v>1352</v>
      </c>
      <c r="E70" t="s">
        <v>1425</v>
      </c>
      <c r="F70" s="447">
        <v>18960.843017142859</v>
      </c>
      <c r="G70" s="447">
        <v>0</v>
      </c>
      <c r="H70" s="9">
        <f t="shared" si="1"/>
        <v>-18960.843017142859</v>
      </c>
    </row>
    <row r="71" spans="1:8" x14ac:dyDescent="0.3">
      <c r="A71">
        <v>15</v>
      </c>
      <c r="B71" s="316">
        <v>46146</v>
      </c>
      <c r="C71">
        <v>140505</v>
      </c>
      <c r="D71" t="s">
        <v>1353</v>
      </c>
      <c r="E71" t="s">
        <v>1426</v>
      </c>
      <c r="F71" s="447">
        <v>0</v>
      </c>
      <c r="G71" s="447">
        <v>18960.843017142859</v>
      </c>
      <c r="H71" s="9">
        <f t="shared" si="1"/>
        <v>18960.843017142859</v>
      </c>
    </row>
    <row r="72" spans="1:8" x14ac:dyDescent="0.3">
      <c r="A72">
        <v>15</v>
      </c>
      <c r="B72" s="316">
        <v>46146</v>
      </c>
      <c r="C72">
        <v>612099</v>
      </c>
      <c r="D72" t="s">
        <v>1352</v>
      </c>
      <c r="E72" t="s">
        <v>1427</v>
      </c>
      <c r="F72" s="447">
        <v>1896.0843017142861</v>
      </c>
      <c r="G72" s="447">
        <v>0</v>
      </c>
      <c r="H72" s="9">
        <f t="shared" si="1"/>
        <v>-1896.0843017142861</v>
      </c>
    </row>
    <row r="73" spans="1:8" x14ac:dyDescent="0.3">
      <c r="A73">
        <v>15</v>
      </c>
      <c r="B73" s="316">
        <v>46146</v>
      </c>
      <c r="C73">
        <v>250505</v>
      </c>
      <c r="D73" t="s">
        <v>1420</v>
      </c>
      <c r="E73" t="s">
        <v>1428</v>
      </c>
      <c r="F73" s="447">
        <v>0</v>
      </c>
      <c r="G73" s="447">
        <v>1896.0843017142861</v>
      </c>
      <c r="H73" s="9">
        <f t="shared" si="1"/>
        <v>1896.0843017142861</v>
      </c>
    </row>
    <row r="74" spans="1:8" x14ac:dyDescent="0.3">
      <c r="A74">
        <v>15</v>
      </c>
      <c r="B74" s="316">
        <v>46146</v>
      </c>
      <c r="C74">
        <v>612099</v>
      </c>
      <c r="D74" t="s">
        <v>1352</v>
      </c>
      <c r="E74" t="s">
        <v>1429</v>
      </c>
      <c r="F74" s="447">
        <v>9211.8436982857165</v>
      </c>
      <c r="G74" s="447">
        <v>0</v>
      </c>
      <c r="H74" s="9">
        <f t="shared" si="1"/>
        <v>-9211.8436982857165</v>
      </c>
    </row>
    <row r="75" spans="1:8" x14ac:dyDescent="0.3">
      <c r="A75">
        <v>15</v>
      </c>
      <c r="B75" s="316">
        <v>46146</v>
      </c>
      <c r="C75">
        <v>233525</v>
      </c>
      <c r="D75" t="s">
        <v>1373</v>
      </c>
      <c r="E75" t="s">
        <v>1430</v>
      </c>
      <c r="F75" s="447">
        <v>0</v>
      </c>
      <c r="G75" s="447">
        <v>9211.8436982857165</v>
      </c>
      <c r="H75" s="9">
        <f t="shared" si="1"/>
        <v>9211.8436982857165</v>
      </c>
    </row>
    <row r="76" spans="1:8" x14ac:dyDescent="0.3">
      <c r="A76">
        <v>16</v>
      </c>
      <c r="B76" s="316">
        <v>46146</v>
      </c>
      <c r="C76">
        <v>612099</v>
      </c>
      <c r="D76" t="s">
        <v>1352</v>
      </c>
      <c r="E76" t="s">
        <v>1425</v>
      </c>
      <c r="F76" s="447">
        <v>18365.495177142857</v>
      </c>
      <c r="G76" s="447">
        <v>0</v>
      </c>
      <c r="H76" s="9">
        <f t="shared" si="1"/>
        <v>-18365.495177142857</v>
      </c>
    </row>
    <row r="77" spans="1:8" x14ac:dyDescent="0.3">
      <c r="A77">
        <v>16</v>
      </c>
      <c r="B77" s="316">
        <v>46146</v>
      </c>
      <c r="C77">
        <v>140505</v>
      </c>
      <c r="D77" t="s">
        <v>1353</v>
      </c>
      <c r="E77" t="s">
        <v>1426</v>
      </c>
      <c r="F77" s="447">
        <v>0</v>
      </c>
      <c r="G77" s="447">
        <v>18365.495177142857</v>
      </c>
      <c r="H77" s="9">
        <f t="shared" si="1"/>
        <v>18365.495177142857</v>
      </c>
    </row>
    <row r="78" spans="1:8" x14ac:dyDescent="0.3">
      <c r="A78">
        <v>16</v>
      </c>
      <c r="B78" s="316">
        <v>46146</v>
      </c>
      <c r="C78">
        <v>612099</v>
      </c>
      <c r="D78" t="s">
        <v>1352</v>
      </c>
      <c r="E78" t="s">
        <v>1427</v>
      </c>
      <c r="F78" s="447">
        <v>1836.5495177142857</v>
      </c>
      <c r="G78" s="447">
        <v>0</v>
      </c>
      <c r="H78" s="9">
        <f t="shared" si="1"/>
        <v>-1836.5495177142857</v>
      </c>
    </row>
    <row r="79" spans="1:8" x14ac:dyDescent="0.3">
      <c r="A79">
        <v>16</v>
      </c>
      <c r="B79" s="316">
        <v>46146</v>
      </c>
      <c r="C79">
        <v>250505</v>
      </c>
      <c r="D79" t="s">
        <v>1420</v>
      </c>
      <c r="E79" t="s">
        <v>1428</v>
      </c>
      <c r="F79" s="447">
        <v>0</v>
      </c>
      <c r="G79" s="447">
        <v>1836.5495177142857</v>
      </c>
      <c r="H79" s="9">
        <f t="shared" si="1"/>
        <v>1836.5495177142857</v>
      </c>
    </row>
    <row r="80" spans="1:8" x14ac:dyDescent="0.3">
      <c r="A80">
        <v>16</v>
      </c>
      <c r="B80" s="316">
        <v>46146</v>
      </c>
      <c r="C80">
        <v>612099</v>
      </c>
      <c r="D80" t="s">
        <v>1352</v>
      </c>
      <c r="E80" t="s">
        <v>1429</v>
      </c>
      <c r="F80" s="447">
        <v>9403.4584822857123</v>
      </c>
      <c r="G80" s="447">
        <v>0</v>
      </c>
      <c r="H80" s="9">
        <f t="shared" si="1"/>
        <v>-9403.4584822857123</v>
      </c>
    </row>
    <row r="81" spans="1:8" x14ac:dyDescent="0.3">
      <c r="A81">
        <v>16</v>
      </c>
      <c r="B81" s="316">
        <v>46146</v>
      </c>
      <c r="C81">
        <v>233525</v>
      </c>
      <c r="D81" t="s">
        <v>1373</v>
      </c>
      <c r="E81" t="s">
        <v>1430</v>
      </c>
      <c r="F81" s="447">
        <v>0</v>
      </c>
      <c r="G81" s="447">
        <v>9403.4584822857123</v>
      </c>
      <c r="H81" s="9">
        <f t="shared" si="1"/>
        <v>9403.4584822857123</v>
      </c>
    </row>
    <row r="82" spans="1:8" x14ac:dyDescent="0.3">
      <c r="A82">
        <v>91</v>
      </c>
      <c r="B82" s="316">
        <v>46147.66611111111</v>
      </c>
      <c r="C82">
        <v>519530</v>
      </c>
      <c r="D82" t="s">
        <v>1328</v>
      </c>
      <c r="E82" t="s">
        <v>1691</v>
      </c>
      <c r="F82" s="447">
        <v>3000</v>
      </c>
      <c r="G82" s="447">
        <v>0</v>
      </c>
      <c r="H82" s="9">
        <f t="shared" si="1"/>
        <v>-3000</v>
      </c>
    </row>
    <row r="83" spans="1:8" x14ac:dyDescent="0.3">
      <c r="A83">
        <v>91</v>
      </c>
      <c r="B83" s="316">
        <v>46147.66611111111</v>
      </c>
      <c r="C83">
        <v>110505</v>
      </c>
      <c r="D83" t="s">
        <v>1314</v>
      </c>
      <c r="E83" t="s">
        <v>1691</v>
      </c>
      <c r="F83" s="447">
        <v>0</v>
      </c>
      <c r="G83" s="447">
        <v>3000</v>
      </c>
      <c r="H83" s="9">
        <f t="shared" si="1"/>
        <v>3000</v>
      </c>
    </row>
    <row r="84" spans="1:8" x14ac:dyDescent="0.3">
      <c r="A84">
        <v>90</v>
      </c>
      <c r="B84" s="316">
        <v>46147.667291666665</v>
      </c>
      <c r="C84">
        <v>519530</v>
      </c>
      <c r="D84" t="s">
        <v>1328</v>
      </c>
      <c r="E84" t="s">
        <v>1140</v>
      </c>
      <c r="F84" s="447">
        <v>10000</v>
      </c>
      <c r="G84" s="447">
        <v>0</v>
      </c>
      <c r="H84" s="9">
        <f t="shared" si="1"/>
        <v>-10000</v>
      </c>
    </row>
    <row r="85" spans="1:8" x14ac:dyDescent="0.3">
      <c r="A85">
        <v>90</v>
      </c>
      <c r="B85" s="316">
        <v>46147.667291666665</v>
      </c>
      <c r="C85">
        <v>110505</v>
      </c>
      <c r="D85" t="s">
        <v>1314</v>
      </c>
      <c r="E85" t="s">
        <v>1140</v>
      </c>
      <c r="F85" s="447">
        <v>0</v>
      </c>
      <c r="G85" s="447">
        <v>10000</v>
      </c>
      <c r="H85" s="9">
        <f t="shared" si="1"/>
        <v>10000</v>
      </c>
    </row>
    <row r="86" spans="1:8" x14ac:dyDescent="0.3">
      <c r="A86">
        <v>89</v>
      </c>
      <c r="B86" s="316">
        <v>46147.66747685185</v>
      </c>
      <c r="C86">
        <v>519530</v>
      </c>
      <c r="D86" t="s">
        <v>1328</v>
      </c>
      <c r="E86" t="s">
        <v>1689</v>
      </c>
      <c r="F86" s="447">
        <v>6000</v>
      </c>
      <c r="G86" s="447">
        <v>0</v>
      </c>
      <c r="H86" s="9">
        <f t="shared" si="1"/>
        <v>-6000</v>
      </c>
    </row>
    <row r="87" spans="1:8" x14ac:dyDescent="0.3">
      <c r="A87">
        <v>89</v>
      </c>
      <c r="B87" s="316">
        <v>46147.66747685185</v>
      </c>
      <c r="C87">
        <v>110505</v>
      </c>
      <c r="D87" t="s">
        <v>1314</v>
      </c>
      <c r="E87" t="s">
        <v>1689</v>
      </c>
      <c r="F87" s="447">
        <v>0</v>
      </c>
      <c r="G87" s="447">
        <v>6000</v>
      </c>
      <c r="H87" s="9">
        <f t="shared" si="1"/>
        <v>6000</v>
      </c>
    </row>
    <row r="88" spans="1:8" x14ac:dyDescent="0.3">
      <c r="A88">
        <v>19</v>
      </c>
      <c r="B88" s="316">
        <v>46148</v>
      </c>
      <c r="C88">
        <v>612099</v>
      </c>
      <c r="D88" t="s">
        <v>1352</v>
      </c>
      <c r="E88" t="s">
        <v>1441</v>
      </c>
      <c r="F88" s="447">
        <v>2146.8367333333335</v>
      </c>
      <c r="G88" s="447">
        <v>0</v>
      </c>
      <c r="H88" s="9">
        <f t="shared" si="1"/>
        <v>-2146.8367333333335</v>
      </c>
    </row>
    <row r="89" spans="1:8" x14ac:dyDescent="0.3">
      <c r="A89">
        <v>19</v>
      </c>
      <c r="B89" s="316">
        <v>46148</v>
      </c>
      <c r="C89">
        <v>140505</v>
      </c>
      <c r="D89" t="s">
        <v>1353</v>
      </c>
      <c r="E89" t="s">
        <v>1442</v>
      </c>
      <c r="F89" s="447">
        <v>0</v>
      </c>
      <c r="G89" s="447">
        <v>2146.8367333333335</v>
      </c>
      <c r="H89" s="9">
        <f t="shared" si="1"/>
        <v>2146.8367333333335</v>
      </c>
    </row>
    <row r="90" spans="1:8" x14ac:dyDescent="0.3">
      <c r="A90">
        <v>19</v>
      </c>
      <c r="B90" s="316">
        <v>46148</v>
      </c>
      <c r="C90">
        <v>612099</v>
      </c>
      <c r="D90" t="s">
        <v>1352</v>
      </c>
      <c r="E90" t="s">
        <v>1443</v>
      </c>
      <c r="F90" s="447">
        <v>214.68367333333336</v>
      </c>
      <c r="G90" s="447">
        <v>0</v>
      </c>
      <c r="H90" s="9">
        <f t="shared" si="1"/>
        <v>-214.68367333333336</v>
      </c>
    </row>
    <row r="91" spans="1:8" x14ac:dyDescent="0.3">
      <c r="A91">
        <v>19</v>
      </c>
      <c r="B91" s="316">
        <v>46148</v>
      </c>
      <c r="C91">
        <v>250505</v>
      </c>
      <c r="D91" t="s">
        <v>1420</v>
      </c>
      <c r="E91" t="s">
        <v>1444</v>
      </c>
      <c r="F91" s="447">
        <v>0</v>
      </c>
      <c r="G91" s="447">
        <v>214.68367333333336</v>
      </c>
      <c r="H91" s="9">
        <f t="shared" si="1"/>
        <v>214.68367333333336</v>
      </c>
    </row>
    <row r="92" spans="1:8" x14ac:dyDescent="0.3">
      <c r="A92">
        <v>19</v>
      </c>
      <c r="B92" s="316">
        <v>46148</v>
      </c>
      <c r="C92">
        <v>612099</v>
      </c>
      <c r="D92" t="s">
        <v>1352</v>
      </c>
      <c r="E92" t="s">
        <v>1445</v>
      </c>
      <c r="F92" s="447">
        <v>2506.1643266666665</v>
      </c>
      <c r="G92" s="447">
        <v>0</v>
      </c>
      <c r="H92" s="9">
        <f t="shared" si="1"/>
        <v>-2506.1643266666665</v>
      </c>
    </row>
    <row r="93" spans="1:8" x14ac:dyDescent="0.3">
      <c r="A93">
        <v>19</v>
      </c>
      <c r="B93" s="316">
        <v>46148</v>
      </c>
      <c r="C93">
        <v>233525</v>
      </c>
      <c r="D93" t="s">
        <v>1373</v>
      </c>
      <c r="E93" t="s">
        <v>1446</v>
      </c>
      <c r="F93" s="447">
        <v>0</v>
      </c>
      <c r="G93" s="447">
        <v>2506.1643266666665</v>
      </c>
      <c r="H93" s="9">
        <f t="shared" si="1"/>
        <v>2506.1643266666665</v>
      </c>
    </row>
    <row r="94" spans="1:8" x14ac:dyDescent="0.3">
      <c r="A94">
        <v>85</v>
      </c>
      <c r="B94" s="316">
        <v>46148.670017731478</v>
      </c>
      <c r="C94">
        <v>110505</v>
      </c>
      <c r="D94" t="s">
        <v>1314</v>
      </c>
      <c r="E94" t="s">
        <v>1696</v>
      </c>
      <c r="F94" s="447">
        <v>45000</v>
      </c>
      <c r="G94" s="447">
        <v>0</v>
      </c>
      <c r="H94" s="9">
        <f t="shared" si="1"/>
        <v>-45000</v>
      </c>
    </row>
    <row r="95" spans="1:8" x14ac:dyDescent="0.3">
      <c r="A95">
        <v>85</v>
      </c>
      <c r="B95" s="316">
        <v>46148.670017731478</v>
      </c>
      <c r="C95">
        <v>412005</v>
      </c>
      <c r="D95" t="s">
        <v>1368</v>
      </c>
      <c r="E95" t="s">
        <v>1696</v>
      </c>
      <c r="F95" s="447">
        <v>0</v>
      </c>
      <c r="G95" s="447">
        <v>45000</v>
      </c>
      <c r="H95" s="9">
        <f t="shared" si="1"/>
        <v>45000</v>
      </c>
    </row>
    <row r="96" spans="1:8" x14ac:dyDescent="0.3">
      <c r="A96">
        <v>85</v>
      </c>
      <c r="B96" s="316">
        <v>46148.670017731478</v>
      </c>
      <c r="C96">
        <v>612005</v>
      </c>
      <c r="D96" t="s">
        <v>1369</v>
      </c>
      <c r="E96" t="s">
        <v>1697</v>
      </c>
      <c r="F96" s="447">
        <v>14802.7516</v>
      </c>
      <c r="G96" s="447">
        <v>0</v>
      </c>
      <c r="H96" s="9">
        <f t="shared" si="1"/>
        <v>-14802.7516</v>
      </c>
    </row>
    <row r="97" spans="1:8" x14ac:dyDescent="0.3">
      <c r="A97">
        <v>85</v>
      </c>
      <c r="B97" s="316">
        <v>46148.670017731478</v>
      </c>
      <c r="C97">
        <v>143005</v>
      </c>
      <c r="D97" t="s">
        <v>1370</v>
      </c>
      <c r="E97" t="s">
        <v>1697</v>
      </c>
      <c r="F97" s="447">
        <v>0</v>
      </c>
      <c r="G97" s="447">
        <v>14802.7516</v>
      </c>
      <c r="H97" s="9">
        <f t="shared" si="1"/>
        <v>14802.7516</v>
      </c>
    </row>
    <row r="98" spans="1:8" x14ac:dyDescent="0.3">
      <c r="A98">
        <v>86</v>
      </c>
      <c r="B98" s="316">
        <v>46149.846696851855</v>
      </c>
      <c r="C98">
        <v>110505</v>
      </c>
      <c r="D98" t="s">
        <v>1314</v>
      </c>
      <c r="E98" t="s">
        <v>1698</v>
      </c>
      <c r="F98" s="447">
        <v>10002</v>
      </c>
      <c r="G98" s="447">
        <v>0</v>
      </c>
      <c r="H98" s="9">
        <f t="shared" si="1"/>
        <v>-10002</v>
      </c>
    </row>
    <row r="99" spans="1:8" x14ac:dyDescent="0.3">
      <c r="A99">
        <v>86</v>
      </c>
      <c r="B99" s="316">
        <v>46149.846696851855</v>
      </c>
      <c r="C99">
        <v>412005</v>
      </c>
      <c r="D99" t="s">
        <v>1368</v>
      </c>
      <c r="E99" t="s">
        <v>1698</v>
      </c>
      <c r="F99" s="447">
        <v>0</v>
      </c>
      <c r="G99" s="447">
        <v>10002</v>
      </c>
      <c r="H99" s="9">
        <f t="shared" si="1"/>
        <v>10002</v>
      </c>
    </row>
    <row r="100" spans="1:8" x14ac:dyDescent="0.3">
      <c r="A100">
        <v>86</v>
      </c>
      <c r="B100" s="316">
        <v>46149.846696851855</v>
      </c>
      <c r="C100">
        <v>612005</v>
      </c>
      <c r="D100" t="s">
        <v>1369</v>
      </c>
      <c r="E100" t="s">
        <v>1694</v>
      </c>
      <c r="F100" s="447">
        <v>1460.3054199999999</v>
      </c>
      <c r="G100" s="447">
        <v>0</v>
      </c>
      <c r="H100" s="9">
        <f t="shared" si="1"/>
        <v>-1460.3054199999999</v>
      </c>
    </row>
    <row r="101" spans="1:8" x14ac:dyDescent="0.3">
      <c r="A101">
        <v>86</v>
      </c>
      <c r="B101" s="316">
        <v>46149.846696851855</v>
      </c>
      <c r="C101">
        <v>143005</v>
      </c>
      <c r="D101" t="s">
        <v>1370</v>
      </c>
      <c r="E101" t="s">
        <v>1694</v>
      </c>
      <c r="F101" s="447">
        <v>0</v>
      </c>
      <c r="G101" s="447">
        <v>1460.3054199999999</v>
      </c>
      <c r="H101" s="9">
        <f t="shared" si="1"/>
        <v>1460.3054199999999</v>
      </c>
    </row>
    <row r="102" spans="1:8" x14ac:dyDescent="0.3">
      <c r="A102">
        <v>87</v>
      </c>
      <c r="B102" s="316">
        <v>46149.846696851855</v>
      </c>
      <c r="C102">
        <v>110505</v>
      </c>
      <c r="D102" t="s">
        <v>1314</v>
      </c>
      <c r="E102" t="s">
        <v>1699</v>
      </c>
      <c r="F102" s="447">
        <v>120000</v>
      </c>
      <c r="G102" s="447">
        <v>0</v>
      </c>
      <c r="H102" s="9">
        <f t="shared" si="1"/>
        <v>-120000</v>
      </c>
    </row>
    <row r="103" spans="1:8" x14ac:dyDescent="0.3">
      <c r="A103">
        <v>87</v>
      </c>
      <c r="B103" s="316">
        <v>46149.846696851855</v>
      </c>
      <c r="C103">
        <v>412005</v>
      </c>
      <c r="D103" t="s">
        <v>1368</v>
      </c>
      <c r="E103" t="s">
        <v>1699</v>
      </c>
      <c r="F103" s="447">
        <v>0</v>
      </c>
      <c r="G103" s="447">
        <v>120000</v>
      </c>
      <c r="H103" s="9">
        <f t="shared" si="1"/>
        <v>120000</v>
      </c>
    </row>
    <row r="104" spans="1:8" x14ac:dyDescent="0.3">
      <c r="A104">
        <v>87</v>
      </c>
      <c r="B104" s="316">
        <v>46149.846696851855</v>
      </c>
      <c r="C104">
        <v>612005</v>
      </c>
      <c r="D104" t="s">
        <v>1369</v>
      </c>
      <c r="E104" t="s">
        <v>1700</v>
      </c>
      <c r="F104" s="447">
        <v>49678.741500000004</v>
      </c>
      <c r="G104" s="447">
        <v>0</v>
      </c>
      <c r="H104" s="9">
        <f t="shared" si="1"/>
        <v>-49678.741500000004</v>
      </c>
    </row>
    <row r="105" spans="1:8" x14ac:dyDescent="0.3">
      <c r="A105">
        <v>87</v>
      </c>
      <c r="B105" s="316">
        <v>46149.846696851855</v>
      </c>
      <c r="C105">
        <v>143005</v>
      </c>
      <c r="D105" t="s">
        <v>1370</v>
      </c>
      <c r="E105" t="s">
        <v>1700</v>
      </c>
      <c r="F105" s="447">
        <v>0</v>
      </c>
      <c r="G105" s="447">
        <v>49678.741500000004</v>
      </c>
      <c r="H105" s="9">
        <f t="shared" si="1"/>
        <v>49678.741500000004</v>
      </c>
    </row>
    <row r="106" spans="1:8" x14ac:dyDescent="0.3">
      <c r="A106">
        <v>91</v>
      </c>
      <c r="B106" s="316">
        <v>46149.846696851855</v>
      </c>
      <c r="C106">
        <v>710505</v>
      </c>
      <c r="D106" t="s">
        <v>1372</v>
      </c>
      <c r="E106" t="s">
        <v>1814</v>
      </c>
      <c r="F106" s="447">
        <v>435.39573333333334</v>
      </c>
      <c r="G106" s="447">
        <v>0</v>
      </c>
      <c r="H106" s="9">
        <f t="shared" si="1"/>
        <v>-435.39573333333334</v>
      </c>
    </row>
    <row r="107" spans="1:8" x14ac:dyDescent="0.3">
      <c r="A107">
        <v>91</v>
      </c>
      <c r="B107" s="316">
        <v>46149.846696851855</v>
      </c>
      <c r="C107">
        <v>140505</v>
      </c>
      <c r="D107" t="s">
        <v>1353</v>
      </c>
      <c r="E107" t="s">
        <v>1814</v>
      </c>
      <c r="F107" s="447">
        <v>0</v>
      </c>
      <c r="G107" s="447">
        <v>435.39573333333334</v>
      </c>
      <c r="H107" s="9">
        <f t="shared" si="1"/>
        <v>435.39573333333334</v>
      </c>
    </row>
    <row r="108" spans="1:8" x14ac:dyDescent="0.3">
      <c r="A108">
        <v>91</v>
      </c>
      <c r="B108" s="316">
        <v>46149.846696851855</v>
      </c>
      <c r="C108">
        <v>710505</v>
      </c>
      <c r="D108" t="s">
        <v>1372</v>
      </c>
      <c r="E108" t="s">
        <v>1815</v>
      </c>
      <c r="F108" s="447">
        <v>43.539573333333337</v>
      </c>
      <c r="G108" s="447">
        <v>0</v>
      </c>
      <c r="H108" s="9">
        <f t="shared" si="1"/>
        <v>-43.539573333333337</v>
      </c>
    </row>
    <row r="109" spans="1:8" x14ac:dyDescent="0.3">
      <c r="A109">
        <v>91</v>
      </c>
      <c r="B109" s="316">
        <v>46149.846696851855</v>
      </c>
      <c r="C109">
        <v>250505</v>
      </c>
      <c r="D109" t="s">
        <v>1420</v>
      </c>
      <c r="E109" t="s">
        <v>1816</v>
      </c>
      <c r="F109" s="447">
        <v>0</v>
      </c>
      <c r="G109" s="447">
        <v>43.539573333333337</v>
      </c>
      <c r="H109" s="9">
        <f t="shared" si="1"/>
        <v>43.539573333333337</v>
      </c>
    </row>
    <row r="110" spans="1:8" x14ac:dyDescent="0.3">
      <c r="A110">
        <v>91</v>
      </c>
      <c r="B110" s="316">
        <v>46149.846696851855</v>
      </c>
      <c r="C110">
        <v>143005</v>
      </c>
      <c r="D110" t="s">
        <v>1370</v>
      </c>
      <c r="E110" t="s">
        <v>1819</v>
      </c>
      <c r="F110" s="447">
        <v>478.93530666666669</v>
      </c>
      <c r="G110" s="447">
        <v>0</v>
      </c>
      <c r="H110" s="9">
        <f t="shared" si="1"/>
        <v>-478.93530666666669</v>
      </c>
    </row>
    <row r="111" spans="1:8" x14ac:dyDescent="0.3">
      <c r="A111">
        <v>91</v>
      </c>
      <c r="B111" s="316">
        <v>46149.846696851855</v>
      </c>
      <c r="C111">
        <v>710505</v>
      </c>
      <c r="D111" t="s">
        <v>1372</v>
      </c>
      <c r="E111" t="s">
        <v>1820</v>
      </c>
      <c r="F111" s="447">
        <v>0</v>
      </c>
      <c r="G111" s="447">
        <v>478.93530666666669</v>
      </c>
      <c r="H111" s="9">
        <f t="shared" si="1"/>
        <v>478.93530666666669</v>
      </c>
    </row>
    <row r="112" spans="1:8" x14ac:dyDescent="0.3">
      <c r="A112">
        <v>88</v>
      </c>
      <c r="B112" s="316">
        <v>46149.846701388888</v>
      </c>
      <c r="C112">
        <v>152005</v>
      </c>
      <c r="D112" t="s">
        <v>1327</v>
      </c>
      <c r="E112" t="s">
        <v>1313</v>
      </c>
      <c r="F112" s="447">
        <v>597065</v>
      </c>
      <c r="G112" s="447">
        <v>0</v>
      </c>
      <c r="H112" s="9">
        <f t="shared" si="1"/>
        <v>-597065</v>
      </c>
    </row>
    <row r="113" spans="1:8" x14ac:dyDescent="0.3">
      <c r="A113">
        <v>88</v>
      </c>
      <c r="B113" s="316">
        <v>46149.846701388888</v>
      </c>
      <c r="C113">
        <v>110505</v>
      </c>
      <c r="D113" t="s">
        <v>1314</v>
      </c>
      <c r="E113" t="s">
        <v>1313</v>
      </c>
      <c r="F113" s="447">
        <v>0</v>
      </c>
      <c r="G113" s="447">
        <v>597065</v>
      </c>
      <c r="H113" s="9">
        <f t="shared" si="1"/>
        <v>597065</v>
      </c>
    </row>
    <row r="114" spans="1:8" x14ac:dyDescent="0.3">
      <c r="A114">
        <v>21</v>
      </c>
      <c r="B114" s="316">
        <v>46150.842022002318</v>
      </c>
      <c r="C114">
        <v>612099</v>
      </c>
      <c r="D114" t="s">
        <v>1352</v>
      </c>
      <c r="E114" t="s">
        <v>1458</v>
      </c>
      <c r="F114" s="447">
        <v>331.88351999999998</v>
      </c>
      <c r="G114" s="447">
        <v>0</v>
      </c>
      <c r="H114" s="9">
        <f t="shared" si="1"/>
        <v>-331.88351999999998</v>
      </c>
    </row>
    <row r="115" spans="1:8" x14ac:dyDescent="0.3">
      <c r="A115">
        <v>21</v>
      </c>
      <c r="B115" s="316">
        <v>46150.842022002318</v>
      </c>
      <c r="C115">
        <v>140505</v>
      </c>
      <c r="D115" t="s">
        <v>1353</v>
      </c>
      <c r="E115" t="s">
        <v>1459</v>
      </c>
      <c r="F115" s="447">
        <v>0</v>
      </c>
      <c r="G115" s="447">
        <v>331.88351999999998</v>
      </c>
      <c r="H115" s="9">
        <f t="shared" si="1"/>
        <v>331.88351999999998</v>
      </c>
    </row>
    <row r="116" spans="1:8" x14ac:dyDescent="0.3">
      <c r="A116">
        <v>21</v>
      </c>
      <c r="B116" s="316">
        <v>46150.842022002318</v>
      </c>
      <c r="C116">
        <v>612099</v>
      </c>
      <c r="D116" t="s">
        <v>1352</v>
      </c>
      <c r="E116" t="s">
        <v>1460</v>
      </c>
      <c r="F116" s="447">
        <v>33.188352000000002</v>
      </c>
      <c r="G116" s="447">
        <v>0</v>
      </c>
      <c r="H116" s="9">
        <f t="shared" si="1"/>
        <v>-33.188352000000002</v>
      </c>
    </row>
    <row r="117" spans="1:8" x14ac:dyDescent="0.3">
      <c r="A117">
        <v>21</v>
      </c>
      <c r="B117" s="316">
        <v>46150.842022002318</v>
      </c>
      <c r="C117">
        <v>250505</v>
      </c>
      <c r="D117" t="s">
        <v>1420</v>
      </c>
      <c r="E117" t="s">
        <v>1461</v>
      </c>
      <c r="F117" s="447">
        <v>0</v>
      </c>
      <c r="G117" s="447">
        <v>33.188352000000002</v>
      </c>
      <c r="H117" s="9">
        <f t="shared" si="1"/>
        <v>33.188352000000002</v>
      </c>
    </row>
    <row r="118" spans="1:8" x14ac:dyDescent="0.3">
      <c r="A118">
        <v>21</v>
      </c>
      <c r="B118" s="316">
        <v>46150.842022002318</v>
      </c>
      <c r="C118">
        <v>612099</v>
      </c>
      <c r="D118" t="s">
        <v>1352</v>
      </c>
      <c r="E118" t="s">
        <v>1462</v>
      </c>
      <c r="F118" s="447">
        <v>323.42764800000009</v>
      </c>
      <c r="G118" s="447">
        <v>0</v>
      </c>
      <c r="H118" s="9">
        <f t="shared" si="1"/>
        <v>-323.42764800000009</v>
      </c>
    </row>
    <row r="119" spans="1:8" x14ac:dyDescent="0.3">
      <c r="A119">
        <v>21</v>
      </c>
      <c r="B119" s="316">
        <v>46150.842022002318</v>
      </c>
      <c r="C119">
        <v>233525</v>
      </c>
      <c r="D119" t="s">
        <v>1373</v>
      </c>
      <c r="E119" t="s">
        <v>1463</v>
      </c>
      <c r="F119" s="447">
        <v>0</v>
      </c>
      <c r="G119" s="447">
        <v>323.42764800000009</v>
      </c>
      <c r="H119" s="9">
        <f t="shared" si="1"/>
        <v>323.42764800000009</v>
      </c>
    </row>
    <row r="120" spans="1:8" x14ac:dyDescent="0.3">
      <c r="A120">
        <v>93</v>
      </c>
      <c r="B120" s="316">
        <v>46151.579171840276</v>
      </c>
      <c r="C120">
        <v>612005</v>
      </c>
      <c r="D120" t="s">
        <v>1369</v>
      </c>
      <c r="E120" t="s">
        <v>1701</v>
      </c>
      <c r="F120" s="447">
        <v>973.53700000000003</v>
      </c>
      <c r="G120" s="447">
        <v>0</v>
      </c>
      <c r="H120" s="9">
        <f t="shared" si="1"/>
        <v>-973.53700000000003</v>
      </c>
    </row>
    <row r="121" spans="1:8" x14ac:dyDescent="0.3">
      <c r="A121">
        <v>93</v>
      </c>
      <c r="B121" s="316">
        <v>46151.579171840276</v>
      </c>
      <c r="C121">
        <v>143005</v>
      </c>
      <c r="D121" t="s">
        <v>1370</v>
      </c>
      <c r="E121" t="s">
        <v>1701</v>
      </c>
      <c r="F121" s="447">
        <v>0</v>
      </c>
      <c r="G121" s="447">
        <v>973.53700000000003</v>
      </c>
      <c r="H121" s="9">
        <f t="shared" si="1"/>
        <v>973.53700000000003</v>
      </c>
    </row>
    <row r="122" spans="1:8" x14ac:dyDescent="0.3">
      <c r="A122">
        <v>94</v>
      </c>
      <c r="B122" s="316">
        <v>46151.579171840276</v>
      </c>
      <c r="C122">
        <v>110505</v>
      </c>
      <c r="D122" t="s">
        <v>1314</v>
      </c>
      <c r="E122" t="s">
        <v>1692</v>
      </c>
      <c r="F122" s="447">
        <v>45000</v>
      </c>
      <c r="G122" s="447">
        <v>0</v>
      </c>
      <c r="H122" s="9">
        <f t="shared" si="1"/>
        <v>-45000</v>
      </c>
    </row>
    <row r="123" spans="1:8" x14ac:dyDescent="0.3">
      <c r="A123">
        <v>94</v>
      </c>
      <c r="B123" s="316">
        <v>46151.579171840276</v>
      </c>
      <c r="C123">
        <v>412005</v>
      </c>
      <c r="D123" t="s">
        <v>1368</v>
      </c>
      <c r="E123" t="s">
        <v>1692</v>
      </c>
      <c r="F123" s="447">
        <v>0</v>
      </c>
      <c r="G123" s="447">
        <v>45000</v>
      </c>
      <c r="H123" s="9">
        <f t="shared" si="1"/>
        <v>45000</v>
      </c>
    </row>
    <row r="124" spans="1:8" x14ac:dyDescent="0.3">
      <c r="A124">
        <v>94</v>
      </c>
      <c r="B124" s="316">
        <v>46151.579171840276</v>
      </c>
      <c r="C124">
        <v>612005</v>
      </c>
      <c r="D124" t="s">
        <v>1369</v>
      </c>
      <c r="E124" t="s">
        <v>1693</v>
      </c>
      <c r="F124" s="447">
        <v>15034.3855</v>
      </c>
      <c r="G124" s="447">
        <v>0</v>
      </c>
      <c r="H124" s="9">
        <f t="shared" si="1"/>
        <v>-15034.3855</v>
      </c>
    </row>
    <row r="125" spans="1:8" x14ac:dyDescent="0.3">
      <c r="A125">
        <v>94</v>
      </c>
      <c r="B125" s="316">
        <v>46151.579171840276</v>
      </c>
      <c r="C125">
        <v>143005</v>
      </c>
      <c r="D125" t="s">
        <v>1370</v>
      </c>
      <c r="E125" t="s">
        <v>1693</v>
      </c>
      <c r="F125" s="447">
        <v>0</v>
      </c>
      <c r="G125" s="447">
        <v>15034.3855</v>
      </c>
      <c r="H125" s="9">
        <f t="shared" si="1"/>
        <v>15034.3855</v>
      </c>
    </row>
    <row r="126" spans="1:8" x14ac:dyDescent="0.3">
      <c r="A126">
        <v>96</v>
      </c>
      <c r="B126" s="316">
        <v>46151.877083333333</v>
      </c>
      <c r="C126">
        <v>710505</v>
      </c>
      <c r="D126" t="s">
        <v>1372</v>
      </c>
      <c r="E126" t="s">
        <v>1703</v>
      </c>
      <c r="F126" s="447">
        <v>2535.7131999999997</v>
      </c>
      <c r="G126" s="447">
        <v>0</v>
      </c>
      <c r="H126" s="9">
        <f t="shared" si="1"/>
        <v>-2535.7131999999997</v>
      </c>
    </row>
    <row r="127" spans="1:8" x14ac:dyDescent="0.3">
      <c r="A127">
        <v>96</v>
      </c>
      <c r="B127" s="316">
        <v>46151.877083333333</v>
      </c>
      <c r="C127">
        <v>140505</v>
      </c>
      <c r="D127" t="s">
        <v>1353</v>
      </c>
      <c r="E127" t="s">
        <v>1703</v>
      </c>
      <c r="F127" s="447">
        <v>0</v>
      </c>
      <c r="G127" s="447">
        <v>2535.7131999999997</v>
      </c>
      <c r="H127" s="9">
        <f t="shared" si="1"/>
        <v>2535.7131999999997</v>
      </c>
    </row>
    <row r="128" spans="1:8" x14ac:dyDescent="0.3">
      <c r="A128">
        <v>96</v>
      </c>
      <c r="B128" s="316">
        <v>46151.877083333333</v>
      </c>
      <c r="C128">
        <v>710505</v>
      </c>
      <c r="D128" t="s">
        <v>1372</v>
      </c>
      <c r="E128" t="s">
        <v>1704</v>
      </c>
      <c r="F128" s="447">
        <v>253.57131999999999</v>
      </c>
      <c r="G128" s="447">
        <v>0</v>
      </c>
      <c r="H128" s="9">
        <f t="shared" si="1"/>
        <v>-253.57131999999999</v>
      </c>
    </row>
    <row r="129" spans="1:8" x14ac:dyDescent="0.3">
      <c r="A129">
        <v>96</v>
      </c>
      <c r="B129" s="316">
        <v>46151.877083333333</v>
      </c>
      <c r="C129">
        <v>250505</v>
      </c>
      <c r="D129" t="s">
        <v>1420</v>
      </c>
      <c r="E129" t="s">
        <v>1705</v>
      </c>
      <c r="F129" s="447">
        <v>0</v>
      </c>
      <c r="G129" s="447">
        <v>253.57131999999999</v>
      </c>
      <c r="H129" s="9">
        <f t="shared" si="1"/>
        <v>253.57131999999999</v>
      </c>
    </row>
    <row r="130" spans="1:8" x14ac:dyDescent="0.3">
      <c r="A130">
        <v>96</v>
      </c>
      <c r="B130" s="316">
        <v>46151.877083333333</v>
      </c>
      <c r="C130">
        <v>710505</v>
      </c>
      <c r="D130" t="s">
        <v>1372</v>
      </c>
      <c r="E130" t="s">
        <v>1706</v>
      </c>
      <c r="F130" s="447">
        <v>3233.3406800000007</v>
      </c>
      <c r="G130" s="447">
        <v>0</v>
      </c>
      <c r="H130" s="9">
        <f t="shared" si="1"/>
        <v>-3233.3406800000007</v>
      </c>
    </row>
    <row r="131" spans="1:8" x14ac:dyDescent="0.3">
      <c r="A131">
        <v>96</v>
      </c>
      <c r="B131" s="316">
        <v>46151.877083333333</v>
      </c>
      <c r="C131">
        <v>233525</v>
      </c>
      <c r="D131" t="s">
        <v>1373</v>
      </c>
      <c r="E131" t="s">
        <v>1707</v>
      </c>
      <c r="F131" s="447">
        <v>0</v>
      </c>
      <c r="G131" s="447">
        <v>3233.3406800000007</v>
      </c>
      <c r="H131" s="9">
        <f t="shared" ref="H131:H194" si="2">+G131-F131</f>
        <v>3233.3406800000007</v>
      </c>
    </row>
    <row r="132" spans="1:8" x14ac:dyDescent="0.3">
      <c r="A132">
        <v>96</v>
      </c>
      <c r="B132" s="316">
        <v>46151.877083333333</v>
      </c>
      <c r="C132">
        <v>143005</v>
      </c>
      <c r="D132" t="s">
        <v>1370</v>
      </c>
      <c r="E132" t="s">
        <v>1708</v>
      </c>
      <c r="F132" s="447">
        <v>6022.6252000000004</v>
      </c>
      <c r="G132" s="447">
        <v>0</v>
      </c>
      <c r="H132" s="9">
        <f t="shared" si="2"/>
        <v>-6022.6252000000004</v>
      </c>
    </row>
    <row r="133" spans="1:8" x14ac:dyDescent="0.3">
      <c r="A133">
        <v>96</v>
      </c>
      <c r="B133" s="316">
        <v>46151.877083333333</v>
      </c>
      <c r="C133">
        <v>710505</v>
      </c>
      <c r="D133" t="s">
        <v>1372</v>
      </c>
      <c r="E133" t="s">
        <v>1709</v>
      </c>
      <c r="F133" s="447">
        <v>0</v>
      </c>
      <c r="G133" s="447">
        <v>6022.6252000000004</v>
      </c>
      <c r="H133" s="9">
        <f t="shared" si="2"/>
        <v>6022.6252000000004</v>
      </c>
    </row>
    <row r="134" spans="1:8" x14ac:dyDescent="0.3">
      <c r="A134">
        <v>98</v>
      </c>
      <c r="B134" s="316">
        <v>46152.48333333333</v>
      </c>
      <c r="C134">
        <v>710505</v>
      </c>
      <c r="D134" t="s">
        <v>1372</v>
      </c>
      <c r="E134" t="s">
        <v>1711</v>
      </c>
      <c r="F134" s="447">
        <v>3879.6000000000004</v>
      </c>
      <c r="G134" s="447">
        <v>0</v>
      </c>
      <c r="H134" s="9">
        <f t="shared" si="2"/>
        <v>-3879.6000000000004</v>
      </c>
    </row>
    <row r="135" spans="1:8" x14ac:dyDescent="0.3">
      <c r="A135">
        <v>98</v>
      </c>
      <c r="B135" s="316">
        <v>46152.48333333333</v>
      </c>
      <c r="C135">
        <v>140505</v>
      </c>
      <c r="D135" t="s">
        <v>1353</v>
      </c>
      <c r="E135" t="s">
        <v>1711</v>
      </c>
      <c r="F135" s="447">
        <v>0</v>
      </c>
      <c r="G135" s="447">
        <v>3879.6000000000004</v>
      </c>
      <c r="H135" s="9">
        <f t="shared" si="2"/>
        <v>3879.6000000000004</v>
      </c>
    </row>
    <row r="136" spans="1:8" x14ac:dyDescent="0.3">
      <c r="A136">
        <v>98</v>
      </c>
      <c r="B136" s="316">
        <v>46152.48333333333</v>
      </c>
      <c r="C136">
        <v>710505</v>
      </c>
      <c r="D136" t="s">
        <v>1372</v>
      </c>
      <c r="E136" t="s">
        <v>1712</v>
      </c>
      <c r="F136" s="447">
        <v>387.96000000000004</v>
      </c>
      <c r="G136" s="447">
        <v>0</v>
      </c>
      <c r="H136" s="9">
        <f t="shared" si="2"/>
        <v>-387.96000000000004</v>
      </c>
    </row>
    <row r="137" spans="1:8" x14ac:dyDescent="0.3">
      <c r="A137">
        <v>98</v>
      </c>
      <c r="B137" s="316">
        <v>46152.48333333333</v>
      </c>
      <c r="C137">
        <v>250505</v>
      </c>
      <c r="D137" t="s">
        <v>1420</v>
      </c>
      <c r="E137" t="s">
        <v>1713</v>
      </c>
      <c r="F137" s="447">
        <v>0</v>
      </c>
      <c r="G137" s="447">
        <v>387.96000000000004</v>
      </c>
      <c r="H137" s="9">
        <f t="shared" si="2"/>
        <v>387.96000000000004</v>
      </c>
    </row>
    <row r="138" spans="1:8" x14ac:dyDescent="0.3">
      <c r="A138">
        <v>98</v>
      </c>
      <c r="B138" s="316">
        <v>46152.48333333333</v>
      </c>
      <c r="C138">
        <v>710505</v>
      </c>
      <c r="D138" t="s">
        <v>1372</v>
      </c>
      <c r="E138" t="s">
        <v>1714</v>
      </c>
      <c r="F138" s="447">
        <v>1897.0240000000003</v>
      </c>
      <c r="G138" s="447">
        <v>0</v>
      </c>
      <c r="H138" s="9">
        <f t="shared" si="2"/>
        <v>-1897.0240000000003</v>
      </c>
    </row>
    <row r="139" spans="1:8" x14ac:dyDescent="0.3">
      <c r="A139">
        <v>98</v>
      </c>
      <c r="B139" s="316">
        <v>46152.48333333333</v>
      </c>
      <c r="C139">
        <v>233525</v>
      </c>
      <c r="D139" t="s">
        <v>1373</v>
      </c>
      <c r="E139" t="s">
        <v>1715</v>
      </c>
      <c r="F139" s="447">
        <v>0</v>
      </c>
      <c r="G139" s="447">
        <v>1897.0240000000003</v>
      </c>
      <c r="H139" s="9">
        <f t="shared" si="2"/>
        <v>1897.0240000000003</v>
      </c>
    </row>
    <row r="140" spans="1:8" x14ac:dyDescent="0.3">
      <c r="A140">
        <v>98</v>
      </c>
      <c r="B140" s="316">
        <v>46152.48333333333</v>
      </c>
      <c r="C140">
        <v>143005</v>
      </c>
      <c r="D140" t="s">
        <v>1370</v>
      </c>
      <c r="E140" t="s">
        <v>1716</v>
      </c>
      <c r="F140" s="447">
        <v>6164.5840000000007</v>
      </c>
      <c r="G140" s="447">
        <v>0</v>
      </c>
      <c r="H140" s="9">
        <f t="shared" si="2"/>
        <v>-6164.5840000000007</v>
      </c>
    </row>
    <row r="141" spans="1:8" x14ac:dyDescent="0.3">
      <c r="A141">
        <v>98</v>
      </c>
      <c r="B141" s="316">
        <v>46152.48333333333</v>
      </c>
      <c r="C141">
        <v>710505</v>
      </c>
      <c r="D141" t="s">
        <v>1372</v>
      </c>
      <c r="E141" t="s">
        <v>1717</v>
      </c>
      <c r="F141" s="447">
        <v>0</v>
      </c>
      <c r="G141" s="447">
        <v>6164.5840000000007</v>
      </c>
      <c r="H141" s="9">
        <f t="shared" si="2"/>
        <v>6164.5840000000007</v>
      </c>
    </row>
    <row r="142" spans="1:8" x14ac:dyDescent="0.3">
      <c r="A142">
        <v>95</v>
      </c>
      <c r="B142" s="316">
        <v>46152.509432870371</v>
      </c>
      <c r="C142">
        <v>519530</v>
      </c>
      <c r="D142" t="s">
        <v>1328</v>
      </c>
      <c r="E142" t="s">
        <v>1690</v>
      </c>
      <c r="F142" s="447">
        <v>4500</v>
      </c>
      <c r="G142" s="447">
        <v>0</v>
      </c>
      <c r="H142" s="9">
        <f t="shared" si="2"/>
        <v>-4500</v>
      </c>
    </row>
    <row r="143" spans="1:8" x14ac:dyDescent="0.3">
      <c r="A143">
        <v>95</v>
      </c>
      <c r="B143" s="316">
        <v>46152.509432870371</v>
      </c>
      <c r="C143">
        <v>110505</v>
      </c>
      <c r="D143" t="s">
        <v>1314</v>
      </c>
      <c r="E143" t="s">
        <v>1690</v>
      </c>
      <c r="F143" s="447">
        <v>0</v>
      </c>
      <c r="G143" s="447">
        <v>4500</v>
      </c>
      <c r="H143" s="9">
        <f t="shared" si="2"/>
        <v>4500</v>
      </c>
    </row>
    <row r="144" spans="1:8" x14ac:dyDescent="0.3">
      <c r="A144">
        <v>97</v>
      </c>
      <c r="B144" s="316">
        <v>46152.663888888892</v>
      </c>
      <c r="C144">
        <v>710505</v>
      </c>
      <c r="D144" t="s">
        <v>1372</v>
      </c>
      <c r="E144" t="s">
        <v>1703</v>
      </c>
      <c r="F144" s="447">
        <v>1276.0962</v>
      </c>
      <c r="G144" s="447">
        <v>0</v>
      </c>
      <c r="H144" s="9">
        <f t="shared" si="2"/>
        <v>-1276.0962</v>
      </c>
    </row>
    <row r="145" spans="1:8" x14ac:dyDescent="0.3">
      <c r="A145">
        <v>97</v>
      </c>
      <c r="B145" s="316">
        <v>46152.663888888892</v>
      </c>
      <c r="C145">
        <v>140505</v>
      </c>
      <c r="D145" t="s">
        <v>1353</v>
      </c>
      <c r="E145" t="s">
        <v>1703</v>
      </c>
      <c r="F145" s="447">
        <v>0</v>
      </c>
      <c r="G145" s="447">
        <v>1276.0962</v>
      </c>
      <c r="H145" s="9">
        <f t="shared" si="2"/>
        <v>1276.0962</v>
      </c>
    </row>
    <row r="146" spans="1:8" x14ac:dyDescent="0.3">
      <c r="A146">
        <v>97</v>
      </c>
      <c r="B146" s="316">
        <v>46152.663888888892</v>
      </c>
      <c r="C146">
        <v>710505</v>
      </c>
      <c r="D146" t="s">
        <v>1372</v>
      </c>
      <c r="E146" t="s">
        <v>1704</v>
      </c>
      <c r="F146" s="447">
        <v>127.60962000000001</v>
      </c>
      <c r="G146" s="447">
        <v>0</v>
      </c>
      <c r="H146" s="9">
        <f t="shared" si="2"/>
        <v>-127.60962000000001</v>
      </c>
    </row>
    <row r="147" spans="1:8" x14ac:dyDescent="0.3">
      <c r="A147">
        <v>97</v>
      </c>
      <c r="B147" s="316">
        <v>46152.663888888892</v>
      </c>
      <c r="C147">
        <v>250505</v>
      </c>
      <c r="D147" t="s">
        <v>1420</v>
      </c>
      <c r="E147" t="s">
        <v>1705</v>
      </c>
      <c r="F147" s="447">
        <v>0</v>
      </c>
      <c r="G147" s="447">
        <v>127.60962000000001</v>
      </c>
      <c r="H147" s="9">
        <f t="shared" si="2"/>
        <v>127.60962000000001</v>
      </c>
    </row>
    <row r="148" spans="1:8" x14ac:dyDescent="0.3">
      <c r="A148">
        <v>97</v>
      </c>
      <c r="B148" s="316">
        <v>46152.663888888892</v>
      </c>
      <c r="C148">
        <v>710505</v>
      </c>
      <c r="D148" t="s">
        <v>1372</v>
      </c>
      <c r="E148" t="s">
        <v>1706</v>
      </c>
      <c r="F148" s="447">
        <v>1721.5103799999999</v>
      </c>
      <c r="G148" s="447">
        <v>0</v>
      </c>
      <c r="H148" s="9">
        <f t="shared" si="2"/>
        <v>-1721.5103799999999</v>
      </c>
    </row>
    <row r="149" spans="1:8" x14ac:dyDescent="0.3">
      <c r="A149">
        <v>97</v>
      </c>
      <c r="B149" s="316">
        <v>46152.663888888892</v>
      </c>
      <c r="C149">
        <v>233525</v>
      </c>
      <c r="D149" t="s">
        <v>1373</v>
      </c>
      <c r="E149" t="s">
        <v>1707</v>
      </c>
      <c r="F149" s="447">
        <v>0</v>
      </c>
      <c r="G149" s="447">
        <v>1721.5103799999999</v>
      </c>
      <c r="H149" s="9">
        <f t="shared" si="2"/>
        <v>1721.5103799999999</v>
      </c>
    </row>
    <row r="150" spans="1:8" x14ac:dyDescent="0.3">
      <c r="A150">
        <v>97</v>
      </c>
      <c r="B150" s="316">
        <v>46152.663888888892</v>
      </c>
      <c r="C150">
        <v>143005</v>
      </c>
      <c r="D150" t="s">
        <v>1370</v>
      </c>
      <c r="E150" t="s">
        <v>1708</v>
      </c>
      <c r="F150" s="447">
        <v>3125.2161999999998</v>
      </c>
      <c r="G150" s="447">
        <v>0</v>
      </c>
      <c r="H150" s="9">
        <f t="shared" si="2"/>
        <v>-3125.2161999999998</v>
      </c>
    </row>
    <row r="151" spans="1:8" x14ac:dyDescent="0.3">
      <c r="A151">
        <v>97</v>
      </c>
      <c r="B151" s="316">
        <v>46152.663888888892</v>
      </c>
      <c r="C151">
        <v>710505</v>
      </c>
      <c r="D151" t="s">
        <v>1372</v>
      </c>
      <c r="E151" t="s">
        <v>1709</v>
      </c>
      <c r="F151" s="447">
        <v>0</v>
      </c>
      <c r="G151" s="447">
        <v>3125.2161999999998</v>
      </c>
      <c r="H151" s="9">
        <f t="shared" si="2"/>
        <v>3125.2161999999998</v>
      </c>
    </row>
    <row r="152" spans="1:8" x14ac:dyDescent="0.3">
      <c r="A152">
        <v>90</v>
      </c>
      <c r="B152" s="316">
        <v>46152.663888888892</v>
      </c>
      <c r="C152">
        <v>710505</v>
      </c>
      <c r="D152" t="s">
        <v>1372</v>
      </c>
      <c r="E152" t="s">
        <v>1815</v>
      </c>
      <c r="F152" s="447">
        <v>127.60962000000001</v>
      </c>
      <c r="G152" s="447">
        <v>0</v>
      </c>
      <c r="H152" s="9">
        <f t="shared" si="2"/>
        <v>-127.60962000000001</v>
      </c>
    </row>
    <row r="153" spans="1:8" x14ac:dyDescent="0.3">
      <c r="A153">
        <v>90</v>
      </c>
      <c r="B153" s="316">
        <v>46152.663888888892</v>
      </c>
      <c r="C153">
        <v>250505</v>
      </c>
      <c r="D153" t="s">
        <v>1420</v>
      </c>
      <c r="E153" t="s">
        <v>1816</v>
      </c>
      <c r="F153" s="447">
        <v>0</v>
      </c>
      <c r="G153" s="447">
        <v>127.60962000000001</v>
      </c>
      <c r="H153" s="9">
        <f t="shared" si="2"/>
        <v>127.60962000000001</v>
      </c>
    </row>
    <row r="154" spans="1:8" x14ac:dyDescent="0.3">
      <c r="A154">
        <v>90</v>
      </c>
      <c r="B154" s="316">
        <v>46152.663888888892</v>
      </c>
      <c r="C154">
        <v>710505</v>
      </c>
      <c r="D154" t="s">
        <v>1372</v>
      </c>
      <c r="E154" t="s">
        <v>1817</v>
      </c>
      <c r="F154" s="447">
        <v>1721.5103799999999</v>
      </c>
      <c r="G154" s="447">
        <v>0</v>
      </c>
      <c r="H154" s="9">
        <f t="shared" si="2"/>
        <v>-1721.5103799999999</v>
      </c>
    </row>
    <row r="155" spans="1:8" x14ac:dyDescent="0.3">
      <c r="A155">
        <v>90</v>
      </c>
      <c r="B155" s="316">
        <v>46152.663888888892</v>
      </c>
      <c r="C155">
        <v>233525</v>
      </c>
      <c r="D155" t="s">
        <v>1373</v>
      </c>
      <c r="E155" t="s">
        <v>1818</v>
      </c>
      <c r="F155" s="447">
        <v>0</v>
      </c>
      <c r="G155" s="447">
        <v>1721.5103799999999</v>
      </c>
      <c r="H155" s="9">
        <f t="shared" si="2"/>
        <v>1721.5103799999999</v>
      </c>
    </row>
    <row r="156" spans="1:8" x14ac:dyDescent="0.3">
      <c r="A156">
        <v>90</v>
      </c>
      <c r="B156" s="316">
        <v>46152.663888888892</v>
      </c>
      <c r="C156">
        <v>143005</v>
      </c>
      <c r="D156" t="s">
        <v>1370</v>
      </c>
      <c r="E156" t="s">
        <v>1819</v>
      </c>
      <c r="F156" s="447">
        <v>3125.2161999999998</v>
      </c>
      <c r="G156" s="447">
        <v>0</v>
      </c>
      <c r="H156" s="9">
        <f t="shared" si="2"/>
        <v>-3125.2161999999998</v>
      </c>
    </row>
    <row r="157" spans="1:8" x14ac:dyDescent="0.3">
      <c r="A157">
        <v>90</v>
      </c>
      <c r="B157" s="316">
        <v>46152.663888888892</v>
      </c>
      <c r="C157">
        <v>710505</v>
      </c>
      <c r="D157" t="s">
        <v>1372</v>
      </c>
      <c r="E157" t="s">
        <v>1820</v>
      </c>
      <c r="F157" s="447">
        <v>0</v>
      </c>
      <c r="G157" s="447">
        <v>3125.2161999999998</v>
      </c>
      <c r="H157" s="9">
        <f t="shared" si="2"/>
        <v>3125.2161999999998</v>
      </c>
    </row>
    <row r="158" spans="1:8" x14ac:dyDescent="0.3">
      <c r="A158">
        <v>87</v>
      </c>
      <c r="B158" s="316">
        <v>46152.70042739583</v>
      </c>
      <c r="C158">
        <v>110505</v>
      </c>
      <c r="D158" t="s">
        <v>1314</v>
      </c>
      <c r="E158" t="s">
        <v>1812</v>
      </c>
      <c r="F158" s="447">
        <v>20000</v>
      </c>
      <c r="G158" s="447">
        <v>0</v>
      </c>
      <c r="H158" s="9">
        <f t="shared" si="2"/>
        <v>-20000</v>
      </c>
    </row>
    <row r="159" spans="1:8" x14ac:dyDescent="0.3">
      <c r="A159">
        <v>87</v>
      </c>
      <c r="B159" s="316">
        <v>46152.70042739583</v>
      </c>
      <c r="C159">
        <v>412005</v>
      </c>
      <c r="D159" t="s">
        <v>1368</v>
      </c>
      <c r="E159" t="s">
        <v>1812</v>
      </c>
      <c r="F159" s="447">
        <v>0</v>
      </c>
      <c r="G159" s="447">
        <v>20000</v>
      </c>
      <c r="H159" s="9">
        <f t="shared" si="2"/>
        <v>20000</v>
      </c>
    </row>
    <row r="160" spans="1:8" x14ac:dyDescent="0.3">
      <c r="A160">
        <v>87</v>
      </c>
      <c r="B160" s="316">
        <v>46152.70042739583</v>
      </c>
      <c r="C160">
        <v>612005</v>
      </c>
      <c r="D160" t="s">
        <v>1369</v>
      </c>
      <c r="E160" t="s">
        <v>1811</v>
      </c>
      <c r="F160" s="447">
        <v>2083.4776000000002</v>
      </c>
      <c r="G160" s="447">
        <v>0</v>
      </c>
      <c r="H160" s="9">
        <f t="shared" si="2"/>
        <v>-2083.4776000000002</v>
      </c>
    </row>
    <row r="161" spans="1:8" x14ac:dyDescent="0.3">
      <c r="A161">
        <v>87</v>
      </c>
      <c r="B161" s="316">
        <v>46152.70042739583</v>
      </c>
      <c r="C161">
        <v>143005</v>
      </c>
      <c r="D161" t="s">
        <v>1370</v>
      </c>
      <c r="E161" t="s">
        <v>1811</v>
      </c>
      <c r="F161" s="447">
        <v>0</v>
      </c>
      <c r="G161" s="447">
        <v>2083.4776000000002</v>
      </c>
      <c r="H161" s="9">
        <f t="shared" si="2"/>
        <v>2083.4776000000002</v>
      </c>
    </row>
    <row r="162" spans="1:8" x14ac:dyDescent="0.3">
      <c r="A162">
        <v>99</v>
      </c>
      <c r="B162" s="316">
        <v>46152.76666666667</v>
      </c>
      <c r="C162">
        <v>710505</v>
      </c>
      <c r="D162" t="s">
        <v>1372</v>
      </c>
      <c r="E162" t="s">
        <v>1720</v>
      </c>
      <c r="F162" s="447">
        <v>4285.5167999999994</v>
      </c>
      <c r="G162" s="447">
        <v>0</v>
      </c>
      <c r="H162" s="9">
        <f t="shared" si="2"/>
        <v>-4285.5167999999994</v>
      </c>
    </row>
    <row r="163" spans="1:8" x14ac:dyDescent="0.3">
      <c r="A163">
        <v>99</v>
      </c>
      <c r="B163" s="316">
        <v>46152.76666666667</v>
      </c>
      <c r="C163">
        <v>140505</v>
      </c>
      <c r="D163" t="s">
        <v>1353</v>
      </c>
      <c r="E163" t="s">
        <v>1720</v>
      </c>
      <c r="F163" s="447">
        <v>0</v>
      </c>
      <c r="G163" s="447">
        <v>4285.5167999999994</v>
      </c>
      <c r="H163" s="9">
        <f t="shared" si="2"/>
        <v>4285.5167999999994</v>
      </c>
    </row>
    <row r="164" spans="1:8" x14ac:dyDescent="0.3">
      <c r="A164">
        <v>99</v>
      </c>
      <c r="B164" s="316">
        <v>46152.76666666667</v>
      </c>
      <c r="C164">
        <v>710505</v>
      </c>
      <c r="D164" t="s">
        <v>1372</v>
      </c>
      <c r="E164" t="s">
        <v>1721</v>
      </c>
      <c r="F164" s="447">
        <v>428.55167999999998</v>
      </c>
      <c r="G164" s="447">
        <v>0</v>
      </c>
      <c r="H164" s="9">
        <f t="shared" si="2"/>
        <v>-428.55167999999998</v>
      </c>
    </row>
    <row r="165" spans="1:8" x14ac:dyDescent="0.3">
      <c r="A165">
        <v>99</v>
      </c>
      <c r="B165" s="316">
        <v>46152.76666666667</v>
      </c>
      <c r="C165">
        <v>250505</v>
      </c>
      <c r="D165" t="s">
        <v>1420</v>
      </c>
      <c r="E165" t="s">
        <v>1722</v>
      </c>
      <c r="F165" s="447">
        <v>0</v>
      </c>
      <c r="G165" s="447">
        <v>428.55167999999998</v>
      </c>
      <c r="H165" s="9">
        <f t="shared" si="2"/>
        <v>428.55167999999998</v>
      </c>
    </row>
    <row r="166" spans="1:8" x14ac:dyDescent="0.3">
      <c r="A166">
        <v>99</v>
      </c>
      <c r="B166" s="316">
        <v>46152.76666666667</v>
      </c>
      <c r="C166">
        <v>710505</v>
      </c>
      <c r="D166" t="s">
        <v>1372</v>
      </c>
      <c r="E166" t="s">
        <v>1723</v>
      </c>
      <c r="F166" s="447">
        <v>1896.0563200000001</v>
      </c>
      <c r="G166" s="447">
        <v>0</v>
      </c>
      <c r="H166" s="9">
        <f t="shared" si="2"/>
        <v>-1896.0563200000001</v>
      </c>
    </row>
    <row r="167" spans="1:8" x14ac:dyDescent="0.3">
      <c r="A167">
        <v>99</v>
      </c>
      <c r="B167" s="316">
        <v>46152.76666666667</v>
      </c>
      <c r="C167">
        <v>233525</v>
      </c>
      <c r="D167" t="s">
        <v>1373</v>
      </c>
      <c r="E167" t="s">
        <v>1724</v>
      </c>
      <c r="F167" s="447">
        <v>0</v>
      </c>
      <c r="G167" s="447">
        <v>1896.0563200000001</v>
      </c>
      <c r="H167" s="9">
        <f t="shared" si="2"/>
        <v>1896.0563200000001</v>
      </c>
    </row>
    <row r="168" spans="1:8" x14ac:dyDescent="0.3">
      <c r="A168">
        <v>99</v>
      </c>
      <c r="B168" s="316">
        <v>46152.76666666667</v>
      </c>
      <c r="C168">
        <v>143005</v>
      </c>
      <c r="D168" t="s">
        <v>1370</v>
      </c>
      <c r="E168" t="s">
        <v>1725</v>
      </c>
      <c r="F168" s="447">
        <v>6610.1247999999996</v>
      </c>
      <c r="G168" s="447">
        <v>0</v>
      </c>
      <c r="H168" s="9">
        <f t="shared" si="2"/>
        <v>-6610.1247999999996</v>
      </c>
    </row>
    <row r="169" spans="1:8" x14ac:dyDescent="0.3">
      <c r="A169">
        <v>99</v>
      </c>
      <c r="B169" s="316">
        <v>46152.76666666667</v>
      </c>
      <c r="C169">
        <v>710505</v>
      </c>
      <c r="D169" t="s">
        <v>1372</v>
      </c>
      <c r="E169" t="s">
        <v>1726</v>
      </c>
      <c r="F169" s="447">
        <v>0</v>
      </c>
      <c r="G169" s="447">
        <v>6610.1247999999996</v>
      </c>
      <c r="H169" s="9">
        <f t="shared" si="2"/>
        <v>6610.1247999999996</v>
      </c>
    </row>
    <row r="170" spans="1:8" x14ac:dyDescent="0.3">
      <c r="A170">
        <v>14</v>
      </c>
      <c r="B170" s="316">
        <v>46153</v>
      </c>
      <c r="C170">
        <v>612099</v>
      </c>
      <c r="D170" t="s">
        <v>1352</v>
      </c>
      <c r="E170" t="s">
        <v>1417</v>
      </c>
      <c r="F170" s="447">
        <v>7026.2857142857138</v>
      </c>
      <c r="G170" s="447">
        <v>0</v>
      </c>
      <c r="H170" s="9">
        <f t="shared" si="2"/>
        <v>-7026.2857142857138</v>
      </c>
    </row>
    <row r="171" spans="1:8" x14ac:dyDescent="0.3">
      <c r="A171">
        <v>14</v>
      </c>
      <c r="B171" s="316">
        <v>46153</v>
      </c>
      <c r="C171">
        <v>140505</v>
      </c>
      <c r="D171" t="s">
        <v>1353</v>
      </c>
      <c r="E171" t="s">
        <v>1418</v>
      </c>
      <c r="F171" s="447">
        <v>0</v>
      </c>
      <c r="G171" s="447">
        <v>7026.2857142857138</v>
      </c>
      <c r="H171" s="9">
        <f t="shared" si="2"/>
        <v>7026.2857142857138</v>
      </c>
    </row>
    <row r="172" spans="1:8" x14ac:dyDescent="0.3">
      <c r="A172">
        <v>14</v>
      </c>
      <c r="B172" s="316">
        <v>46153</v>
      </c>
      <c r="C172">
        <v>612099</v>
      </c>
      <c r="D172" t="s">
        <v>1352</v>
      </c>
      <c r="E172" t="s">
        <v>1419</v>
      </c>
      <c r="F172" s="447">
        <v>702.62857142857138</v>
      </c>
      <c r="G172" s="447">
        <v>0</v>
      </c>
      <c r="H172" s="9">
        <f t="shared" si="2"/>
        <v>-702.62857142857138</v>
      </c>
    </row>
    <row r="173" spans="1:8" x14ac:dyDescent="0.3">
      <c r="A173">
        <v>14</v>
      </c>
      <c r="B173" s="316">
        <v>46153</v>
      </c>
      <c r="C173">
        <v>250505</v>
      </c>
      <c r="D173" t="s">
        <v>1420</v>
      </c>
      <c r="E173" t="s">
        <v>1421</v>
      </c>
      <c r="F173" s="447">
        <v>0</v>
      </c>
      <c r="G173" s="447">
        <v>702.62857142857138</v>
      </c>
      <c r="H173" s="9">
        <f t="shared" si="2"/>
        <v>702.62857142857138</v>
      </c>
    </row>
    <row r="174" spans="1:8" x14ac:dyDescent="0.3">
      <c r="A174">
        <v>14</v>
      </c>
      <c r="B174" s="316">
        <v>46153</v>
      </c>
      <c r="C174">
        <v>612099</v>
      </c>
      <c r="D174" t="s">
        <v>1352</v>
      </c>
      <c r="E174" t="s">
        <v>1422</v>
      </c>
      <c r="F174" s="447">
        <v>3603.1794285714295</v>
      </c>
      <c r="G174" s="447">
        <v>0</v>
      </c>
      <c r="H174" s="9">
        <f t="shared" si="2"/>
        <v>-3603.1794285714295</v>
      </c>
    </row>
    <row r="175" spans="1:8" x14ac:dyDescent="0.3">
      <c r="A175">
        <v>14</v>
      </c>
      <c r="B175" s="316">
        <v>46153</v>
      </c>
      <c r="C175">
        <v>233525</v>
      </c>
      <c r="D175" t="s">
        <v>1373</v>
      </c>
      <c r="E175" t="s">
        <v>1423</v>
      </c>
      <c r="F175" s="447">
        <v>0</v>
      </c>
      <c r="G175" s="447">
        <v>3603.1794285714295</v>
      </c>
      <c r="H175" s="9">
        <f t="shared" si="2"/>
        <v>3603.1794285714295</v>
      </c>
    </row>
    <row r="176" spans="1:8" x14ac:dyDescent="0.3">
      <c r="A176">
        <v>100</v>
      </c>
      <c r="B176" s="316">
        <v>46153.668749999997</v>
      </c>
      <c r="C176">
        <v>710505</v>
      </c>
      <c r="D176" t="s">
        <v>1372</v>
      </c>
      <c r="E176" t="s">
        <v>1729</v>
      </c>
      <c r="F176" s="447">
        <v>4121.8857142857141</v>
      </c>
      <c r="G176" s="447">
        <v>0</v>
      </c>
      <c r="H176" s="9">
        <f t="shared" si="2"/>
        <v>-4121.8857142857141</v>
      </c>
    </row>
    <row r="177" spans="1:8" x14ac:dyDescent="0.3">
      <c r="A177">
        <v>100</v>
      </c>
      <c r="B177" s="316">
        <v>46153.668749999997</v>
      </c>
      <c r="C177">
        <v>140505</v>
      </c>
      <c r="D177" t="s">
        <v>1353</v>
      </c>
      <c r="E177" t="s">
        <v>1729</v>
      </c>
      <c r="F177" s="447">
        <v>0</v>
      </c>
      <c r="G177" s="447">
        <v>4121.8857142857141</v>
      </c>
      <c r="H177" s="9">
        <f t="shared" si="2"/>
        <v>4121.8857142857141</v>
      </c>
    </row>
    <row r="178" spans="1:8" x14ac:dyDescent="0.3">
      <c r="A178">
        <v>100</v>
      </c>
      <c r="B178" s="316">
        <v>46153.668749999997</v>
      </c>
      <c r="C178">
        <v>710505</v>
      </c>
      <c r="D178" t="s">
        <v>1372</v>
      </c>
      <c r="E178" t="s">
        <v>1730</v>
      </c>
      <c r="F178" s="447">
        <v>412.18857142857144</v>
      </c>
      <c r="G178" s="447">
        <v>0</v>
      </c>
      <c r="H178" s="9">
        <f t="shared" si="2"/>
        <v>-412.18857142857144</v>
      </c>
    </row>
    <row r="179" spans="1:8" x14ac:dyDescent="0.3">
      <c r="A179">
        <v>100</v>
      </c>
      <c r="B179" s="316">
        <v>46153.668749999997</v>
      </c>
      <c r="C179">
        <v>250505</v>
      </c>
      <c r="D179" t="s">
        <v>1420</v>
      </c>
      <c r="E179" t="s">
        <v>1731</v>
      </c>
      <c r="F179" s="447">
        <v>0</v>
      </c>
      <c r="G179" s="447">
        <v>412.18857142857144</v>
      </c>
      <c r="H179" s="9">
        <f t="shared" si="2"/>
        <v>412.18857142857144</v>
      </c>
    </row>
    <row r="180" spans="1:8" x14ac:dyDescent="0.3">
      <c r="A180">
        <v>100</v>
      </c>
      <c r="B180" s="316">
        <v>46153.668749999997</v>
      </c>
      <c r="C180">
        <v>710505</v>
      </c>
      <c r="D180" t="s">
        <v>1372</v>
      </c>
      <c r="E180" t="s">
        <v>1732</v>
      </c>
      <c r="F180" s="447">
        <v>1701.0914285714284</v>
      </c>
      <c r="G180" s="447">
        <v>0</v>
      </c>
      <c r="H180" s="9">
        <f t="shared" si="2"/>
        <v>-1701.0914285714284</v>
      </c>
    </row>
    <row r="181" spans="1:8" x14ac:dyDescent="0.3">
      <c r="A181">
        <v>100</v>
      </c>
      <c r="B181" s="316">
        <v>46153.668749999997</v>
      </c>
      <c r="C181">
        <v>233525</v>
      </c>
      <c r="D181" t="s">
        <v>1373</v>
      </c>
      <c r="E181" t="s">
        <v>1733</v>
      </c>
      <c r="F181" s="447">
        <v>0</v>
      </c>
      <c r="G181" s="447">
        <v>1701.0914285714284</v>
      </c>
      <c r="H181" s="9">
        <f t="shared" si="2"/>
        <v>1701.0914285714284</v>
      </c>
    </row>
    <row r="182" spans="1:8" x14ac:dyDescent="0.3">
      <c r="A182">
        <v>100</v>
      </c>
      <c r="B182" s="316">
        <v>46153.668749999997</v>
      </c>
      <c r="C182">
        <v>143005</v>
      </c>
      <c r="D182" t="s">
        <v>1370</v>
      </c>
      <c r="E182" t="s">
        <v>1734</v>
      </c>
      <c r="F182" s="447">
        <v>6235.1657142857139</v>
      </c>
      <c r="G182" s="447">
        <v>0</v>
      </c>
      <c r="H182" s="9">
        <f t="shared" si="2"/>
        <v>-6235.1657142857139</v>
      </c>
    </row>
    <row r="183" spans="1:8" x14ac:dyDescent="0.3">
      <c r="A183">
        <v>100</v>
      </c>
      <c r="B183" s="316">
        <v>46153.668749999997</v>
      </c>
      <c r="C183">
        <v>710505</v>
      </c>
      <c r="D183" t="s">
        <v>1372</v>
      </c>
      <c r="E183" t="s">
        <v>1735</v>
      </c>
      <c r="F183" s="447">
        <v>0</v>
      </c>
      <c r="G183" s="447">
        <v>6235.1657142857139</v>
      </c>
      <c r="H183" s="9">
        <f t="shared" si="2"/>
        <v>6235.1657142857139</v>
      </c>
    </row>
    <row r="184" spans="1:8" x14ac:dyDescent="0.3">
      <c r="A184">
        <v>101</v>
      </c>
      <c r="B184" s="316">
        <v>46153.793055555558</v>
      </c>
      <c r="C184">
        <v>710505</v>
      </c>
      <c r="D184" t="s">
        <v>1372</v>
      </c>
      <c r="E184" t="s">
        <v>1738</v>
      </c>
      <c r="F184" s="447">
        <v>104.65</v>
      </c>
      <c r="G184" s="447">
        <v>0</v>
      </c>
      <c r="H184" s="9">
        <f t="shared" si="2"/>
        <v>-104.65</v>
      </c>
    </row>
    <row r="185" spans="1:8" x14ac:dyDescent="0.3">
      <c r="A185">
        <v>101</v>
      </c>
      <c r="B185" s="316">
        <v>46153.793055555558</v>
      </c>
      <c r="C185">
        <v>140505</v>
      </c>
      <c r="D185" t="s">
        <v>1353</v>
      </c>
      <c r="E185" t="s">
        <v>1738</v>
      </c>
      <c r="F185" s="447">
        <v>0</v>
      </c>
      <c r="G185" s="447">
        <v>104.65</v>
      </c>
      <c r="H185" s="9">
        <f t="shared" si="2"/>
        <v>104.65</v>
      </c>
    </row>
    <row r="186" spans="1:8" x14ac:dyDescent="0.3">
      <c r="A186">
        <v>101</v>
      </c>
      <c r="B186" s="316">
        <v>46153.793055555558</v>
      </c>
      <c r="C186">
        <v>710505</v>
      </c>
      <c r="D186" t="s">
        <v>1372</v>
      </c>
      <c r="E186" t="s">
        <v>1739</v>
      </c>
      <c r="F186" s="447">
        <v>10.465000000000002</v>
      </c>
      <c r="G186" s="447">
        <v>0</v>
      </c>
      <c r="H186" s="9">
        <f t="shared" si="2"/>
        <v>-10.465000000000002</v>
      </c>
    </row>
    <row r="187" spans="1:8" x14ac:dyDescent="0.3">
      <c r="A187">
        <v>101</v>
      </c>
      <c r="B187" s="316">
        <v>46153.793055555558</v>
      </c>
      <c r="C187">
        <v>250505</v>
      </c>
      <c r="D187" t="s">
        <v>1420</v>
      </c>
      <c r="E187" t="s">
        <v>1740</v>
      </c>
      <c r="F187" s="447">
        <v>0</v>
      </c>
      <c r="G187" s="447">
        <v>10.465000000000002</v>
      </c>
      <c r="H187" s="9">
        <f t="shared" si="2"/>
        <v>10.465000000000002</v>
      </c>
    </row>
    <row r="188" spans="1:8" x14ac:dyDescent="0.3">
      <c r="A188">
        <v>101</v>
      </c>
      <c r="B188" s="316">
        <v>46153.793055555558</v>
      </c>
      <c r="C188">
        <v>710505</v>
      </c>
      <c r="D188" t="s">
        <v>1372</v>
      </c>
      <c r="E188" t="s">
        <v>1741</v>
      </c>
      <c r="F188" s="447">
        <v>663.14300000000003</v>
      </c>
      <c r="G188" s="447">
        <v>0</v>
      </c>
      <c r="H188" s="9">
        <f t="shared" si="2"/>
        <v>-663.14300000000003</v>
      </c>
    </row>
    <row r="189" spans="1:8" x14ac:dyDescent="0.3">
      <c r="A189">
        <v>101</v>
      </c>
      <c r="B189" s="316">
        <v>46153.793055555558</v>
      </c>
      <c r="C189">
        <v>233525</v>
      </c>
      <c r="D189" t="s">
        <v>1373</v>
      </c>
      <c r="E189" t="s">
        <v>1742</v>
      </c>
      <c r="F189" s="447">
        <v>0</v>
      </c>
      <c r="G189" s="447">
        <v>663.14300000000003</v>
      </c>
      <c r="H189" s="9">
        <f t="shared" si="2"/>
        <v>663.14300000000003</v>
      </c>
    </row>
    <row r="190" spans="1:8" x14ac:dyDescent="0.3">
      <c r="A190">
        <v>101</v>
      </c>
      <c r="B190" s="316">
        <v>46153.793055555558</v>
      </c>
      <c r="C190">
        <v>143005</v>
      </c>
      <c r="D190" t="s">
        <v>1370</v>
      </c>
      <c r="E190" t="s">
        <v>1743</v>
      </c>
      <c r="F190" s="447">
        <v>778.25800000000004</v>
      </c>
      <c r="G190" s="447">
        <v>0</v>
      </c>
      <c r="H190" s="9">
        <f t="shared" si="2"/>
        <v>-778.25800000000004</v>
      </c>
    </row>
    <row r="191" spans="1:8" x14ac:dyDescent="0.3">
      <c r="A191">
        <v>101</v>
      </c>
      <c r="B191" s="316">
        <v>46153.793055555558</v>
      </c>
      <c r="C191">
        <v>710505</v>
      </c>
      <c r="D191" t="s">
        <v>1372</v>
      </c>
      <c r="E191" t="s">
        <v>1744</v>
      </c>
      <c r="F191" s="447">
        <v>0</v>
      </c>
      <c r="G191" s="447">
        <v>778.25800000000004</v>
      </c>
      <c r="H191" s="9">
        <f t="shared" si="2"/>
        <v>778.25800000000004</v>
      </c>
    </row>
    <row r="192" spans="1:8" x14ac:dyDescent="0.3">
      <c r="A192">
        <v>88</v>
      </c>
      <c r="B192" s="316">
        <v>46153.919722222221</v>
      </c>
      <c r="C192">
        <v>730501</v>
      </c>
      <c r="D192" t="s">
        <v>1325</v>
      </c>
      <c r="E192" t="s">
        <v>1309</v>
      </c>
      <c r="F192" s="447">
        <v>180000</v>
      </c>
      <c r="G192" s="447">
        <v>0</v>
      </c>
      <c r="H192" s="9">
        <f t="shared" si="2"/>
        <v>-180000</v>
      </c>
    </row>
    <row r="193" spans="1:8" x14ac:dyDescent="0.3">
      <c r="A193">
        <v>88</v>
      </c>
      <c r="B193" s="316">
        <v>46153.919722222221</v>
      </c>
      <c r="C193">
        <v>110505</v>
      </c>
      <c r="D193" t="s">
        <v>1314</v>
      </c>
      <c r="E193" t="s">
        <v>1309</v>
      </c>
      <c r="F193" s="447">
        <v>0</v>
      </c>
      <c r="G193" s="447">
        <v>180000</v>
      </c>
      <c r="H193" s="9">
        <f t="shared" si="2"/>
        <v>180000</v>
      </c>
    </row>
    <row r="194" spans="1:8" x14ac:dyDescent="0.3">
      <c r="A194">
        <v>89</v>
      </c>
      <c r="B194" s="316">
        <v>46154.918202256944</v>
      </c>
      <c r="C194">
        <v>110505</v>
      </c>
      <c r="D194" t="s">
        <v>1314</v>
      </c>
      <c r="E194" t="s">
        <v>1813</v>
      </c>
      <c r="F194" s="447">
        <v>21000</v>
      </c>
      <c r="G194" s="447">
        <v>0</v>
      </c>
      <c r="H194" s="9">
        <f t="shared" si="2"/>
        <v>-21000</v>
      </c>
    </row>
    <row r="195" spans="1:8" x14ac:dyDescent="0.3">
      <c r="A195">
        <v>89</v>
      </c>
      <c r="B195" s="316">
        <v>46154.918202256944</v>
      </c>
      <c r="C195">
        <v>412005</v>
      </c>
      <c r="D195" t="s">
        <v>1368</v>
      </c>
      <c r="E195" t="s">
        <v>1813</v>
      </c>
      <c r="F195" s="447">
        <v>0</v>
      </c>
      <c r="G195" s="447">
        <v>21000</v>
      </c>
      <c r="H195" s="9">
        <f t="shared" ref="H195:H258" si="3">+G195-F195</f>
        <v>21000</v>
      </c>
    </row>
    <row r="196" spans="1:8" x14ac:dyDescent="0.3">
      <c r="A196">
        <v>102</v>
      </c>
      <c r="B196" s="316">
        <v>46161.415277777778</v>
      </c>
      <c r="C196">
        <v>612099</v>
      </c>
      <c r="D196" t="s">
        <v>1352</v>
      </c>
      <c r="E196" t="s">
        <v>1417</v>
      </c>
      <c r="F196" s="447">
        <v>1358.011428571429</v>
      </c>
      <c r="G196" s="447">
        <v>0</v>
      </c>
      <c r="H196" s="9">
        <f t="shared" si="3"/>
        <v>-1358.011428571429</v>
      </c>
    </row>
    <row r="197" spans="1:8" x14ac:dyDescent="0.3">
      <c r="A197">
        <v>102</v>
      </c>
      <c r="B197" s="316">
        <v>46161.415277777778</v>
      </c>
      <c r="C197">
        <v>140505</v>
      </c>
      <c r="D197" t="s">
        <v>1353</v>
      </c>
      <c r="E197" t="s">
        <v>1418</v>
      </c>
      <c r="F197" s="447">
        <v>0</v>
      </c>
      <c r="G197" s="447">
        <v>1358.011428571429</v>
      </c>
      <c r="H197" s="9">
        <f t="shared" si="3"/>
        <v>1358.011428571429</v>
      </c>
    </row>
    <row r="198" spans="1:8" x14ac:dyDescent="0.3">
      <c r="A198">
        <v>102</v>
      </c>
      <c r="B198" s="316">
        <v>46161.415277777778</v>
      </c>
      <c r="C198">
        <v>612099</v>
      </c>
      <c r="D198" t="s">
        <v>1352</v>
      </c>
      <c r="E198" t="s">
        <v>1419</v>
      </c>
      <c r="F198" s="447">
        <v>135.80114285714291</v>
      </c>
      <c r="G198" s="447">
        <v>0</v>
      </c>
      <c r="H198" s="9">
        <f t="shared" si="3"/>
        <v>-135.80114285714291</v>
      </c>
    </row>
    <row r="199" spans="1:8" x14ac:dyDescent="0.3">
      <c r="A199">
        <v>102</v>
      </c>
      <c r="B199" s="316">
        <v>46161.415277777778</v>
      </c>
      <c r="C199">
        <v>250505</v>
      </c>
      <c r="D199" t="s">
        <v>1420</v>
      </c>
      <c r="E199" t="s">
        <v>1421</v>
      </c>
      <c r="F199" s="447">
        <v>0</v>
      </c>
      <c r="G199" s="447">
        <v>135.80114285714291</v>
      </c>
      <c r="H199" s="9">
        <f t="shared" si="3"/>
        <v>135.80114285714291</v>
      </c>
    </row>
    <row r="200" spans="1:8" x14ac:dyDescent="0.3">
      <c r="A200">
        <v>102</v>
      </c>
      <c r="B200" s="316">
        <v>46161.415277777778</v>
      </c>
      <c r="C200">
        <v>612099</v>
      </c>
      <c r="D200" t="s">
        <v>1352</v>
      </c>
      <c r="E200" t="s">
        <v>1422</v>
      </c>
      <c r="F200" s="447">
        <v>1132.166857142857</v>
      </c>
      <c r="G200" s="447">
        <v>0</v>
      </c>
      <c r="H200" s="9">
        <f t="shared" si="3"/>
        <v>-1132.166857142857</v>
      </c>
    </row>
    <row r="201" spans="1:8" x14ac:dyDescent="0.3">
      <c r="A201">
        <v>102</v>
      </c>
      <c r="B201" s="316">
        <v>46161.415277777778</v>
      </c>
      <c r="C201">
        <v>233525</v>
      </c>
      <c r="D201" t="s">
        <v>1373</v>
      </c>
      <c r="E201" t="s">
        <v>1423</v>
      </c>
      <c r="F201" s="447">
        <v>0</v>
      </c>
      <c r="G201" s="447">
        <v>1132.166857142857</v>
      </c>
      <c r="H201" s="9">
        <f t="shared" si="3"/>
        <v>1132.166857142857</v>
      </c>
    </row>
    <row r="202" spans="1:8" x14ac:dyDescent="0.3">
      <c r="A202">
        <v>103</v>
      </c>
      <c r="B202" s="316">
        <v>46161.621527777781</v>
      </c>
      <c r="C202">
        <v>612099</v>
      </c>
      <c r="D202" t="s">
        <v>1352</v>
      </c>
      <c r="E202" t="s">
        <v>1417</v>
      </c>
      <c r="F202" s="447">
        <v>151.42857142857142</v>
      </c>
      <c r="G202" s="447">
        <v>0</v>
      </c>
      <c r="H202" s="9">
        <f t="shared" si="3"/>
        <v>-151.42857142857142</v>
      </c>
    </row>
    <row r="203" spans="1:8" x14ac:dyDescent="0.3">
      <c r="A203">
        <v>103</v>
      </c>
      <c r="B203" s="316">
        <v>46161.621527777781</v>
      </c>
      <c r="C203">
        <v>140505</v>
      </c>
      <c r="D203" t="s">
        <v>1353</v>
      </c>
      <c r="E203" t="s">
        <v>1418</v>
      </c>
      <c r="F203" s="447">
        <v>0</v>
      </c>
      <c r="G203" s="447">
        <v>151.42857142857142</v>
      </c>
      <c r="H203" s="9">
        <f t="shared" si="3"/>
        <v>151.42857142857142</v>
      </c>
    </row>
    <row r="204" spans="1:8" x14ac:dyDescent="0.3">
      <c r="A204">
        <v>103</v>
      </c>
      <c r="B204" s="316">
        <v>46161.621527777781</v>
      </c>
      <c r="C204">
        <v>612099</v>
      </c>
      <c r="D204" t="s">
        <v>1352</v>
      </c>
      <c r="E204" t="s">
        <v>1419</v>
      </c>
      <c r="F204" s="447">
        <v>15.142857142857142</v>
      </c>
      <c r="G204" s="447">
        <v>0</v>
      </c>
      <c r="H204" s="9">
        <f t="shared" si="3"/>
        <v>-15.142857142857142</v>
      </c>
    </row>
    <row r="205" spans="1:8" x14ac:dyDescent="0.3">
      <c r="A205">
        <v>103</v>
      </c>
      <c r="B205" s="316">
        <v>46161.621527777781</v>
      </c>
      <c r="C205">
        <v>250505</v>
      </c>
      <c r="D205" t="s">
        <v>1420</v>
      </c>
      <c r="E205" t="s">
        <v>1421</v>
      </c>
      <c r="F205" s="447">
        <v>0</v>
      </c>
      <c r="G205" s="447">
        <v>15.142857142857142</v>
      </c>
      <c r="H205" s="9">
        <f t="shared" si="3"/>
        <v>15.142857142857142</v>
      </c>
    </row>
    <row r="206" spans="1:8" x14ac:dyDescent="0.3">
      <c r="A206">
        <v>103</v>
      </c>
      <c r="B206" s="316">
        <v>46161.621527777781</v>
      </c>
      <c r="C206">
        <v>612099</v>
      </c>
      <c r="D206" t="s">
        <v>1352</v>
      </c>
      <c r="E206" t="s">
        <v>1422</v>
      </c>
      <c r="F206" s="447">
        <v>552.80114285714285</v>
      </c>
      <c r="G206" s="447">
        <v>0</v>
      </c>
      <c r="H206" s="9">
        <f t="shared" si="3"/>
        <v>-552.80114285714285</v>
      </c>
    </row>
    <row r="207" spans="1:8" x14ac:dyDescent="0.3">
      <c r="A207">
        <v>103</v>
      </c>
      <c r="B207" s="316">
        <v>46161.621527777781</v>
      </c>
      <c r="C207">
        <v>233525</v>
      </c>
      <c r="D207" t="s">
        <v>1373</v>
      </c>
      <c r="E207" t="s">
        <v>1423</v>
      </c>
      <c r="F207" s="447">
        <v>0</v>
      </c>
      <c r="G207" s="447">
        <v>552.80114285714285</v>
      </c>
      <c r="H207" s="9">
        <f t="shared" si="3"/>
        <v>552.80114285714285</v>
      </c>
    </row>
    <row r="208" spans="1:8" x14ac:dyDescent="0.3">
      <c r="A208">
        <v>104</v>
      </c>
      <c r="B208" s="316">
        <v>46161.669444444444</v>
      </c>
      <c r="C208">
        <v>710505</v>
      </c>
      <c r="D208" t="s">
        <v>1372</v>
      </c>
      <c r="E208" t="s">
        <v>1751</v>
      </c>
      <c r="F208" s="447">
        <v>3466.19904</v>
      </c>
      <c r="G208" s="447">
        <v>0</v>
      </c>
      <c r="H208" s="9">
        <f t="shared" si="3"/>
        <v>-3466.19904</v>
      </c>
    </row>
    <row r="209" spans="1:8" x14ac:dyDescent="0.3">
      <c r="A209">
        <v>104</v>
      </c>
      <c r="B209" s="316">
        <v>46161.669444444444</v>
      </c>
      <c r="C209">
        <v>140505</v>
      </c>
      <c r="D209" t="s">
        <v>1353</v>
      </c>
      <c r="E209" t="s">
        <v>1751</v>
      </c>
      <c r="F209" s="447">
        <v>0</v>
      </c>
      <c r="G209" s="447">
        <v>3466.19904</v>
      </c>
      <c r="H209" s="9">
        <f t="shared" si="3"/>
        <v>3466.19904</v>
      </c>
    </row>
    <row r="210" spans="1:8" x14ac:dyDescent="0.3">
      <c r="A210">
        <v>104</v>
      </c>
      <c r="B210" s="316">
        <v>46161.669444444444</v>
      </c>
      <c r="C210">
        <v>710505</v>
      </c>
      <c r="D210" t="s">
        <v>1372</v>
      </c>
      <c r="E210" t="s">
        <v>1752</v>
      </c>
      <c r="F210" s="447">
        <v>346.61990400000002</v>
      </c>
      <c r="G210" s="447">
        <v>0</v>
      </c>
      <c r="H210" s="9">
        <f t="shared" si="3"/>
        <v>-346.61990400000002</v>
      </c>
    </row>
    <row r="211" spans="1:8" x14ac:dyDescent="0.3">
      <c r="A211">
        <v>104</v>
      </c>
      <c r="B211" s="316">
        <v>46161.669444444444</v>
      </c>
      <c r="C211">
        <v>250505</v>
      </c>
      <c r="D211" t="s">
        <v>1420</v>
      </c>
      <c r="E211" t="s">
        <v>1753</v>
      </c>
      <c r="F211" s="447">
        <v>0</v>
      </c>
      <c r="G211" s="447">
        <v>346.61990400000002</v>
      </c>
      <c r="H211" s="9">
        <f t="shared" si="3"/>
        <v>346.61990400000002</v>
      </c>
    </row>
    <row r="212" spans="1:8" x14ac:dyDescent="0.3">
      <c r="A212">
        <v>104</v>
      </c>
      <c r="B212" s="316">
        <v>46161.669444444444</v>
      </c>
      <c r="C212">
        <v>710505</v>
      </c>
      <c r="D212" t="s">
        <v>1372</v>
      </c>
      <c r="E212" t="s">
        <v>1754</v>
      </c>
      <c r="F212" s="447">
        <v>1608.164096</v>
      </c>
      <c r="G212" s="447">
        <v>0</v>
      </c>
      <c r="H212" s="9">
        <f t="shared" si="3"/>
        <v>-1608.164096</v>
      </c>
    </row>
    <row r="213" spans="1:8" x14ac:dyDescent="0.3">
      <c r="A213">
        <v>104</v>
      </c>
      <c r="B213" s="316">
        <v>46161.669444444444</v>
      </c>
      <c r="C213">
        <v>233525</v>
      </c>
      <c r="D213" t="s">
        <v>1373</v>
      </c>
      <c r="E213" t="s">
        <v>1755</v>
      </c>
      <c r="F213" s="447">
        <v>0</v>
      </c>
      <c r="G213" s="447">
        <v>1608.164096</v>
      </c>
      <c r="H213" s="9">
        <f t="shared" si="3"/>
        <v>1608.164096</v>
      </c>
    </row>
    <row r="214" spans="1:8" x14ac:dyDescent="0.3">
      <c r="A214">
        <v>104</v>
      </c>
      <c r="B214" s="316">
        <v>46161.669444444444</v>
      </c>
      <c r="C214">
        <v>143005</v>
      </c>
      <c r="D214" t="s">
        <v>1370</v>
      </c>
      <c r="E214" t="s">
        <v>1756</v>
      </c>
      <c r="F214" s="447">
        <v>5420.9830400000001</v>
      </c>
      <c r="G214" s="447">
        <v>0</v>
      </c>
      <c r="H214" s="9">
        <f t="shared" si="3"/>
        <v>-5420.9830400000001</v>
      </c>
    </row>
    <row r="215" spans="1:8" x14ac:dyDescent="0.3">
      <c r="A215">
        <v>104</v>
      </c>
      <c r="B215" s="316">
        <v>46161.669444444444</v>
      </c>
      <c r="C215">
        <v>710505</v>
      </c>
      <c r="D215" t="s">
        <v>1372</v>
      </c>
      <c r="E215" t="s">
        <v>1757</v>
      </c>
      <c r="F215" s="447">
        <v>0</v>
      </c>
      <c r="G215" s="447">
        <v>5420.9830400000001</v>
      </c>
      <c r="H215" s="9">
        <f t="shared" si="3"/>
        <v>5420.9830400000001</v>
      </c>
    </row>
    <row r="216" spans="1:8" x14ac:dyDescent="0.3">
      <c r="A216">
        <v>105</v>
      </c>
      <c r="B216" s="316">
        <v>46161.803472222222</v>
      </c>
      <c r="C216">
        <v>710505</v>
      </c>
      <c r="D216" t="s">
        <v>1372</v>
      </c>
      <c r="E216" t="s">
        <v>1759</v>
      </c>
      <c r="F216" s="447">
        <v>9076.5999999999985</v>
      </c>
      <c r="G216" s="447">
        <v>0</v>
      </c>
      <c r="H216" s="9">
        <f t="shared" si="3"/>
        <v>-9076.5999999999985</v>
      </c>
    </row>
    <row r="217" spans="1:8" x14ac:dyDescent="0.3">
      <c r="A217">
        <v>105</v>
      </c>
      <c r="B217" s="316">
        <v>46161.803472222222</v>
      </c>
      <c r="C217">
        <v>140505</v>
      </c>
      <c r="D217" t="s">
        <v>1353</v>
      </c>
      <c r="E217" t="s">
        <v>1759</v>
      </c>
      <c r="F217" s="447">
        <v>0</v>
      </c>
      <c r="G217" s="447">
        <v>9076.5999999999985</v>
      </c>
      <c r="H217" s="9">
        <f t="shared" si="3"/>
        <v>9076.5999999999985</v>
      </c>
    </row>
    <row r="218" spans="1:8" x14ac:dyDescent="0.3">
      <c r="A218">
        <v>105</v>
      </c>
      <c r="B218" s="316">
        <v>46161.803472222222</v>
      </c>
      <c r="C218">
        <v>710505</v>
      </c>
      <c r="D218" t="s">
        <v>1372</v>
      </c>
      <c r="E218" t="s">
        <v>1760</v>
      </c>
      <c r="F218" s="447">
        <v>907.65999999999985</v>
      </c>
      <c r="G218" s="447">
        <v>0</v>
      </c>
      <c r="H218" s="9">
        <f t="shared" si="3"/>
        <v>-907.65999999999985</v>
      </c>
    </row>
    <row r="219" spans="1:8" x14ac:dyDescent="0.3">
      <c r="A219">
        <v>105</v>
      </c>
      <c r="B219" s="316">
        <v>46161.803472222222</v>
      </c>
      <c r="C219">
        <v>250505</v>
      </c>
      <c r="D219" t="s">
        <v>1420</v>
      </c>
      <c r="E219" t="s">
        <v>1761</v>
      </c>
      <c r="F219" s="447">
        <v>0</v>
      </c>
      <c r="G219" s="447">
        <v>907.65999999999985</v>
      </c>
      <c r="H219" s="9">
        <f t="shared" si="3"/>
        <v>907.65999999999985</v>
      </c>
    </row>
    <row r="220" spans="1:8" x14ac:dyDescent="0.3">
      <c r="A220">
        <v>105</v>
      </c>
      <c r="B220" s="316">
        <v>46161.803472222222</v>
      </c>
      <c r="C220">
        <v>710505</v>
      </c>
      <c r="D220" t="s">
        <v>1372</v>
      </c>
      <c r="E220" t="s">
        <v>1762</v>
      </c>
      <c r="F220" s="447">
        <v>9936.1080000000002</v>
      </c>
      <c r="G220" s="447">
        <v>0</v>
      </c>
      <c r="H220" s="9">
        <f t="shared" si="3"/>
        <v>-9936.1080000000002</v>
      </c>
    </row>
    <row r="221" spans="1:8" x14ac:dyDescent="0.3">
      <c r="A221">
        <v>105</v>
      </c>
      <c r="B221" s="316">
        <v>46161.803472222222</v>
      </c>
      <c r="C221">
        <v>233525</v>
      </c>
      <c r="D221" t="s">
        <v>1373</v>
      </c>
      <c r="E221" t="s">
        <v>1763</v>
      </c>
      <c r="F221" s="447">
        <v>0</v>
      </c>
      <c r="G221" s="447">
        <v>9936.1080000000002</v>
      </c>
      <c r="H221" s="9">
        <f t="shared" si="3"/>
        <v>9936.1080000000002</v>
      </c>
    </row>
    <row r="222" spans="1:8" x14ac:dyDescent="0.3">
      <c r="A222">
        <v>105</v>
      </c>
      <c r="B222" s="316">
        <v>46161.803472222222</v>
      </c>
      <c r="C222">
        <v>143005</v>
      </c>
      <c r="D222" t="s">
        <v>1370</v>
      </c>
      <c r="E222" t="s">
        <v>1764</v>
      </c>
      <c r="F222" s="447">
        <v>19920.367999999999</v>
      </c>
      <c r="G222" s="447">
        <v>0</v>
      </c>
      <c r="H222" s="9">
        <f t="shared" si="3"/>
        <v>-19920.367999999999</v>
      </c>
    </row>
    <row r="223" spans="1:8" x14ac:dyDescent="0.3">
      <c r="A223">
        <v>105</v>
      </c>
      <c r="B223" s="316">
        <v>46161.803472222222</v>
      </c>
      <c r="C223">
        <v>710505</v>
      </c>
      <c r="D223" t="s">
        <v>1372</v>
      </c>
      <c r="E223" t="s">
        <v>1765</v>
      </c>
      <c r="F223" s="447">
        <v>0</v>
      </c>
      <c r="G223" s="447">
        <v>19920.367999999999</v>
      </c>
      <c r="H223" s="9">
        <f t="shared" si="3"/>
        <v>19920.367999999999</v>
      </c>
    </row>
    <row r="224" spans="1:8" x14ac:dyDescent="0.3">
      <c r="A224">
        <v>107</v>
      </c>
      <c r="B224" s="316">
        <v>46164.929166666669</v>
      </c>
      <c r="C224">
        <v>710505</v>
      </c>
      <c r="D224" t="s">
        <v>1372</v>
      </c>
      <c r="E224" t="s">
        <v>1775</v>
      </c>
      <c r="F224" s="447">
        <v>11214.601226666666</v>
      </c>
      <c r="G224" s="447">
        <v>0</v>
      </c>
      <c r="H224" s="9">
        <f t="shared" si="3"/>
        <v>-11214.601226666666</v>
      </c>
    </row>
    <row r="225" spans="1:8" x14ac:dyDescent="0.3">
      <c r="A225">
        <v>107</v>
      </c>
      <c r="B225" s="316">
        <v>46164.929166666669</v>
      </c>
      <c r="C225">
        <v>140505</v>
      </c>
      <c r="D225" t="s">
        <v>1353</v>
      </c>
      <c r="E225" t="s">
        <v>1775</v>
      </c>
      <c r="F225" s="447">
        <v>0</v>
      </c>
      <c r="G225" s="447">
        <v>11214.601226666666</v>
      </c>
      <c r="H225" s="9">
        <f t="shared" si="3"/>
        <v>11214.601226666666</v>
      </c>
    </row>
    <row r="226" spans="1:8" x14ac:dyDescent="0.3">
      <c r="A226">
        <v>107</v>
      </c>
      <c r="B226" s="316">
        <v>46164.929166666669</v>
      </c>
      <c r="C226">
        <v>710505</v>
      </c>
      <c r="D226" t="s">
        <v>1372</v>
      </c>
      <c r="E226" t="s">
        <v>1776</v>
      </c>
      <c r="F226" s="447">
        <v>1121.4601226666666</v>
      </c>
      <c r="G226" s="447">
        <v>0</v>
      </c>
      <c r="H226" s="9">
        <f t="shared" si="3"/>
        <v>-1121.4601226666666</v>
      </c>
    </row>
    <row r="227" spans="1:8" x14ac:dyDescent="0.3">
      <c r="A227">
        <v>107</v>
      </c>
      <c r="B227" s="316">
        <v>46164.929166666669</v>
      </c>
      <c r="C227">
        <v>250505</v>
      </c>
      <c r="D227" t="s">
        <v>1420</v>
      </c>
      <c r="E227" t="s">
        <v>1777</v>
      </c>
      <c r="F227" s="447">
        <v>0</v>
      </c>
      <c r="G227" s="447">
        <v>1121.4601226666666</v>
      </c>
      <c r="H227" s="9">
        <f t="shared" si="3"/>
        <v>1121.4601226666666</v>
      </c>
    </row>
    <row r="228" spans="1:8" x14ac:dyDescent="0.3">
      <c r="A228">
        <v>107</v>
      </c>
      <c r="B228" s="316">
        <v>46164.929166666669</v>
      </c>
      <c r="C228">
        <v>710505</v>
      </c>
      <c r="D228" t="s">
        <v>1372</v>
      </c>
      <c r="E228" t="s">
        <v>1778</v>
      </c>
      <c r="F228" s="447">
        <v>7780.7318773333327</v>
      </c>
      <c r="G228" s="447">
        <v>0</v>
      </c>
      <c r="H228" s="9">
        <f t="shared" si="3"/>
        <v>-7780.7318773333327</v>
      </c>
    </row>
    <row r="229" spans="1:8" x14ac:dyDescent="0.3">
      <c r="A229">
        <v>107</v>
      </c>
      <c r="B229" s="316">
        <v>46164.929166666669</v>
      </c>
      <c r="C229">
        <v>233525</v>
      </c>
      <c r="D229" t="s">
        <v>1373</v>
      </c>
      <c r="E229" t="s">
        <v>1779</v>
      </c>
      <c r="F229" s="447">
        <v>0</v>
      </c>
      <c r="G229" s="447">
        <v>7780.7318773333327</v>
      </c>
      <c r="H229" s="9">
        <f t="shared" si="3"/>
        <v>7780.7318773333327</v>
      </c>
    </row>
    <row r="230" spans="1:8" x14ac:dyDescent="0.3">
      <c r="A230">
        <v>107</v>
      </c>
      <c r="B230" s="316">
        <v>46164.929166666669</v>
      </c>
      <c r="C230">
        <v>143005</v>
      </c>
      <c r="D230" t="s">
        <v>1370</v>
      </c>
      <c r="E230" t="s">
        <v>1780</v>
      </c>
      <c r="F230" s="447">
        <v>20116.793226666665</v>
      </c>
      <c r="G230" s="447">
        <v>0</v>
      </c>
      <c r="H230" s="9">
        <f t="shared" si="3"/>
        <v>-20116.793226666665</v>
      </c>
    </row>
    <row r="231" spans="1:8" x14ac:dyDescent="0.3">
      <c r="A231">
        <v>107</v>
      </c>
      <c r="B231" s="316">
        <v>46164.929166666669</v>
      </c>
      <c r="C231">
        <v>710505</v>
      </c>
      <c r="D231" t="s">
        <v>1372</v>
      </c>
      <c r="E231" t="s">
        <v>1781</v>
      </c>
      <c r="F231" s="447">
        <v>0</v>
      </c>
      <c r="G231" s="447">
        <v>20116.793226666665</v>
      </c>
      <c r="H231" s="9">
        <f t="shared" si="3"/>
        <v>20116.793226666665</v>
      </c>
    </row>
    <row r="232" spans="1:8" x14ac:dyDescent="0.3">
      <c r="A232">
        <v>108</v>
      </c>
      <c r="B232" s="316">
        <v>46165.405555555553</v>
      </c>
      <c r="C232">
        <v>612099</v>
      </c>
      <c r="D232" t="s">
        <v>1352</v>
      </c>
      <c r="E232" t="s">
        <v>1417</v>
      </c>
      <c r="F232" s="447">
        <v>106</v>
      </c>
      <c r="G232" s="447">
        <v>0</v>
      </c>
      <c r="H232" s="9">
        <f t="shared" si="3"/>
        <v>-106</v>
      </c>
    </row>
    <row r="233" spans="1:8" x14ac:dyDescent="0.3">
      <c r="A233">
        <v>108</v>
      </c>
      <c r="B233" s="316">
        <v>46165.405555555553</v>
      </c>
      <c r="C233">
        <v>140505</v>
      </c>
      <c r="D233" t="s">
        <v>1353</v>
      </c>
      <c r="E233" t="s">
        <v>1418</v>
      </c>
      <c r="F233" s="447">
        <v>0</v>
      </c>
      <c r="G233" s="447">
        <v>106</v>
      </c>
      <c r="H233" s="9">
        <f t="shared" si="3"/>
        <v>106</v>
      </c>
    </row>
    <row r="234" spans="1:8" x14ac:dyDescent="0.3">
      <c r="A234">
        <v>108</v>
      </c>
      <c r="B234" s="316">
        <v>46165.405555555553</v>
      </c>
      <c r="C234">
        <v>612099</v>
      </c>
      <c r="D234" t="s">
        <v>1352</v>
      </c>
      <c r="E234" t="s">
        <v>1419</v>
      </c>
      <c r="F234" s="447">
        <v>10.600000000000001</v>
      </c>
      <c r="G234" s="447">
        <v>0</v>
      </c>
      <c r="H234" s="9">
        <f t="shared" si="3"/>
        <v>-10.600000000000001</v>
      </c>
    </row>
    <row r="235" spans="1:8" x14ac:dyDescent="0.3">
      <c r="A235">
        <v>108</v>
      </c>
      <c r="B235" s="316">
        <v>46165.405555555553</v>
      </c>
      <c r="C235">
        <v>250505</v>
      </c>
      <c r="D235" t="s">
        <v>1420</v>
      </c>
      <c r="E235" t="s">
        <v>1421</v>
      </c>
      <c r="F235" s="447">
        <v>0</v>
      </c>
      <c r="G235" s="447">
        <v>10.600000000000001</v>
      </c>
      <c r="H235" s="9">
        <f t="shared" si="3"/>
        <v>10.600000000000001</v>
      </c>
    </row>
    <row r="236" spans="1:8" x14ac:dyDescent="0.3">
      <c r="A236">
        <v>108</v>
      </c>
      <c r="B236" s="316">
        <v>46165.405555555553</v>
      </c>
      <c r="C236">
        <v>612099</v>
      </c>
      <c r="D236" t="s">
        <v>1352</v>
      </c>
      <c r="E236" t="s">
        <v>1422</v>
      </c>
      <c r="F236" s="447">
        <v>346.01600000000002</v>
      </c>
      <c r="G236" s="447">
        <v>0</v>
      </c>
      <c r="H236" s="9">
        <f t="shared" si="3"/>
        <v>-346.01600000000002</v>
      </c>
    </row>
    <row r="237" spans="1:8" x14ac:dyDescent="0.3">
      <c r="A237">
        <v>108</v>
      </c>
      <c r="B237" s="316">
        <v>46165.405555555553</v>
      </c>
      <c r="C237">
        <v>233525</v>
      </c>
      <c r="D237" t="s">
        <v>1373</v>
      </c>
      <c r="E237" t="s">
        <v>1423</v>
      </c>
      <c r="F237" s="447">
        <v>0</v>
      </c>
      <c r="G237" s="447">
        <v>346.01600000000002</v>
      </c>
      <c r="H237" s="9">
        <f t="shared" si="3"/>
        <v>346.01600000000002</v>
      </c>
    </row>
    <row r="238" spans="1:8" x14ac:dyDescent="0.3">
      <c r="A238">
        <v>106</v>
      </c>
      <c r="B238" s="316">
        <v>46165.421527777777</v>
      </c>
      <c r="C238">
        <v>612099</v>
      </c>
      <c r="D238" t="s">
        <v>1352</v>
      </c>
      <c r="E238" t="s">
        <v>1767</v>
      </c>
      <c r="F238" s="447">
        <v>6319.3</v>
      </c>
      <c r="G238" s="447">
        <v>0</v>
      </c>
      <c r="H238" s="9">
        <f t="shared" si="3"/>
        <v>-6319.3</v>
      </c>
    </row>
    <row r="239" spans="1:8" x14ac:dyDescent="0.3">
      <c r="A239">
        <v>106</v>
      </c>
      <c r="B239" s="316">
        <v>46165.421527777777</v>
      </c>
      <c r="C239">
        <v>140505</v>
      </c>
      <c r="D239" t="s">
        <v>1353</v>
      </c>
      <c r="E239" t="s">
        <v>1768</v>
      </c>
      <c r="F239" s="447">
        <v>0</v>
      </c>
      <c r="G239" s="447">
        <v>6319.3</v>
      </c>
      <c r="H239" s="9">
        <f t="shared" si="3"/>
        <v>6319.3</v>
      </c>
    </row>
    <row r="240" spans="1:8" x14ac:dyDescent="0.3">
      <c r="A240">
        <v>106</v>
      </c>
      <c r="B240" s="316">
        <v>46165.421527777777</v>
      </c>
      <c r="C240">
        <v>612099</v>
      </c>
      <c r="D240" t="s">
        <v>1352</v>
      </c>
      <c r="E240" t="s">
        <v>1769</v>
      </c>
      <c r="F240" s="447">
        <v>631.93000000000006</v>
      </c>
      <c r="G240" s="447">
        <v>0</v>
      </c>
      <c r="H240" s="9">
        <f t="shared" si="3"/>
        <v>-631.93000000000006</v>
      </c>
    </row>
    <row r="241" spans="1:8" x14ac:dyDescent="0.3">
      <c r="A241">
        <v>106</v>
      </c>
      <c r="B241" s="316">
        <v>46165.421527777777</v>
      </c>
      <c r="C241">
        <v>250505</v>
      </c>
      <c r="D241" t="s">
        <v>1420</v>
      </c>
      <c r="E241" t="s">
        <v>1770</v>
      </c>
      <c r="F241" s="447">
        <v>0</v>
      </c>
      <c r="G241" s="447">
        <v>631.93000000000006</v>
      </c>
      <c r="H241" s="9">
        <f t="shared" si="3"/>
        <v>631.93000000000006</v>
      </c>
    </row>
    <row r="242" spans="1:8" x14ac:dyDescent="0.3">
      <c r="A242">
        <v>106</v>
      </c>
      <c r="B242" s="316">
        <v>46165.421527777777</v>
      </c>
      <c r="C242">
        <v>612099</v>
      </c>
      <c r="D242" t="s">
        <v>1352</v>
      </c>
      <c r="E242" t="s">
        <v>1771</v>
      </c>
      <c r="F242" s="447">
        <v>5364.5019999999995</v>
      </c>
      <c r="G242" s="447">
        <v>0</v>
      </c>
      <c r="H242" s="9">
        <f t="shared" si="3"/>
        <v>-5364.5019999999995</v>
      </c>
    </row>
    <row r="243" spans="1:8" x14ac:dyDescent="0.3">
      <c r="A243">
        <v>106</v>
      </c>
      <c r="B243" s="316">
        <v>46165.421527777777</v>
      </c>
      <c r="C243">
        <v>233525</v>
      </c>
      <c r="D243" t="s">
        <v>1373</v>
      </c>
      <c r="E243" t="s">
        <v>1772</v>
      </c>
      <c r="F243" s="447">
        <v>0</v>
      </c>
      <c r="G243" s="447">
        <v>5364.5019999999995</v>
      </c>
      <c r="H243" s="9">
        <f t="shared" si="3"/>
        <v>5364.5019999999995</v>
      </c>
    </row>
    <row r="244" spans="1:8" x14ac:dyDescent="0.3">
      <c r="A244">
        <v>109</v>
      </c>
      <c r="B244" s="316">
        <v>46165.877083333333</v>
      </c>
      <c r="C244">
        <v>710505</v>
      </c>
      <c r="D244" t="s">
        <v>1372</v>
      </c>
      <c r="E244" t="s">
        <v>1738</v>
      </c>
      <c r="F244" s="447">
        <v>109.2</v>
      </c>
      <c r="G244" s="447">
        <v>0</v>
      </c>
      <c r="H244" s="9">
        <f t="shared" si="3"/>
        <v>-109.2</v>
      </c>
    </row>
    <row r="245" spans="1:8" x14ac:dyDescent="0.3">
      <c r="A245">
        <v>109</v>
      </c>
      <c r="B245" s="316">
        <v>46165.877083333333</v>
      </c>
      <c r="C245">
        <v>140505</v>
      </c>
      <c r="D245" t="s">
        <v>1353</v>
      </c>
      <c r="E245" t="s">
        <v>1738</v>
      </c>
      <c r="F245" s="447">
        <v>0</v>
      </c>
      <c r="G245" s="447">
        <v>109.2</v>
      </c>
      <c r="H245" s="9">
        <f t="shared" si="3"/>
        <v>109.2</v>
      </c>
    </row>
    <row r="246" spans="1:8" x14ac:dyDescent="0.3">
      <c r="A246">
        <v>109</v>
      </c>
      <c r="B246" s="316">
        <v>46165.877083333333</v>
      </c>
      <c r="C246">
        <v>710505</v>
      </c>
      <c r="D246" t="s">
        <v>1372</v>
      </c>
      <c r="E246" t="s">
        <v>1739</v>
      </c>
      <c r="F246" s="447">
        <v>10.920000000000002</v>
      </c>
      <c r="G246" s="447">
        <v>0</v>
      </c>
      <c r="H246" s="9">
        <f t="shared" si="3"/>
        <v>-10.920000000000002</v>
      </c>
    </row>
    <row r="247" spans="1:8" x14ac:dyDescent="0.3">
      <c r="A247">
        <v>109</v>
      </c>
      <c r="B247" s="316">
        <v>46165.877083333333</v>
      </c>
      <c r="C247">
        <v>250505</v>
      </c>
      <c r="D247" t="s">
        <v>1420</v>
      </c>
      <c r="E247" t="s">
        <v>1740</v>
      </c>
      <c r="F247" s="447">
        <v>0</v>
      </c>
      <c r="G247" s="447">
        <v>10.920000000000002</v>
      </c>
      <c r="H247" s="9">
        <f t="shared" si="3"/>
        <v>10.920000000000002</v>
      </c>
    </row>
    <row r="248" spans="1:8" x14ac:dyDescent="0.3">
      <c r="A248">
        <v>109</v>
      </c>
      <c r="B248" s="316">
        <v>46165.877083333333</v>
      </c>
      <c r="C248">
        <v>710505</v>
      </c>
      <c r="D248" t="s">
        <v>1372</v>
      </c>
      <c r="E248" t="s">
        <v>1741</v>
      </c>
      <c r="F248" s="447">
        <v>953.26400000000001</v>
      </c>
      <c r="G248" s="447">
        <v>0</v>
      </c>
      <c r="H248" s="9">
        <f t="shared" si="3"/>
        <v>-953.26400000000001</v>
      </c>
    </row>
    <row r="249" spans="1:8" x14ac:dyDescent="0.3">
      <c r="A249">
        <v>109</v>
      </c>
      <c r="B249" s="316">
        <v>46165.877083333333</v>
      </c>
      <c r="C249">
        <v>233525</v>
      </c>
      <c r="D249" t="s">
        <v>1373</v>
      </c>
      <c r="E249" t="s">
        <v>1742</v>
      </c>
      <c r="F249" s="447">
        <v>0</v>
      </c>
      <c r="G249" s="447">
        <v>953.26400000000001</v>
      </c>
      <c r="H249" s="9">
        <f t="shared" si="3"/>
        <v>953.26400000000001</v>
      </c>
    </row>
    <row r="250" spans="1:8" x14ac:dyDescent="0.3">
      <c r="A250">
        <v>109</v>
      </c>
      <c r="B250" s="316">
        <v>46165.877083333333</v>
      </c>
      <c r="C250">
        <v>143005</v>
      </c>
      <c r="D250" t="s">
        <v>1370</v>
      </c>
      <c r="E250" t="s">
        <v>1743</v>
      </c>
      <c r="F250" s="447">
        <v>1073.384</v>
      </c>
      <c r="G250" s="447">
        <v>0</v>
      </c>
      <c r="H250" s="9">
        <f t="shared" si="3"/>
        <v>-1073.384</v>
      </c>
    </row>
    <row r="251" spans="1:8" x14ac:dyDescent="0.3">
      <c r="A251">
        <v>109</v>
      </c>
      <c r="B251" s="316">
        <v>46165.877083333333</v>
      </c>
      <c r="C251">
        <v>710505</v>
      </c>
      <c r="D251" t="s">
        <v>1372</v>
      </c>
      <c r="E251" t="s">
        <v>1744</v>
      </c>
      <c r="F251" s="447">
        <v>0</v>
      </c>
      <c r="G251" s="447">
        <v>1073.384</v>
      </c>
      <c r="H251" s="9">
        <f t="shared" si="3"/>
        <v>1073.384</v>
      </c>
    </row>
    <row r="252" spans="1:8" x14ac:dyDescent="0.3">
      <c r="A252">
        <v>110</v>
      </c>
      <c r="B252" s="316">
        <v>46165.943749999999</v>
      </c>
      <c r="C252">
        <v>710505</v>
      </c>
      <c r="D252" t="s">
        <v>1372</v>
      </c>
      <c r="E252" t="s">
        <v>1751</v>
      </c>
      <c r="F252" s="447">
        <v>6525.36</v>
      </c>
      <c r="G252" s="447">
        <v>0</v>
      </c>
      <c r="H252" s="9">
        <f t="shared" si="3"/>
        <v>-6525.36</v>
      </c>
    </row>
    <row r="253" spans="1:8" x14ac:dyDescent="0.3">
      <c r="A253">
        <v>110</v>
      </c>
      <c r="B253" s="316">
        <v>46165.943749999999</v>
      </c>
      <c r="C253">
        <v>140505</v>
      </c>
      <c r="D253" t="s">
        <v>1353</v>
      </c>
      <c r="E253" t="s">
        <v>1751</v>
      </c>
      <c r="F253" s="447">
        <v>0</v>
      </c>
      <c r="G253" s="447">
        <v>6525.36</v>
      </c>
      <c r="H253" s="9">
        <f t="shared" si="3"/>
        <v>6525.36</v>
      </c>
    </row>
    <row r="254" spans="1:8" x14ac:dyDescent="0.3">
      <c r="A254">
        <v>110</v>
      </c>
      <c r="B254" s="316">
        <v>46165.943749999999</v>
      </c>
      <c r="C254">
        <v>710505</v>
      </c>
      <c r="D254" t="s">
        <v>1372</v>
      </c>
      <c r="E254" t="s">
        <v>1752</v>
      </c>
      <c r="F254" s="447">
        <v>652.53600000000006</v>
      </c>
      <c r="G254" s="447">
        <v>0</v>
      </c>
      <c r="H254" s="9">
        <f t="shared" si="3"/>
        <v>-652.53600000000006</v>
      </c>
    </row>
    <row r="255" spans="1:8" x14ac:dyDescent="0.3">
      <c r="A255">
        <v>110</v>
      </c>
      <c r="B255" s="316">
        <v>46165.943749999999</v>
      </c>
      <c r="C255">
        <v>250505</v>
      </c>
      <c r="D255" t="s">
        <v>1420</v>
      </c>
      <c r="E255" t="s">
        <v>1753</v>
      </c>
      <c r="F255" s="447">
        <v>0</v>
      </c>
      <c r="G255" s="447">
        <v>652.53600000000006</v>
      </c>
      <c r="H255" s="9">
        <f t="shared" si="3"/>
        <v>652.53600000000006</v>
      </c>
    </row>
    <row r="256" spans="1:8" x14ac:dyDescent="0.3">
      <c r="A256">
        <v>110</v>
      </c>
      <c r="B256" s="316">
        <v>46165.943749999999</v>
      </c>
      <c r="C256">
        <v>710505</v>
      </c>
      <c r="D256" t="s">
        <v>1372</v>
      </c>
      <c r="E256" t="s">
        <v>1754</v>
      </c>
      <c r="F256" s="447">
        <v>3190.9919999999993</v>
      </c>
      <c r="G256" s="447">
        <v>0</v>
      </c>
      <c r="H256" s="9">
        <f t="shared" si="3"/>
        <v>-3190.9919999999993</v>
      </c>
    </row>
    <row r="257" spans="1:8" x14ac:dyDescent="0.3">
      <c r="A257">
        <v>110</v>
      </c>
      <c r="B257" s="316">
        <v>46165.943749999999</v>
      </c>
      <c r="C257">
        <v>233525</v>
      </c>
      <c r="D257" t="s">
        <v>1373</v>
      </c>
      <c r="E257" t="s">
        <v>1755</v>
      </c>
      <c r="F257" s="447">
        <v>0</v>
      </c>
      <c r="G257" s="447">
        <v>3190.9919999999993</v>
      </c>
      <c r="H257" s="9">
        <f t="shared" si="3"/>
        <v>3190.9919999999993</v>
      </c>
    </row>
    <row r="258" spans="1:8" x14ac:dyDescent="0.3">
      <c r="A258">
        <v>110</v>
      </c>
      <c r="B258" s="316">
        <v>46165.943749999999</v>
      </c>
      <c r="C258">
        <v>143005</v>
      </c>
      <c r="D258" t="s">
        <v>1370</v>
      </c>
      <c r="E258" t="s">
        <v>1756</v>
      </c>
      <c r="F258" s="447">
        <v>10368.887999999999</v>
      </c>
      <c r="G258" s="447">
        <v>0</v>
      </c>
      <c r="H258" s="9">
        <f t="shared" si="3"/>
        <v>-10368.887999999999</v>
      </c>
    </row>
    <row r="259" spans="1:8" x14ac:dyDescent="0.3">
      <c r="A259">
        <v>110</v>
      </c>
      <c r="B259" s="316">
        <v>46165.943749999999</v>
      </c>
      <c r="C259">
        <v>710505</v>
      </c>
      <c r="D259" t="s">
        <v>1372</v>
      </c>
      <c r="E259" t="s">
        <v>1757</v>
      </c>
      <c r="F259" s="447">
        <v>0</v>
      </c>
      <c r="G259" s="447">
        <v>10368.887999999999</v>
      </c>
      <c r="H259" s="9">
        <f t="shared" ref="H259:H322" si="4">+G259-F259</f>
        <v>10368.887999999999</v>
      </c>
    </row>
    <row r="260" spans="1:8" x14ac:dyDescent="0.3">
      <c r="A260">
        <v>111</v>
      </c>
      <c r="B260" s="316">
        <v>46166.831250000003</v>
      </c>
      <c r="C260">
        <v>710505</v>
      </c>
      <c r="D260" t="s">
        <v>1372</v>
      </c>
      <c r="E260" t="s">
        <v>1785</v>
      </c>
      <c r="F260" s="447">
        <v>5541.6</v>
      </c>
      <c r="G260" s="447">
        <v>0</v>
      </c>
      <c r="H260" s="9">
        <f t="shared" si="4"/>
        <v>-5541.6</v>
      </c>
    </row>
    <row r="261" spans="1:8" x14ac:dyDescent="0.3">
      <c r="A261">
        <v>111</v>
      </c>
      <c r="B261" s="316">
        <v>46166.831250000003</v>
      </c>
      <c r="C261">
        <v>140505</v>
      </c>
      <c r="D261" t="s">
        <v>1353</v>
      </c>
      <c r="E261" t="s">
        <v>1785</v>
      </c>
      <c r="F261" s="447">
        <v>0</v>
      </c>
      <c r="G261" s="447">
        <v>5541.6</v>
      </c>
      <c r="H261" s="9">
        <f t="shared" si="4"/>
        <v>5541.6</v>
      </c>
    </row>
    <row r="262" spans="1:8" x14ac:dyDescent="0.3">
      <c r="A262">
        <v>111</v>
      </c>
      <c r="B262" s="316">
        <v>46166.831250000003</v>
      </c>
      <c r="C262">
        <v>710505</v>
      </c>
      <c r="D262" t="s">
        <v>1372</v>
      </c>
      <c r="E262" t="s">
        <v>1786</v>
      </c>
      <c r="F262" s="447">
        <v>554.16000000000008</v>
      </c>
      <c r="G262" s="447">
        <v>0</v>
      </c>
      <c r="H262" s="9">
        <f t="shared" si="4"/>
        <v>-554.16000000000008</v>
      </c>
    </row>
    <row r="263" spans="1:8" x14ac:dyDescent="0.3">
      <c r="A263">
        <v>111</v>
      </c>
      <c r="B263" s="316">
        <v>46166.831250000003</v>
      </c>
      <c r="C263">
        <v>250505</v>
      </c>
      <c r="D263" t="s">
        <v>1420</v>
      </c>
      <c r="E263" t="s">
        <v>1787</v>
      </c>
      <c r="F263" s="447">
        <v>0</v>
      </c>
      <c r="G263" s="447">
        <v>554.16000000000008</v>
      </c>
      <c r="H263" s="9">
        <f t="shared" si="4"/>
        <v>554.16000000000008</v>
      </c>
    </row>
    <row r="264" spans="1:8" x14ac:dyDescent="0.3">
      <c r="A264">
        <v>111</v>
      </c>
      <c r="B264" s="316">
        <v>46166.831250000003</v>
      </c>
      <c r="C264">
        <v>710505</v>
      </c>
      <c r="D264" t="s">
        <v>1372</v>
      </c>
      <c r="E264" t="s">
        <v>1788</v>
      </c>
      <c r="F264" s="447">
        <v>5442.271999999999</v>
      </c>
      <c r="G264" s="447">
        <v>0</v>
      </c>
      <c r="H264" s="9">
        <f t="shared" si="4"/>
        <v>-5442.271999999999</v>
      </c>
    </row>
    <row r="265" spans="1:8" x14ac:dyDescent="0.3">
      <c r="A265">
        <v>111</v>
      </c>
      <c r="B265" s="316">
        <v>46166.831250000003</v>
      </c>
      <c r="C265">
        <v>233525</v>
      </c>
      <c r="D265" t="s">
        <v>1373</v>
      </c>
      <c r="E265" t="s">
        <v>1789</v>
      </c>
      <c r="F265" s="447">
        <v>0</v>
      </c>
      <c r="G265" s="447">
        <v>5442.271999999999</v>
      </c>
      <c r="H265" s="9">
        <f t="shared" si="4"/>
        <v>5442.271999999999</v>
      </c>
    </row>
    <row r="266" spans="1:8" x14ac:dyDescent="0.3">
      <c r="A266">
        <v>111</v>
      </c>
      <c r="B266" s="316">
        <v>46166.831250000003</v>
      </c>
      <c r="C266">
        <v>143005</v>
      </c>
      <c r="D266" t="s">
        <v>1370</v>
      </c>
      <c r="E266" t="s">
        <v>1790</v>
      </c>
      <c r="F266" s="447">
        <v>11538.031999999999</v>
      </c>
      <c r="G266" s="447">
        <v>0</v>
      </c>
      <c r="H266" s="9">
        <f t="shared" si="4"/>
        <v>-11538.031999999999</v>
      </c>
    </row>
    <row r="267" spans="1:8" x14ac:dyDescent="0.3">
      <c r="A267">
        <v>111</v>
      </c>
      <c r="B267" s="316">
        <v>46166.831250000003</v>
      </c>
      <c r="C267">
        <v>710505</v>
      </c>
      <c r="D267" t="s">
        <v>1372</v>
      </c>
      <c r="E267" t="s">
        <v>1791</v>
      </c>
      <c r="F267" s="447">
        <v>0</v>
      </c>
      <c r="G267" s="447">
        <v>11538.031999999999</v>
      </c>
      <c r="H267" s="9">
        <f t="shared" si="4"/>
        <v>11538.031999999999</v>
      </c>
    </row>
    <row r="268" spans="1:8" x14ac:dyDescent="0.3">
      <c r="A268">
        <v>112</v>
      </c>
      <c r="B268" s="316">
        <v>46167.499305555553</v>
      </c>
      <c r="C268">
        <v>710505</v>
      </c>
      <c r="D268" t="s">
        <v>1372</v>
      </c>
      <c r="E268" t="s">
        <v>1794</v>
      </c>
      <c r="F268" s="447">
        <v>734.42020571428566</v>
      </c>
      <c r="G268" s="447">
        <v>0</v>
      </c>
      <c r="H268" s="9">
        <f t="shared" si="4"/>
        <v>-734.42020571428566</v>
      </c>
    </row>
    <row r="269" spans="1:8" x14ac:dyDescent="0.3">
      <c r="A269">
        <v>112</v>
      </c>
      <c r="B269" s="316">
        <v>46167.499305555553</v>
      </c>
      <c r="C269">
        <v>140505</v>
      </c>
      <c r="D269" t="s">
        <v>1353</v>
      </c>
      <c r="E269" t="s">
        <v>1794</v>
      </c>
      <c r="F269" s="447">
        <v>0</v>
      </c>
      <c r="G269" s="447">
        <v>734.42020571428566</v>
      </c>
      <c r="H269" s="9">
        <f t="shared" si="4"/>
        <v>734.42020571428566</v>
      </c>
    </row>
    <row r="270" spans="1:8" x14ac:dyDescent="0.3">
      <c r="A270">
        <v>112</v>
      </c>
      <c r="B270" s="316">
        <v>46167.499305555553</v>
      </c>
      <c r="C270">
        <v>710505</v>
      </c>
      <c r="D270" t="s">
        <v>1372</v>
      </c>
      <c r="E270" t="s">
        <v>1795</v>
      </c>
      <c r="F270" s="447">
        <v>73.442020571428571</v>
      </c>
      <c r="G270" s="447">
        <v>0</v>
      </c>
      <c r="H270" s="9">
        <f t="shared" si="4"/>
        <v>-73.442020571428571</v>
      </c>
    </row>
    <row r="271" spans="1:8" x14ac:dyDescent="0.3">
      <c r="A271">
        <v>112</v>
      </c>
      <c r="B271" s="316">
        <v>46167.499305555553</v>
      </c>
      <c r="C271">
        <v>250505</v>
      </c>
      <c r="D271" t="s">
        <v>1420</v>
      </c>
      <c r="E271" t="s">
        <v>1796</v>
      </c>
      <c r="F271" s="447">
        <v>0</v>
      </c>
      <c r="G271" s="447">
        <v>73.442020571428571</v>
      </c>
      <c r="H271" s="9">
        <f t="shared" si="4"/>
        <v>73.442020571428571</v>
      </c>
    </row>
    <row r="272" spans="1:8" x14ac:dyDescent="0.3">
      <c r="A272">
        <v>112</v>
      </c>
      <c r="B272" s="316">
        <v>46167.499305555553</v>
      </c>
      <c r="C272">
        <v>710505</v>
      </c>
      <c r="D272" t="s">
        <v>1372</v>
      </c>
      <c r="E272" t="s">
        <v>1797</v>
      </c>
      <c r="F272" s="447">
        <v>639.78997942857143</v>
      </c>
      <c r="G272" s="447">
        <v>0</v>
      </c>
      <c r="H272" s="9">
        <f t="shared" si="4"/>
        <v>-639.78997942857143</v>
      </c>
    </row>
    <row r="273" spans="1:8" x14ac:dyDescent="0.3">
      <c r="A273">
        <v>112</v>
      </c>
      <c r="B273" s="316">
        <v>46167.499305555553</v>
      </c>
      <c r="C273">
        <v>233525</v>
      </c>
      <c r="D273" t="s">
        <v>1373</v>
      </c>
      <c r="E273" t="s">
        <v>1798</v>
      </c>
      <c r="F273" s="447">
        <v>0</v>
      </c>
      <c r="G273" s="447">
        <v>639.78997942857143</v>
      </c>
      <c r="H273" s="9">
        <f t="shared" si="4"/>
        <v>639.78997942857143</v>
      </c>
    </row>
    <row r="274" spans="1:8" x14ac:dyDescent="0.3">
      <c r="A274">
        <v>112</v>
      </c>
      <c r="B274" s="316">
        <v>46167.499305555553</v>
      </c>
      <c r="C274">
        <v>143005</v>
      </c>
      <c r="D274" t="s">
        <v>1370</v>
      </c>
      <c r="E274" t="s">
        <v>1799</v>
      </c>
      <c r="F274" s="447">
        <v>1447.6522057142856</v>
      </c>
      <c r="G274" s="447">
        <v>0</v>
      </c>
      <c r="H274" s="9">
        <f t="shared" si="4"/>
        <v>-1447.6522057142856</v>
      </c>
    </row>
    <row r="275" spans="1:8" x14ac:dyDescent="0.3">
      <c r="A275">
        <v>112</v>
      </c>
      <c r="B275" s="316">
        <v>46167.499305555553</v>
      </c>
      <c r="C275">
        <v>710505</v>
      </c>
      <c r="D275" t="s">
        <v>1372</v>
      </c>
      <c r="E275" t="s">
        <v>1800</v>
      </c>
      <c r="F275" s="447">
        <v>0</v>
      </c>
      <c r="G275" s="447">
        <v>1447.6522057142856</v>
      </c>
      <c r="H275" s="9">
        <f t="shared" si="4"/>
        <v>1447.6522057142856</v>
      </c>
    </row>
    <row r="276" spans="1:8" x14ac:dyDescent="0.3">
      <c r="A276">
        <v>113</v>
      </c>
      <c r="B276" s="316">
        <v>46167.587500000001</v>
      </c>
      <c r="C276">
        <v>710505</v>
      </c>
      <c r="D276" t="s">
        <v>1372</v>
      </c>
      <c r="E276" t="s">
        <v>1794</v>
      </c>
      <c r="F276" s="447">
        <v>1487.76064</v>
      </c>
      <c r="G276" s="447">
        <v>0</v>
      </c>
      <c r="H276" s="9">
        <f t="shared" si="4"/>
        <v>-1487.76064</v>
      </c>
    </row>
    <row r="277" spans="1:8" x14ac:dyDescent="0.3">
      <c r="A277">
        <v>113</v>
      </c>
      <c r="B277" s="316">
        <v>46167.587500000001</v>
      </c>
      <c r="C277">
        <v>140505</v>
      </c>
      <c r="D277" t="s">
        <v>1353</v>
      </c>
      <c r="E277" t="s">
        <v>1794</v>
      </c>
      <c r="F277" s="447">
        <v>0</v>
      </c>
      <c r="G277" s="447">
        <v>1487.76064</v>
      </c>
      <c r="H277" s="9">
        <f t="shared" si="4"/>
        <v>1487.76064</v>
      </c>
    </row>
    <row r="278" spans="1:8" x14ac:dyDescent="0.3">
      <c r="A278">
        <v>113</v>
      </c>
      <c r="B278" s="316">
        <v>46167.587500000001</v>
      </c>
      <c r="C278">
        <v>710505</v>
      </c>
      <c r="D278" t="s">
        <v>1372</v>
      </c>
      <c r="E278" t="s">
        <v>1795</v>
      </c>
      <c r="F278" s="447">
        <v>148.77606399999999</v>
      </c>
      <c r="G278" s="447">
        <v>0</v>
      </c>
      <c r="H278" s="9">
        <f t="shared" si="4"/>
        <v>-148.77606399999999</v>
      </c>
    </row>
    <row r="279" spans="1:8" x14ac:dyDescent="0.3">
      <c r="A279">
        <v>113</v>
      </c>
      <c r="B279" s="316">
        <v>46167.587500000001</v>
      </c>
      <c r="C279">
        <v>250505</v>
      </c>
      <c r="D279" t="s">
        <v>1420</v>
      </c>
      <c r="E279" t="s">
        <v>1796</v>
      </c>
      <c r="F279" s="447">
        <v>0</v>
      </c>
      <c r="G279" s="447">
        <v>148.77606399999999</v>
      </c>
      <c r="H279" s="9">
        <f t="shared" si="4"/>
        <v>148.77606399999999</v>
      </c>
    </row>
    <row r="280" spans="1:8" x14ac:dyDescent="0.3">
      <c r="A280">
        <v>113</v>
      </c>
      <c r="B280" s="316">
        <v>46167.587500000001</v>
      </c>
      <c r="C280">
        <v>710505</v>
      </c>
      <c r="D280" t="s">
        <v>1372</v>
      </c>
      <c r="E280" t="s">
        <v>1797</v>
      </c>
      <c r="F280" s="447">
        <v>788.99193600000001</v>
      </c>
      <c r="G280" s="447">
        <v>0</v>
      </c>
      <c r="H280" s="9">
        <f t="shared" si="4"/>
        <v>-788.99193600000001</v>
      </c>
    </row>
    <row r="281" spans="1:8" x14ac:dyDescent="0.3">
      <c r="A281">
        <v>113</v>
      </c>
      <c r="B281" s="316">
        <v>46167.587500000001</v>
      </c>
      <c r="C281">
        <v>233525</v>
      </c>
      <c r="D281" t="s">
        <v>1373</v>
      </c>
      <c r="E281" t="s">
        <v>1798</v>
      </c>
      <c r="F281" s="447">
        <v>0</v>
      </c>
      <c r="G281" s="447">
        <v>788.99193600000001</v>
      </c>
      <c r="H281" s="9">
        <f t="shared" si="4"/>
        <v>788.99193600000001</v>
      </c>
    </row>
    <row r="282" spans="1:8" x14ac:dyDescent="0.3">
      <c r="A282">
        <v>113</v>
      </c>
      <c r="B282" s="316">
        <v>46167.587500000001</v>
      </c>
      <c r="C282">
        <v>143005</v>
      </c>
      <c r="D282" t="s">
        <v>1370</v>
      </c>
      <c r="E282" t="s">
        <v>1799</v>
      </c>
      <c r="F282" s="447">
        <v>2425.52864</v>
      </c>
      <c r="G282" s="447">
        <v>0</v>
      </c>
      <c r="H282" s="9">
        <f t="shared" si="4"/>
        <v>-2425.52864</v>
      </c>
    </row>
    <row r="283" spans="1:8" x14ac:dyDescent="0.3">
      <c r="A283">
        <v>113</v>
      </c>
      <c r="B283" s="316">
        <v>46167.587500000001</v>
      </c>
      <c r="C283">
        <v>710505</v>
      </c>
      <c r="D283" t="s">
        <v>1372</v>
      </c>
      <c r="E283" t="s">
        <v>1800</v>
      </c>
      <c r="F283" s="447">
        <v>0</v>
      </c>
      <c r="G283" s="447">
        <v>2425.52864</v>
      </c>
      <c r="H283" s="9">
        <f t="shared" si="4"/>
        <v>2425.52864</v>
      </c>
    </row>
    <row r="284" spans="1:8" x14ac:dyDescent="0.3">
      <c r="A284">
        <v>85</v>
      </c>
      <c r="B284" s="316">
        <v>46167.8</v>
      </c>
      <c r="C284">
        <v>710505</v>
      </c>
      <c r="D284" t="s">
        <v>1372</v>
      </c>
      <c r="E284" t="s">
        <v>1738</v>
      </c>
      <c r="F284" s="447">
        <v>124.80000000000001</v>
      </c>
      <c r="G284" s="447">
        <v>0</v>
      </c>
      <c r="H284" s="9">
        <f t="shared" si="4"/>
        <v>-124.80000000000001</v>
      </c>
    </row>
    <row r="285" spans="1:8" x14ac:dyDescent="0.3">
      <c r="A285">
        <v>85</v>
      </c>
      <c r="B285" s="316">
        <v>46167.8</v>
      </c>
      <c r="C285">
        <v>140505</v>
      </c>
      <c r="D285" t="s">
        <v>1353</v>
      </c>
      <c r="E285" t="s">
        <v>1738</v>
      </c>
      <c r="F285" s="447">
        <v>0</v>
      </c>
      <c r="G285" s="447">
        <v>124.80000000000001</v>
      </c>
      <c r="H285" s="9">
        <f t="shared" si="4"/>
        <v>124.80000000000001</v>
      </c>
    </row>
    <row r="286" spans="1:8" x14ac:dyDescent="0.3">
      <c r="A286">
        <v>85</v>
      </c>
      <c r="B286" s="316">
        <v>46167.8</v>
      </c>
      <c r="C286">
        <v>710505</v>
      </c>
      <c r="D286" t="s">
        <v>1372</v>
      </c>
      <c r="E286" t="s">
        <v>1739</v>
      </c>
      <c r="F286" s="447">
        <v>12.480000000000002</v>
      </c>
      <c r="G286" s="447">
        <v>0</v>
      </c>
      <c r="H286" s="9">
        <f t="shared" si="4"/>
        <v>-12.480000000000002</v>
      </c>
    </row>
    <row r="287" spans="1:8" x14ac:dyDescent="0.3">
      <c r="A287">
        <v>85</v>
      </c>
      <c r="B287" s="316">
        <v>46167.8</v>
      </c>
      <c r="C287">
        <v>250505</v>
      </c>
      <c r="D287" t="s">
        <v>1420</v>
      </c>
      <c r="E287" t="s">
        <v>1740</v>
      </c>
      <c r="F287" s="447">
        <v>0</v>
      </c>
      <c r="G287" s="447">
        <v>12.480000000000002</v>
      </c>
      <c r="H287" s="9">
        <f t="shared" si="4"/>
        <v>12.480000000000002</v>
      </c>
    </row>
    <row r="288" spans="1:8" x14ac:dyDescent="0.3">
      <c r="A288">
        <v>85</v>
      </c>
      <c r="B288" s="316">
        <v>46167.8</v>
      </c>
      <c r="C288">
        <v>710505</v>
      </c>
      <c r="D288" t="s">
        <v>1372</v>
      </c>
      <c r="E288" t="s">
        <v>1741</v>
      </c>
      <c r="F288" s="447">
        <v>2166.8399999999997</v>
      </c>
      <c r="G288" s="447">
        <v>0</v>
      </c>
      <c r="H288" s="9">
        <f t="shared" si="4"/>
        <v>-2166.8399999999997</v>
      </c>
    </row>
    <row r="289" spans="1:8" x14ac:dyDescent="0.3">
      <c r="A289">
        <v>85</v>
      </c>
      <c r="B289" s="316">
        <v>46167.8</v>
      </c>
      <c r="C289">
        <v>233525</v>
      </c>
      <c r="D289" t="s">
        <v>1373</v>
      </c>
      <c r="E289" t="s">
        <v>1742</v>
      </c>
      <c r="F289" s="447">
        <v>0</v>
      </c>
      <c r="G289" s="447">
        <v>2166.8399999999997</v>
      </c>
      <c r="H289" s="9">
        <f t="shared" si="4"/>
        <v>2166.8399999999997</v>
      </c>
    </row>
    <row r="290" spans="1:8" x14ac:dyDescent="0.3">
      <c r="A290">
        <v>85</v>
      </c>
      <c r="B290" s="316">
        <v>46167.8</v>
      </c>
      <c r="C290">
        <v>143005</v>
      </c>
      <c r="D290" t="s">
        <v>1370</v>
      </c>
      <c r="E290" t="s">
        <v>1743</v>
      </c>
      <c r="F290" s="447">
        <v>2304.12</v>
      </c>
      <c r="G290" s="447">
        <v>0</v>
      </c>
      <c r="H290" s="9">
        <f t="shared" si="4"/>
        <v>-2304.12</v>
      </c>
    </row>
    <row r="291" spans="1:8" x14ac:dyDescent="0.3">
      <c r="A291">
        <v>85</v>
      </c>
      <c r="B291" s="316">
        <v>46167.8</v>
      </c>
      <c r="C291">
        <v>710505</v>
      </c>
      <c r="D291" t="s">
        <v>1372</v>
      </c>
      <c r="E291" t="s">
        <v>1744</v>
      </c>
      <c r="F291" s="447">
        <v>0</v>
      </c>
      <c r="G291" s="447">
        <v>2304.12</v>
      </c>
      <c r="H291" s="9">
        <f t="shared" si="4"/>
        <v>2304.12</v>
      </c>
    </row>
    <row r="292" spans="1:8" x14ac:dyDescent="0.3">
      <c r="A292">
        <v>86</v>
      </c>
      <c r="B292" s="316">
        <v>46167.8</v>
      </c>
      <c r="C292">
        <v>710505</v>
      </c>
      <c r="D292" t="s">
        <v>1372</v>
      </c>
      <c r="E292" t="s">
        <v>1803</v>
      </c>
      <c r="F292" s="447">
        <v>2136.96</v>
      </c>
      <c r="G292" s="447">
        <v>0</v>
      </c>
      <c r="H292" s="9">
        <f t="shared" si="4"/>
        <v>-2136.96</v>
      </c>
    </row>
    <row r="293" spans="1:8" x14ac:dyDescent="0.3">
      <c r="A293">
        <v>86</v>
      </c>
      <c r="B293" s="316">
        <v>46167.8</v>
      </c>
      <c r="C293">
        <v>140505</v>
      </c>
      <c r="D293" t="s">
        <v>1353</v>
      </c>
      <c r="E293" t="s">
        <v>1803</v>
      </c>
      <c r="F293" s="447">
        <v>0</v>
      </c>
      <c r="G293" s="447">
        <v>2136.96</v>
      </c>
      <c r="H293" s="9">
        <f t="shared" si="4"/>
        <v>2136.96</v>
      </c>
    </row>
    <row r="294" spans="1:8" x14ac:dyDescent="0.3">
      <c r="A294">
        <v>86</v>
      </c>
      <c r="B294" s="316">
        <v>46167.8</v>
      </c>
      <c r="C294">
        <v>710505</v>
      </c>
      <c r="D294" t="s">
        <v>1372</v>
      </c>
      <c r="E294" t="s">
        <v>1804</v>
      </c>
      <c r="F294" s="447">
        <v>213.69600000000003</v>
      </c>
      <c r="G294" s="447">
        <v>0</v>
      </c>
      <c r="H294" s="9">
        <f t="shared" si="4"/>
        <v>-213.69600000000003</v>
      </c>
    </row>
    <row r="295" spans="1:8" x14ac:dyDescent="0.3">
      <c r="A295">
        <v>86</v>
      </c>
      <c r="B295" s="316">
        <v>46167.8</v>
      </c>
      <c r="C295">
        <v>250505</v>
      </c>
      <c r="D295" t="s">
        <v>1420</v>
      </c>
      <c r="E295" t="s">
        <v>1805</v>
      </c>
      <c r="F295" s="447">
        <v>0</v>
      </c>
      <c r="G295" s="447">
        <v>213.69600000000003</v>
      </c>
      <c r="H295" s="9">
        <f t="shared" si="4"/>
        <v>213.69600000000003</v>
      </c>
    </row>
    <row r="296" spans="1:8" x14ac:dyDescent="0.3">
      <c r="A296">
        <v>86</v>
      </c>
      <c r="B296" s="316">
        <v>46167.8</v>
      </c>
      <c r="C296">
        <v>710505</v>
      </c>
      <c r="D296" t="s">
        <v>1372</v>
      </c>
      <c r="E296" t="s">
        <v>1806</v>
      </c>
      <c r="F296" s="447">
        <v>4963.84</v>
      </c>
      <c r="G296" s="447">
        <v>0</v>
      </c>
      <c r="H296" s="9">
        <f t="shared" si="4"/>
        <v>-4963.84</v>
      </c>
    </row>
    <row r="297" spans="1:8" x14ac:dyDescent="0.3">
      <c r="A297">
        <v>86</v>
      </c>
      <c r="B297" s="316">
        <v>46167.8</v>
      </c>
      <c r="C297">
        <v>233525</v>
      </c>
      <c r="D297" t="s">
        <v>1373</v>
      </c>
      <c r="E297" t="s">
        <v>1807</v>
      </c>
      <c r="F297" s="447">
        <v>0</v>
      </c>
      <c r="G297" s="447">
        <v>4963.84</v>
      </c>
      <c r="H297" s="9">
        <f t="shared" si="4"/>
        <v>4963.84</v>
      </c>
    </row>
    <row r="298" spans="1:8" x14ac:dyDescent="0.3">
      <c r="A298">
        <v>86</v>
      </c>
      <c r="B298" s="316">
        <v>46167.8</v>
      </c>
      <c r="C298">
        <v>143005</v>
      </c>
      <c r="D298" t="s">
        <v>1370</v>
      </c>
      <c r="E298" t="s">
        <v>1808</v>
      </c>
      <c r="F298" s="447">
        <v>7314.4960000000001</v>
      </c>
      <c r="G298" s="447">
        <v>0</v>
      </c>
      <c r="H298" s="9">
        <f t="shared" si="4"/>
        <v>-7314.4960000000001</v>
      </c>
    </row>
    <row r="299" spans="1:8" x14ac:dyDescent="0.3">
      <c r="A299">
        <v>86</v>
      </c>
      <c r="B299" s="316">
        <v>46167.8</v>
      </c>
      <c r="C299">
        <v>710505</v>
      </c>
      <c r="D299" t="s">
        <v>1372</v>
      </c>
      <c r="E299" t="s">
        <v>1809</v>
      </c>
      <c r="F299" s="447">
        <v>0</v>
      </c>
      <c r="G299" s="447">
        <v>7314.4960000000001</v>
      </c>
      <c r="H299" s="9">
        <f t="shared" si="4"/>
        <v>7314.4960000000001</v>
      </c>
    </row>
    <row r="300" spans="1:8" x14ac:dyDescent="0.3">
      <c r="A300">
        <v>18</v>
      </c>
      <c r="B300" s="316">
        <v>46237</v>
      </c>
      <c r="C300">
        <v>612099</v>
      </c>
      <c r="D300" t="s">
        <v>1352</v>
      </c>
      <c r="E300" t="s">
        <v>1435</v>
      </c>
      <c r="F300" s="447">
        <v>6991.1542857142858</v>
      </c>
      <c r="G300" s="447">
        <v>0</v>
      </c>
      <c r="H300" s="9">
        <f t="shared" si="4"/>
        <v>-6991.1542857142858</v>
      </c>
    </row>
    <row r="301" spans="1:8" x14ac:dyDescent="0.3">
      <c r="A301">
        <v>18</v>
      </c>
      <c r="B301" s="316">
        <v>46237</v>
      </c>
      <c r="C301">
        <v>140505</v>
      </c>
      <c r="D301" t="s">
        <v>1353</v>
      </c>
      <c r="E301" t="s">
        <v>1436</v>
      </c>
      <c r="F301" s="447">
        <v>0</v>
      </c>
      <c r="G301" s="447">
        <v>6991.1542857142858</v>
      </c>
      <c r="H301" s="9">
        <f t="shared" si="4"/>
        <v>6991.1542857142858</v>
      </c>
    </row>
    <row r="302" spans="1:8" x14ac:dyDescent="0.3">
      <c r="A302">
        <v>18</v>
      </c>
      <c r="B302" s="316">
        <v>46237</v>
      </c>
      <c r="C302">
        <v>612099</v>
      </c>
      <c r="D302" t="s">
        <v>1352</v>
      </c>
      <c r="E302" t="s">
        <v>1437</v>
      </c>
      <c r="F302" s="447">
        <v>699.11542857142865</v>
      </c>
      <c r="G302" s="447">
        <v>0</v>
      </c>
      <c r="H302" s="9">
        <f t="shared" si="4"/>
        <v>-699.11542857142865</v>
      </c>
    </row>
    <row r="303" spans="1:8" x14ac:dyDescent="0.3">
      <c r="A303">
        <v>18</v>
      </c>
      <c r="B303" s="316">
        <v>46237</v>
      </c>
      <c r="C303">
        <v>250505</v>
      </c>
      <c r="D303" t="s">
        <v>1420</v>
      </c>
      <c r="E303" t="s">
        <v>1438</v>
      </c>
      <c r="F303" s="447">
        <v>0</v>
      </c>
      <c r="G303" s="447">
        <v>699.11542857142865</v>
      </c>
      <c r="H303" s="9">
        <f t="shared" si="4"/>
        <v>699.11542857142865</v>
      </c>
    </row>
    <row r="304" spans="1:8" x14ac:dyDescent="0.3">
      <c r="A304">
        <v>18</v>
      </c>
      <c r="B304" s="316">
        <v>46237</v>
      </c>
      <c r="C304">
        <v>612099</v>
      </c>
      <c r="D304" t="s">
        <v>1352</v>
      </c>
      <c r="E304" t="s">
        <v>1439</v>
      </c>
      <c r="F304" s="447">
        <v>3012.3325714285706</v>
      </c>
      <c r="G304" s="447">
        <v>0</v>
      </c>
      <c r="H304" s="9">
        <f t="shared" si="4"/>
        <v>-3012.3325714285706</v>
      </c>
    </row>
    <row r="305" spans="1:8" x14ac:dyDescent="0.3">
      <c r="A305">
        <v>18</v>
      </c>
      <c r="B305" s="316">
        <v>46237</v>
      </c>
      <c r="C305">
        <v>233525</v>
      </c>
      <c r="D305" t="s">
        <v>1373</v>
      </c>
      <c r="E305" t="s">
        <v>1440</v>
      </c>
      <c r="F305" s="447">
        <v>0</v>
      </c>
      <c r="G305" s="447">
        <v>3012.3325714285706</v>
      </c>
      <c r="H305" s="9">
        <f t="shared" si="4"/>
        <v>3012.3325714285706</v>
      </c>
    </row>
    <row r="306" spans="1:8" x14ac:dyDescent="0.3">
      <c r="A306">
        <v>20</v>
      </c>
      <c r="B306" s="316">
        <v>46237</v>
      </c>
      <c r="C306">
        <v>612099</v>
      </c>
      <c r="D306" t="s">
        <v>1352</v>
      </c>
      <c r="E306" t="s">
        <v>1449</v>
      </c>
      <c r="F306" s="447">
        <v>30725.261439999995</v>
      </c>
      <c r="G306" s="447">
        <v>0</v>
      </c>
      <c r="H306" s="9">
        <f t="shared" si="4"/>
        <v>-30725.261439999995</v>
      </c>
    </row>
    <row r="307" spans="1:8" x14ac:dyDescent="0.3">
      <c r="A307">
        <v>20</v>
      </c>
      <c r="B307" s="316">
        <v>46237</v>
      </c>
      <c r="C307">
        <v>140505</v>
      </c>
      <c r="D307" t="s">
        <v>1353</v>
      </c>
      <c r="E307" t="s">
        <v>1450</v>
      </c>
      <c r="F307" s="447">
        <v>0</v>
      </c>
      <c r="G307" s="447">
        <v>30725.261439999995</v>
      </c>
      <c r="H307" s="9">
        <f t="shared" si="4"/>
        <v>30725.261439999995</v>
      </c>
    </row>
    <row r="308" spans="1:8" x14ac:dyDescent="0.3">
      <c r="A308">
        <v>20</v>
      </c>
      <c r="B308" s="316">
        <v>46237</v>
      </c>
      <c r="C308">
        <v>612099</v>
      </c>
      <c r="D308" t="s">
        <v>1352</v>
      </c>
      <c r="E308" t="s">
        <v>1451</v>
      </c>
      <c r="F308" s="447">
        <v>3072.5261439999995</v>
      </c>
      <c r="G308" s="447">
        <v>0</v>
      </c>
      <c r="H308" s="9">
        <f t="shared" si="4"/>
        <v>-3072.5261439999995</v>
      </c>
    </row>
    <row r="309" spans="1:8" x14ac:dyDescent="0.3">
      <c r="A309">
        <v>20</v>
      </c>
      <c r="B309" s="316">
        <v>46237</v>
      </c>
      <c r="C309">
        <v>250505</v>
      </c>
      <c r="D309" t="s">
        <v>1420</v>
      </c>
      <c r="E309" t="s">
        <v>1452</v>
      </c>
      <c r="F309" s="447">
        <v>0</v>
      </c>
      <c r="G309" s="447">
        <v>3072.5261439999995</v>
      </c>
      <c r="H309" s="9">
        <f t="shared" si="4"/>
        <v>3072.5261439999995</v>
      </c>
    </row>
    <row r="310" spans="1:8" x14ac:dyDescent="0.3">
      <c r="A310">
        <v>20</v>
      </c>
      <c r="B310" s="316">
        <v>46237</v>
      </c>
      <c r="C310">
        <v>612099</v>
      </c>
      <c r="D310" t="s">
        <v>1352</v>
      </c>
      <c r="E310" t="s">
        <v>1453</v>
      </c>
      <c r="F310" s="447">
        <v>15880.953856000004</v>
      </c>
      <c r="G310" s="447">
        <v>0</v>
      </c>
      <c r="H310" s="9">
        <f t="shared" si="4"/>
        <v>-15880.953856000004</v>
      </c>
    </row>
    <row r="311" spans="1:8" x14ac:dyDescent="0.3">
      <c r="A311">
        <v>20</v>
      </c>
      <c r="B311" s="316">
        <v>46237</v>
      </c>
      <c r="C311">
        <v>233525</v>
      </c>
      <c r="D311" t="s">
        <v>1373</v>
      </c>
      <c r="E311" t="s">
        <v>1454</v>
      </c>
      <c r="F311" s="447">
        <v>0</v>
      </c>
      <c r="G311" s="447">
        <v>15880.953856000004</v>
      </c>
      <c r="H311" s="9">
        <f t="shared" si="4"/>
        <v>15880.953856000004</v>
      </c>
    </row>
    <row r="312" spans="1:8" x14ac:dyDescent="0.3">
      <c r="A312">
        <v>22</v>
      </c>
      <c r="B312" s="316">
        <v>46237</v>
      </c>
      <c r="C312">
        <v>612099</v>
      </c>
      <c r="D312" t="s">
        <v>1352</v>
      </c>
      <c r="E312" t="s">
        <v>1467</v>
      </c>
      <c r="F312" s="447">
        <v>19172.068571428568</v>
      </c>
      <c r="G312" s="447">
        <v>0</v>
      </c>
      <c r="H312" s="9">
        <f t="shared" si="4"/>
        <v>-19172.068571428568</v>
      </c>
    </row>
    <row r="313" spans="1:8" x14ac:dyDescent="0.3">
      <c r="A313">
        <v>22</v>
      </c>
      <c r="B313" s="316">
        <v>46237</v>
      </c>
      <c r="C313">
        <v>140505</v>
      </c>
      <c r="D313" t="s">
        <v>1353</v>
      </c>
      <c r="E313" t="s">
        <v>1468</v>
      </c>
      <c r="F313" s="447">
        <v>0</v>
      </c>
      <c r="G313" s="447">
        <v>19172.068571428568</v>
      </c>
      <c r="H313" s="9">
        <f t="shared" si="4"/>
        <v>19172.068571428568</v>
      </c>
    </row>
    <row r="314" spans="1:8" x14ac:dyDescent="0.3">
      <c r="A314">
        <v>22</v>
      </c>
      <c r="B314" s="316">
        <v>46237</v>
      </c>
      <c r="C314">
        <v>612099</v>
      </c>
      <c r="D314" t="s">
        <v>1352</v>
      </c>
      <c r="E314" t="s">
        <v>1469</v>
      </c>
      <c r="F314" s="447">
        <v>1917.206857142857</v>
      </c>
      <c r="G314" s="447">
        <v>0</v>
      </c>
      <c r="H314" s="9">
        <f t="shared" si="4"/>
        <v>-1917.206857142857</v>
      </c>
    </row>
    <row r="315" spans="1:8" x14ac:dyDescent="0.3">
      <c r="A315">
        <v>22</v>
      </c>
      <c r="B315" s="316">
        <v>46237</v>
      </c>
      <c r="C315">
        <v>250505</v>
      </c>
      <c r="D315" t="s">
        <v>1420</v>
      </c>
      <c r="E315" t="s">
        <v>1470</v>
      </c>
      <c r="F315" s="447">
        <v>0</v>
      </c>
      <c r="G315" s="447">
        <v>1917.206857142857</v>
      </c>
      <c r="H315" s="9">
        <f t="shared" si="4"/>
        <v>1917.206857142857</v>
      </c>
    </row>
    <row r="316" spans="1:8" x14ac:dyDescent="0.3">
      <c r="A316">
        <v>22</v>
      </c>
      <c r="B316" s="316">
        <v>46237</v>
      </c>
      <c r="C316">
        <v>612099</v>
      </c>
      <c r="D316" t="s">
        <v>1352</v>
      </c>
      <c r="E316" t="s">
        <v>1471</v>
      </c>
      <c r="F316" s="447">
        <v>5888.7211428571427</v>
      </c>
      <c r="G316" s="447">
        <v>0</v>
      </c>
      <c r="H316" s="9">
        <f t="shared" si="4"/>
        <v>-5888.7211428571427</v>
      </c>
    </row>
    <row r="317" spans="1:8" x14ac:dyDescent="0.3">
      <c r="A317">
        <v>22</v>
      </c>
      <c r="B317" s="316">
        <v>46237</v>
      </c>
      <c r="C317">
        <v>233525</v>
      </c>
      <c r="D317" t="s">
        <v>1373</v>
      </c>
      <c r="E317" t="s">
        <v>1472</v>
      </c>
      <c r="F317" s="447">
        <v>0</v>
      </c>
      <c r="G317" s="447">
        <v>5888.7211428571427</v>
      </c>
      <c r="H317" s="9">
        <f t="shared" si="4"/>
        <v>5888.7211428571427</v>
      </c>
    </row>
    <row r="318" spans="1:8" x14ac:dyDescent="0.3">
      <c r="A318">
        <v>23</v>
      </c>
      <c r="B318" s="316">
        <v>46237</v>
      </c>
      <c r="C318">
        <v>612099</v>
      </c>
      <c r="D318" t="s">
        <v>1352</v>
      </c>
      <c r="E318" t="s">
        <v>1476</v>
      </c>
      <c r="F318" s="447">
        <v>1110.7294076190474</v>
      </c>
      <c r="G318" s="447">
        <v>0</v>
      </c>
      <c r="H318" s="9">
        <f t="shared" si="4"/>
        <v>-1110.7294076190474</v>
      </c>
    </row>
    <row r="319" spans="1:8" x14ac:dyDescent="0.3">
      <c r="A319">
        <v>23</v>
      </c>
      <c r="B319" s="316">
        <v>46237</v>
      </c>
      <c r="C319">
        <v>140505</v>
      </c>
      <c r="D319" t="s">
        <v>1353</v>
      </c>
      <c r="E319" t="s">
        <v>1477</v>
      </c>
      <c r="F319" s="447">
        <v>0</v>
      </c>
      <c r="G319" s="447">
        <v>1110.7294076190474</v>
      </c>
      <c r="H319" s="9">
        <f t="shared" si="4"/>
        <v>1110.7294076190474</v>
      </c>
    </row>
    <row r="320" spans="1:8" x14ac:dyDescent="0.3">
      <c r="A320">
        <v>23</v>
      </c>
      <c r="B320" s="316">
        <v>46237</v>
      </c>
      <c r="C320">
        <v>612099</v>
      </c>
      <c r="D320" t="s">
        <v>1352</v>
      </c>
      <c r="E320" t="s">
        <v>1478</v>
      </c>
      <c r="F320" s="447">
        <v>111.07294076190475</v>
      </c>
      <c r="G320" s="447">
        <v>0</v>
      </c>
      <c r="H320" s="9">
        <f t="shared" si="4"/>
        <v>-111.07294076190475</v>
      </c>
    </row>
    <row r="321" spans="1:8" x14ac:dyDescent="0.3">
      <c r="A321">
        <v>23</v>
      </c>
      <c r="B321" s="316">
        <v>46237</v>
      </c>
      <c r="C321">
        <v>250505</v>
      </c>
      <c r="D321" t="s">
        <v>1420</v>
      </c>
      <c r="E321" t="s">
        <v>1479</v>
      </c>
      <c r="F321" s="447">
        <v>0</v>
      </c>
      <c r="G321" s="447">
        <v>111.07294076190475</v>
      </c>
      <c r="H321" s="9">
        <f t="shared" si="4"/>
        <v>111.07294076190475</v>
      </c>
    </row>
    <row r="322" spans="1:8" x14ac:dyDescent="0.3">
      <c r="A322">
        <v>23</v>
      </c>
      <c r="B322" s="316">
        <v>46237</v>
      </c>
      <c r="C322">
        <v>612099</v>
      </c>
      <c r="D322" t="s">
        <v>1352</v>
      </c>
      <c r="E322" t="s">
        <v>1480</v>
      </c>
      <c r="F322" s="447">
        <v>602.15905923809521</v>
      </c>
      <c r="G322" s="447">
        <v>0</v>
      </c>
      <c r="H322" s="9">
        <f t="shared" si="4"/>
        <v>-602.15905923809521</v>
      </c>
    </row>
    <row r="323" spans="1:8" x14ac:dyDescent="0.3">
      <c r="A323">
        <v>23</v>
      </c>
      <c r="B323" s="316">
        <v>46237</v>
      </c>
      <c r="C323">
        <v>233525</v>
      </c>
      <c r="D323" t="s">
        <v>1373</v>
      </c>
      <c r="E323" t="s">
        <v>1481</v>
      </c>
      <c r="F323" s="447">
        <v>0</v>
      </c>
      <c r="G323" s="447">
        <v>602.15905923809521</v>
      </c>
      <c r="H323" s="9">
        <f t="shared" ref="H323:H386" si="5">+G323-F323</f>
        <v>602.15905923809521</v>
      </c>
    </row>
    <row r="324" spans="1:8" x14ac:dyDescent="0.3">
      <c r="A324">
        <v>24</v>
      </c>
      <c r="B324" s="316">
        <v>46237</v>
      </c>
      <c r="C324">
        <v>612099</v>
      </c>
      <c r="D324" t="s">
        <v>1352</v>
      </c>
      <c r="E324" t="s">
        <v>1485</v>
      </c>
      <c r="F324" s="447">
        <v>17040.501771428571</v>
      </c>
      <c r="G324" s="447">
        <v>0</v>
      </c>
      <c r="H324" s="9">
        <f t="shared" si="5"/>
        <v>-17040.501771428571</v>
      </c>
    </row>
    <row r="325" spans="1:8" x14ac:dyDescent="0.3">
      <c r="A325">
        <v>24</v>
      </c>
      <c r="B325" s="316">
        <v>46237</v>
      </c>
      <c r="C325">
        <v>140505</v>
      </c>
      <c r="D325" t="s">
        <v>1353</v>
      </c>
      <c r="E325" t="s">
        <v>1486</v>
      </c>
      <c r="F325" s="447">
        <v>0</v>
      </c>
      <c r="G325" s="447">
        <v>17040.501771428571</v>
      </c>
      <c r="H325" s="9">
        <f t="shared" si="5"/>
        <v>17040.501771428571</v>
      </c>
    </row>
    <row r="326" spans="1:8" x14ac:dyDescent="0.3">
      <c r="A326">
        <v>24</v>
      </c>
      <c r="B326" s="316">
        <v>46237</v>
      </c>
      <c r="C326">
        <v>612099</v>
      </c>
      <c r="D326" t="s">
        <v>1352</v>
      </c>
      <c r="E326" t="s">
        <v>1487</v>
      </c>
      <c r="F326" s="447">
        <v>1704.0501771428571</v>
      </c>
      <c r="G326" s="447">
        <v>0</v>
      </c>
      <c r="H326" s="9">
        <f t="shared" si="5"/>
        <v>-1704.0501771428571</v>
      </c>
    </row>
    <row r="327" spans="1:8" x14ac:dyDescent="0.3">
      <c r="A327">
        <v>24</v>
      </c>
      <c r="B327" s="316">
        <v>46237</v>
      </c>
      <c r="C327">
        <v>250505</v>
      </c>
      <c r="D327" t="s">
        <v>1420</v>
      </c>
      <c r="E327" t="s">
        <v>1488</v>
      </c>
      <c r="F327" s="447">
        <v>0</v>
      </c>
      <c r="G327" s="447">
        <v>1704.0501771428571</v>
      </c>
      <c r="H327" s="9">
        <f t="shared" si="5"/>
        <v>1704.0501771428571</v>
      </c>
    </row>
    <row r="328" spans="1:8" x14ac:dyDescent="0.3">
      <c r="A328">
        <v>24</v>
      </c>
      <c r="B328" s="316">
        <v>46237</v>
      </c>
      <c r="C328">
        <v>612099</v>
      </c>
      <c r="D328" t="s">
        <v>1352</v>
      </c>
      <c r="E328" t="s">
        <v>1489</v>
      </c>
      <c r="F328" s="447">
        <v>7911.3738228571419</v>
      </c>
      <c r="G328" s="447">
        <v>0</v>
      </c>
      <c r="H328" s="9">
        <f t="shared" si="5"/>
        <v>-7911.3738228571419</v>
      </c>
    </row>
    <row r="329" spans="1:8" x14ac:dyDescent="0.3">
      <c r="A329">
        <v>24</v>
      </c>
      <c r="B329" s="316">
        <v>46237</v>
      </c>
      <c r="C329">
        <v>233525</v>
      </c>
      <c r="D329" t="s">
        <v>1373</v>
      </c>
      <c r="E329" t="s">
        <v>1490</v>
      </c>
      <c r="F329" s="447">
        <v>0</v>
      </c>
      <c r="G329" s="447">
        <v>7911.3738228571419</v>
      </c>
      <c r="H329" s="9">
        <f t="shared" si="5"/>
        <v>7911.3738228571419</v>
      </c>
    </row>
    <row r="330" spans="1:8" x14ac:dyDescent="0.3">
      <c r="A330">
        <v>28</v>
      </c>
      <c r="B330" s="316">
        <v>46238</v>
      </c>
      <c r="C330">
        <v>140505</v>
      </c>
      <c r="D330" t="s">
        <v>1353</v>
      </c>
      <c r="E330" t="s">
        <v>1501</v>
      </c>
      <c r="F330" s="447">
        <v>60240</v>
      </c>
      <c r="G330" s="447">
        <v>0</v>
      </c>
      <c r="H330" s="9">
        <f t="shared" si="5"/>
        <v>-60240</v>
      </c>
    </row>
    <row r="331" spans="1:8" x14ac:dyDescent="0.3">
      <c r="A331">
        <v>28</v>
      </c>
      <c r="B331" s="316">
        <v>46238</v>
      </c>
      <c r="C331">
        <v>233525</v>
      </c>
      <c r="D331" t="s">
        <v>1373</v>
      </c>
      <c r="E331" t="s">
        <v>1502</v>
      </c>
      <c r="F331" s="447">
        <v>0</v>
      </c>
      <c r="G331" s="447">
        <v>60240</v>
      </c>
      <c r="H331" s="9">
        <f t="shared" si="5"/>
        <v>60240</v>
      </c>
    </row>
    <row r="332" spans="1:8" x14ac:dyDescent="0.3">
      <c r="A332">
        <v>29</v>
      </c>
      <c r="B332" s="316">
        <v>46238</v>
      </c>
      <c r="C332">
        <v>140505</v>
      </c>
      <c r="D332" t="s">
        <v>1353</v>
      </c>
      <c r="E332" t="s">
        <v>1501</v>
      </c>
      <c r="F332" s="447">
        <v>60240</v>
      </c>
      <c r="G332" s="447">
        <v>0</v>
      </c>
      <c r="H332" s="9">
        <f t="shared" si="5"/>
        <v>-60240</v>
      </c>
    </row>
    <row r="333" spans="1:8" x14ac:dyDescent="0.3">
      <c r="A333">
        <v>29</v>
      </c>
      <c r="B333" s="316">
        <v>46238</v>
      </c>
      <c r="C333">
        <v>233525</v>
      </c>
      <c r="D333" t="s">
        <v>1373</v>
      </c>
      <c r="E333" t="s">
        <v>1502</v>
      </c>
      <c r="F333" s="447">
        <v>0</v>
      </c>
      <c r="G333" s="447">
        <v>60240</v>
      </c>
      <c r="H333" s="9">
        <f t="shared" si="5"/>
        <v>60240</v>
      </c>
    </row>
    <row r="334" spans="1:8" x14ac:dyDescent="0.3">
      <c r="A334">
        <v>30</v>
      </c>
      <c r="B334" s="316">
        <v>46238</v>
      </c>
      <c r="C334">
        <v>140505</v>
      </c>
      <c r="D334" t="s">
        <v>1353</v>
      </c>
      <c r="E334" t="s">
        <v>1501</v>
      </c>
      <c r="F334" s="447">
        <v>60240</v>
      </c>
      <c r="G334" s="447">
        <v>0</v>
      </c>
      <c r="H334" s="9">
        <f t="shared" si="5"/>
        <v>-60240</v>
      </c>
    </row>
    <row r="335" spans="1:8" x14ac:dyDescent="0.3">
      <c r="A335">
        <v>30</v>
      </c>
      <c r="B335" s="316">
        <v>46238</v>
      </c>
      <c r="C335">
        <v>233525</v>
      </c>
      <c r="D335" t="s">
        <v>1373</v>
      </c>
      <c r="E335" t="s">
        <v>1502</v>
      </c>
      <c r="F335" s="447">
        <v>0</v>
      </c>
      <c r="G335" s="447">
        <v>60240</v>
      </c>
      <c r="H335" s="9">
        <f t="shared" si="5"/>
        <v>60240</v>
      </c>
    </row>
    <row r="336" spans="1:8" x14ac:dyDescent="0.3">
      <c r="A336">
        <v>32</v>
      </c>
      <c r="B336" s="316">
        <v>46238</v>
      </c>
      <c r="C336">
        <v>140505</v>
      </c>
      <c r="D336" t="s">
        <v>1353</v>
      </c>
      <c r="E336" t="s">
        <v>1507</v>
      </c>
      <c r="F336" s="447">
        <v>67200</v>
      </c>
      <c r="G336" s="447">
        <v>0</v>
      </c>
      <c r="H336" s="9">
        <f t="shared" si="5"/>
        <v>-67200</v>
      </c>
    </row>
    <row r="337" spans="1:8" x14ac:dyDescent="0.3">
      <c r="A337">
        <v>32</v>
      </c>
      <c r="B337" s="316">
        <v>46238</v>
      </c>
      <c r="C337">
        <v>233525</v>
      </c>
      <c r="D337" t="s">
        <v>1373</v>
      </c>
      <c r="E337" t="s">
        <v>1508</v>
      </c>
      <c r="F337" s="447">
        <v>0</v>
      </c>
      <c r="G337" s="447">
        <v>67200</v>
      </c>
      <c r="H337" s="9">
        <f t="shared" si="5"/>
        <v>67200</v>
      </c>
    </row>
    <row r="338" spans="1:8" x14ac:dyDescent="0.3">
      <c r="A338">
        <v>33</v>
      </c>
      <c r="B338" s="316">
        <v>46238</v>
      </c>
      <c r="C338">
        <v>140505</v>
      </c>
      <c r="D338" t="s">
        <v>1353</v>
      </c>
      <c r="E338" t="s">
        <v>1507</v>
      </c>
      <c r="F338" s="447">
        <v>67200</v>
      </c>
      <c r="G338" s="447">
        <v>0</v>
      </c>
      <c r="H338" s="9">
        <f t="shared" si="5"/>
        <v>-67200</v>
      </c>
    </row>
    <row r="339" spans="1:8" x14ac:dyDescent="0.3">
      <c r="A339">
        <v>33</v>
      </c>
      <c r="B339" s="316">
        <v>46238</v>
      </c>
      <c r="C339">
        <v>233525</v>
      </c>
      <c r="D339" t="s">
        <v>1373</v>
      </c>
      <c r="E339" t="s">
        <v>1508</v>
      </c>
      <c r="F339" s="447">
        <v>0</v>
      </c>
      <c r="G339" s="447">
        <v>67200</v>
      </c>
      <c r="H339" s="9">
        <f t="shared" si="5"/>
        <v>67200</v>
      </c>
    </row>
    <row r="340" spans="1:8" x14ac:dyDescent="0.3">
      <c r="A340">
        <v>34</v>
      </c>
      <c r="B340" s="316">
        <v>46238</v>
      </c>
      <c r="C340">
        <v>140505</v>
      </c>
      <c r="D340" t="s">
        <v>1353</v>
      </c>
      <c r="E340" t="s">
        <v>1507</v>
      </c>
      <c r="F340" s="447">
        <v>67200</v>
      </c>
      <c r="G340" s="447">
        <v>0</v>
      </c>
      <c r="H340" s="9">
        <f t="shared" si="5"/>
        <v>-67200</v>
      </c>
    </row>
    <row r="341" spans="1:8" x14ac:dyDescent="0.3">
      <c r="A341">
        <v>34</v>
      </c>
      <c r="B341" s="316">
        <v>46238</v>
      </c>
      <c r="C341">
        <v>233525</v>
      </c>
      <c r="D341" t="s">
        <v>1373</v>
      </c>
      <c r="E341" t="s">
        <v>1508</v>
      </c>
      <c r="F341" s="447">
        <v>0</v>
      </c>
      <c r="G341" s="447">
        <v>67200</v>
      </c>
      <c r="H341" s="9">
        <f t="shared" si="5"/>
        <v>67200</v>
      </c>
    </row>
    <row r="342" spans="1:8" x14ac:dyDescent="0.3">
      <c r="A342">
        <v>36</v>
      </c>
      <c r="B342" s="316">
        <v>46238</v>
      </c>
      <c r="C342">
        <v>140505</v>
      </c>
      <c r="D342" t="s">
        <v>1353</v>
      </c>
      <c r="E342" t="s">
        <v>1512</v>
      </c>
      <c r="F342" s="447">
        <v>67200</v>
      </c>
      <c r="G342" s="447">
        <v>0</v>
      </c>
      <c r="H342" s="9">
        <f t="shared" si="5"/>
        <v>-67200</v>
      </c>
    </row>
    <row r="343" spans="1:8" x14ac:dyDescent="0.3">
      <c r="A343">
        <v>36</v>
      </c>
      <c r="B343" s="316">
        <v>46238</v>
      </c>
      <c r="C343">
        <v>233525</v>
      </c>
      <c r="D343" t="s">
        <v>1373</v>
      </c>
      <c r="E343" t="s">
        <v>1513</v>
      </c>
      <c r="F343" s="447">
        <v>0</v>
      </c>
      <c r="G343" s="447">
        <v>67200</v>
      </c>
      <c r="H343" s="9">
        <f t="shared" si="5"/>
        <v>67200</v>
      </c>
    </row>
    <row r="344" spans="1:8" x14ac:dyDescent="0.3">
      <c r="A344">
        <v>37</v>
      </c>
      <c r="B344" s="316">
        <v>46238</v>
      </c>
      <c r="C344">
        <v>140505</v>
      </c>
      <c r="D344" t="s">
        <v>1353</v>
      </c>
      <c r="E344" t="s">
        <v>1512</v>
      </c>
      <c r="F344" s="447">
        <v>67200</v>
      </c>
      <c r="G344" s="447">
        <v>0</v>
      </c>
      <c r="H344" s="9">
        <f t="shared" si="5"/>
        <v>-67200</v>
      </c>
    </row>
    <row r="345" spans="1:8" x14ac:dyDescent="0.3">
      <c r="A345">
        <v>37</v>
      </c>
      <c r="B345" s="316">
        <v>46238</v>
      </c>
      <c r="C345">
        <v>233525</v>
      </c>
      <c r="D345" t="s">
        <v>1373</v>
      </c>
      <c r="E345" t="s">
        <v>1513</v>
      </c>
      <c r="F345" s="447">
        <v>0</v>
      </c>
      <c r="G345" s="447">
        <v>67200</v>
      </c>
      <c r="H345" s="9">
        <f t="shared" si="5"/>
        <v>67200</v>
      </c>
    </row>
    <row r="346" spans="1:8" x14ac:dyDescent="0.3">
      <c r="A346">
        <v>38</v>
      </c>
      <c r="B346" s="316">
        <v>46238</v>
      </c>
      <c r="C346">
        <v>140505</v>
      </c>
      <c r="D346" t="s">
        <v>1353</v>
      </c>
      <c r="E346" t="s">
        <v>1512</v>
      </c>
      <c r="F346" s="447">
        <v>67200</v>
      </c>
      <c r="G346" s="447">
        <v>0</v>
      </c>
      <c r="H346" s="9">
        <f t="shared" si="5"/>
        <v>-67200</v>
      </c>
    </row>
    <row r="347" spans="1:8" x14ac:dyDescent="0.3">
      <c r="A347">
        <v>38</v>
      </c>
      <c r="B347" s="316">
        <v>46238</v>
      </c>
      <c r="C347">
        <v>233525</v>
      </c>
      <c r="D347" t="s">
        <v>1373</v>
      </c>
      <c r="E347" t="s">
        <v>1513</v>
      </c>
      <c r="F347" s="447">
        <v>0</v>
      </c>
      <c r="G347" s="447">
        <v>67200</v>
      </c>
      <c r="H347" s="9">
        <f t="shared" si="5"/>
        <v>67200</v>
      </c>
    </row>
    <row r="348" spans="1:8" x14ac:dyDescent="0.3">
      <c r="A348">
        <v>42</v>
      </c>
      <c r="B348" s="316">
        <v>46238</v>
      </c>
      <c r="C348">
        <v>140505</v>
      </c>
      <c r="D348" t="s">
        <v>1353</v>
      </c>
      <c r="E348" t="s">
        <v>1523</v>
      </c>
      <c r="F348" s="447">
        <v>56640</v>
      </c>
      <c r="G348" s="447">
        <v>0</v>
      </c>
      <c r="H348" s="9">
        <f t="shared" si="5"/>
        <v>-56640</v>
      </c>
    </row>
    <row r="349" spans="1:8" x14ac:dyDescent="0.3">
      <c r="A349">
        <v>42</v>
      </c>
      <c r="B349" s="316">
        <v>46238</v>
      </c>
      <c r="C349">
        <v>233525</v>
      </c>
      <c r="D349" t="s">
        <v>1373</v>
      </c>
      <c r="E349" t="s">
        <v>1524</v>
      </c>
      <c r="F349" s="447">
        <v>0</v>
      </c>
      <c r="G349" s="447">
        <v>56640</v>
      </c>
      <c r="H349" s="9">
        <f t="shared" si="5"/>
        <v>56640</v>
      </c>
    </row>
    <row r="350" spans="1:8" x14ac:dyDescent="0.3">
      <c r="A350">
        <v>43</v>
      </c>
      <c r="B350" s="316">
        <v>46238</v>
      </c>
      <c r="C350">
        <v>140505</v>
      </c>
      <c r="D350" t="s">
        <v>1353</v>
      </c>
      <c r="E350" t="s">
        <v>1523</v>
      </c>
      <c r="F350" s="447">
        <v>56400</v>
      </c>
      <c r="G350" s="447">
        <v>0</v>
      </c>
      <c r="H350" s="9">
        <f t="shared" si="5"/>
        <v>-56400</v>
      </c>
    </row>
    <row r="351" spans="1:8" x14ac:dyDescent="0.3">
      <c r="A351">
        <v>43</v>
      </c>
      <c r="B351" s="316">
        <v>46238</v>
      </c>
      <c r="C351">
        <v>233525</v>
      </c>
      <c r="D351" t="s">
        <v>1373</v>
      </c>
      <c r="E351" t="s">
        <v>1524</v>
      </c>
      <c r="F351" s="447">
        <v>0</v>
      </c>
      <c r="G351" s="447">
        <v>56400</v>
      </c>
      <c r="H351" s="9">
        <f t="shared" si="5"/>
        <v>56400</v>
      </c>
    </row>
    <row r="352" spans="1:8" x14ac:dyDescent="0.3">
      <c r="A352">
        <v>47</v>
      </c>
      <c r="B352" s="316">
        <v>46238</v>
      </c>
      <c r="C352">
        <v>140505</v>
      </c>
      <c r="D352" t="s">
        <v>1353</v>
      </c>
      <c r="E352" t="s">
        <v>1537</v>
      </c>
      <c r="F352" s="447">
        <v>71040</v>
      </c>
      <c r="G352" s="447">
        <v>0</v>
      </c>
      <c r="H352" s="9">
        <f t="shared" si="5"/>
        <v>-71040</v>
      </c>
    </row>
    <row r="353" spans="1:8" x14ac:dyDescent="0.3">
      <c r="A353">
        <v>47</v>
      </c>
      <c r="B353" s="316">
        <v>46238</v>
      </c>
      <c r="C353">
        <v>233525</v>
      </c>
      <c r="D353" t="s">
        <v>1373</v>
      </c>
      <c r="E353" t="s">
        <v>1538</v>
      </c>
      <c r="F353" s="447">
        <v>0</v>
      </c>
      <c r="G353" s="447">
        <v>71040</v>
      </c>
      <c r="H353" s="9">
        <f t="shared" si="5"/>
        <v>71040</v>
      </c>
    </row>
    <row r="354" spans="1:8" x14ac:dyDescent="0.3">
      <c r="A354">
        <v>48</v>
      </c>
      <c r="B354" s="316">
        <v>46238</v>
      </c>
      <c r="C354">
        <v>140505</v>
      </c>
      <c r="D354" t="s">
        <v>1353</v>
      </c>
      <c r="E354" t="s">
        <v>1539</v>
      </c>
      <c r="F354" s="447">
        <v>56400</v>
      </c>
      <c r="G354" s="447">
        <v>0</v>
      </c>
      <c r="H354" s="9">
        <f t="shared" si="5"/>
        <v>-56400</v>
      </c>
    </row>
    <row r="355" spans="1:8" x14ac:dyDescent="0.3">
      <c r="A355">
        <v>48</v>
      </c>
      <c r="B355" s="316">
        <v>46238</v>
      </c>
      <c r="C355">
        <v>233525</v>
      </c>
      <c r="D355" t="s">
        <v>1373</v>
      </c>
      <c r="E355" t="s">
        <v>1540</v>
      </c>
      <c r="F355" s="447">
        <v>0</v>
      </c>
      <c r="G355" s="447">
        <v>56400</v>
      </c>
      <c r="H355" s="9">
        <f t="shared" si="5"/>
        <v>56400</v>
      </c>
    </row>
    <row r="356" spans="1:8" x14ac:dyDescent="0.3">
      <c r="A356">
        <v>49</v>
      </c>
      <c r="B356" s="316">
        <v>46238</v>
      </c>
      <c r="C356">
        <v>140505</v>
      </c>
      <c r="D356" t="s">
        <v>1353</v>
      </c>
      <c r="E356" t="s">
        <v>1539</v>
      </c>
      <c r="F356" s="447">
        <v>56400</v>
      </c>
      <c r="G356" s="447">
        <v>0</v>
      </c>
      <c r="H356" s="9">
        <f t="shared" si="5"/>
        <v>-56400</v>
      </c>
    </row>
    <row r="357" spans="1:8" x14ac:dyDescent="0.3">
      <c r="A357">
        <v>49</v>
      </c>
      <c r="B357" s="316">
        <v>46238</v>
      </c>
      <c r="C357">
        <v>233525</v>
      </c>
      <c r="D357" t="s">
        <v>1373</v>
      </c>
      <c r="E357" t="s">
        <v>1540</v>
      </c>
      <c r="F357" s="447">
        <v>0</v>
      </c>
      <c r="G357" s="447">
        <v>56400</v>
      </c>
      <c r="H357" s="9">
        <f t="shared" si="5"/>
        <v>56400</v>
      </c>
    </row>
    <row r="358" spans="1:8" x14ac:dyDescent="0.3">
      <c r="A358">
        <v>53</v>
      </c>
      <c r="B358" s="316">
        <v>46238</v>
      </c>
      <c r="C358">
        <v>140505</v>
      </c>
      <c r="D358" t="s">
        <v>1353</v>
      </c>
      <c r="E358" t="s">
        <v>1551</v>
      </c>
      <c r="F358" s="447">
        <v>71040</v>
      </c>
      <c r="G358" s="447">
        <v>0</v>
      </c>
      <c r="H358" s="9">
        <f t="shared" si="5"/>
        <v>-71040</v>
      </c>
    </row>
    <row r="359" spans="1:8" x14ac:dyDescent="0.3">
      <c r="A359">
        <v>53</v>
      </c>
      <c r="B359" s="316">
        <v>46238</v>
      </c>
      <c r="C359">
        <v>233525</v>
      </c>
      <c r="D359" t="s">
        <v>1373</v>
      </c>
      <c r="E359" t="s">
        <v>1552</v>
      </c>
      <c r="F359" s="447">
        <v>0</v>
      </c>
      <c r="G359" s="447">
        <v>71040</v>
      </c>
      <c r="H359" s="9">
        <f t="shared" si="5"/>
        <v>71040</v>
      </c>
    </row>
    <row r="360" spans="1:8" x14ac:dyDescent="0.3">
      <c r="A360">
        <v>62</v>
      </c>
      <c r="B360" s="316">
        <v>46238</v>
      </c>
      <c r="C360">
        <v>140505</v>
      </c>
      <c r="D360" t="s">
        <v>1353</v>
      </c>
      <c r="E360" t="s">
        <v>1582</v>
      </c>
      <c r="F360" s="447">
        <v>58025</v>
      </c>
      <c r="G360" s="447">
        <v>0</v>
      </c>
      <c r="H360" s="9">
        <f t="shared" si="5"/>
        <v>-58025</v>
      </c>
    </row>
    <row r="361" spans="1:8" x14ac:dyDescent="0.3">
      <c r="A361">
        <v>62</v>
      </c>
      <c r="B361" s="316">
        <v>46238</v>
      </c>
      <c r="C361">
        <v>233525</v>
      </c>
      <c r="D361" t="s">
        <v>1373</v>
      </c>
      <c r="E361" t="s">
        <v>1583</v>
      </c>
      <c r="F361" s="447">
        <v>0</v>
      </c>
      <c r="G361" s="447">
        <v>58025</v>
      </c>
      <c r="H361" s="9">
        <f t="shared" si="5"/>
        <v>58025</v>
      </c>
    </row>
    <row r="362" spans="1:8" x14ac:dyDescent="0.3">
      <c r="A362">
        <v>63</v>
      </c>
      <c r="B362" s="316">
        <v>46238</v>
      </c>
      <c r="C362">
        <v>140505</v>
      </c>
      <c r="D362" t="s">
        <v>1353</v>
      </c>
      <c r="E362" t="s">
        <v>1589</v>
      </c>
      <c r="F362" s="447">
        <v>58025</v>
      </c>
      <c r="G362" s="447">
        <v>0</v>
      </c>
      <c r="H362" s="9">
        <f t="shared" si="5"/>
        <v>-58025</v>
      </c>
    </row>
    <row r="363" spans="1:8" x14ac:dyDescent="0.3">
      <c r="A363">
        <v>63</v>
      </c>
      <c r="B363" s="316">
        <v>46238</v>
      </c>
      <c r="C363">
        <v>233525</v>
      </c>
      <c r="D363" t="s">
        <v>1373</v>
      </c>
      <c r="E363" t="s">
        <v>1590</v>
      </c>
      <c r="F363" s="447">
        <v>0</v>
      </c>
      <c r="G363" s="447">
        <v>58025</v>
      </c>
      <c r="H363" s="9">
        <f t="shared" si="5"/>
        <v>58025</v>
      </c>
    </row>
    <row r="364" spans="1:8" x14ac:dyDescent="0.3">
      <c r="A364">
        <v>64</v>
      </c>
      <c r="B364" s="316">
        <v>46238</v>
      </c>
      <c r="C364">
        <v>140505</v>
      </c>
      <c r="D364" t="s">
        <v>1353</v>
      </c>
      <c r="E364" t="s">
        <v>1593</v>
      </c>
      <c r="F364" s="447">
        <v>58025</v>
      </c>
      <c r="G364" s="447">
        <v>0</v>
      </c>
      <c r="H364" s="9">
        <f t="shared" si="5"/>
        <v>-58025</v>
      </c>
    </row>
    <row r="365" spans="1:8" x14ac:dyDescent="0.3">
      <c r="A365">
        <v>64</v>
      </c>
      <c r="B365" s="316">
        <v>46238</v>
      </c>
      <c r="C365">
        <v>233525</v>
      </c>
      <c r="D365" t="s">
        <v>1373</v>
      </c>
      <c r="E365" t="s">
        <v>1594</v>
      </c>
      <c r="F365" s="447">
        <v>0</v>
      </c>
      <c r="G365" s="447">
        <v>58025</v>
      </c>
      <c r="H365" s="9">
        <f t="shared" si="5"/>
        <v>58025</v>
      </c>
    </row>
    <row r="366" spans="1:8" x14ac:dyDescent="0.3">
      <c r="A366">
        <v>65</v>
      </c>
      <c r="B366" s="316">
        <v>46238</v>
      </c>
      <c r="C366">
        <v>140505</v>
      </c>
      <c r="D366" t="s">
        <v>1353</v>
      </c>
      <c r="E366" t="s">
        <v>1597</v>
      </c>
      <c r="F366" s="447">
        <v>58025</v>
      </c>
      <c r="G366" s="447">
        <v>0</v>
      </c>
      <c r="H366" s="9">
        <f t="shared" si="5"/>
        <v>-58025</v>
      </c>
    </row>
    <row r="367" spans="1:8" x14ac:dyDescent="0.3">
      <c r="A367">
        <v>65</v>
      </c>
      <c r="B367" s="316">
        <v>46238</v>
      </c>
      <c r="C367">
        <v>233525</v>
      </c>
      <c r="D367" t="s">
        <v>1373</v>
      </c>
      <c r="E367" t="s">
        <v>1598</v>
      </c>
      <c r="F367" s="447">
        <v>0</v>
      </c>
      <c r="G367" s="447">
        <v>58025</v>
      </c>
      <c r="H367" s="9">
        <f t="shared" si="5"/>
        <v>58025</v>
      </c>
    </row>
    <row r="368" spans="1:8" x14ac:dyDescent="0.3">
      <c r="A368">
        <v>66</v>
      </c>
      <c r="B368" s="316">
        <v>46238</v>
      </c>
      <c r="C368">
        <v>140505</v>
      </c>
      <c r="D368" t="s">
        <v>1353</v>
      </c>
      <c r="E368" t="s">
        <v>1601</v>
      </c>
      <c r="F368" s="447">
        <v>58025</v>
      </c>
      <c r="G368" s="447">
        <v>0</v>
      </c>
      <c r="H368" s="9">
        <f t="shared" si="5"/>
        <v>-58025</v>
      </c>
    </row>
    <row r="369" spans="1:8" x14ac:dyDescent="0.3">
      <c r="A369">
        <v>66</v>
      </c>
      <c r="B369" s="316">
        <v>46238</v>
      </c>
      <c r="C369">
        <v>233525</v>
      </c>
      <c r="D369" t="s">
        <v>1373</v>
      </c>
      <c r="E369" t="s">
        <v>1602</v>
      </c>
      <c r="F369" s="447">
        <v>0</v>
      </c>
      <c r="G369" s="447">
        <v>58025</v>
      </c>
      <c r="H369" s="9">
        <f t="shared" si="5"/>
        <v>58025</v>
      </c>
    </row>
    <row r="370" spans="1:8" x14ac:dyDescent="0.3">
      <c r="A370">
        <v>67</v>
      </c>
      <c r="B370" s="316">
        <v>46238</v>
      </c>
      <c r="C370">
        <v>140505</v>
      </c>
      <c r="D370" t="s">
        <v>1353</v>
      </c>
      <c r="E370" t="s">
        <v>1606</v>
      </c>
      <c r="F370" s="447">
        <v>58025</v>
      </c>
      <c r="G370" s="447">
        <v>0</v>
      </c>
      <c r="H370" s="9">
        <f t="shared" si="5"/>
        <v>-58025</v>
      </c>
    </row>
    <row r="371" spans="1:8" x14ac:dyDescent="0.3">
      <c r="A371">
        <v>67</v>
      </c>
      <c r="B371" s="316">
        <v>46238</v>
      </c>
      <c r="C371">
        <v>233525</v>
      </c>
      <c r="D371" t="s">
        <v>1373</v>
      </c>
      <c r="E371" t="s">
        <v>1607</v>
      </c>
      <c r="F371" s="447">
        <v>0</v>
      </c>
      <c r="G371" s="447">
        <v>58025</v>
      </c>
      <c r="H371" s="9">
        <f t="shared" si="5"/>
        <v>58025</v>
      </c>
    </row>
    <row r="372" spans="1:8" x14ac:dyDescent="0.3">
      <c r="A372">
        <v>68</v>
      </c>
      <c r="B372" s="316">
        <v>46238</v>
      </c>
      <c r="C372">
        <v>140505</v>
      </c>
      <c r="D372" t="s">
        <v>1353</v>
      </c>
      <c r="E372" t="s">
        <v>1610</v>
      </c>
      <c r="F372" s="447">
        <v>58025</v>
      </c>
      <c r="G372" s="447">
        <v>0</v>
      </c>
      <c r="H372" s="9">
        <f t="shared" si="5"/>
        <v>-58025</v>
      </c>
    </row>
    <row r="373" spans="1:8" x14ac:dyDescent="0.3">
      <c r="A373">
        <v>68</v>
      </c>
      <c r="B373" s="316">
        <v>46238</v>
      </c>
      <c r="C373">
        <v>233525</v>
      </c>
      <c r="D373" t="s">
        <v>1373</v>
      </c>
      <c r="E373" t="s">
        <v>1611</v>
      </c>
      <c r="F373" s="447">
        <v>0</v>
      </c>
      <c r="G373" s="447">
        <v>58025</v>
      </c>
      <c r="H373" s="9">
        <f t="shared" si="5"/>
        <v>58025</v>
      </c>
    </row>
    <row r="374" spans="1:8" x14ac:dyDescent="0.3">
      <c r="A374">
        <v>69</v>
      </c>
      <c r="B374" s="316">
        <v>46238</v>
      </c>
      <c r="C374">
        <v>140505</v>
      </c>
      <c r="D374" t="s">
        <v>1353</v>
      </c>
      <c r="E374" t="s">
        <v>1614</v>
      </c>
      <c r="F374" s="447">
        <v>58025</v>
      </c>
      <c r="G374" s="447">
        <v>0</v>
      </c>
      <c r="H374" s="9">
        <f t="shared" si="5"/>
        <v>-58025</v>
      </c>
    </row>
    <row r="375" spans="1:8" x14ac:dyDescent="0.3">
      <c r="A375">
        <v>69</v>
      </c>
      <c r="B375" s="316">
        <v>46238</v>
      </c>
      <c r="C375">
        <v>233525</v>
      </c>
      <c r="D375" t="s">
        <v>1373</v>
      </c>
      <c r="E375" t="s">
        <v>1615</v>
      </c>
      <c r="F375" s="447">
        <v>0</v>
      </c>
      <c r="G375" s="447">
        <v>58025</v>
      </c>
      <c r="H375" s="9">
        <f t="shared" si="5"/>
        <v>58025</v>
      </c>
    </row>
    <row r="376" spans="1:8" x14ac:dyDescent="0.3">
      <c r="A376">
        <v>70</v>
      </c>
      <c r="B376" s="316">
        <v>46238</v>
      </c>
      <c r="C376">
        <v>140505</v>
      </c>
      <c r="D376" t="s">
        <v>1353</v>
      </c>
      <c r="E376" t="s">
        <v>1618</v>
      </c>
      <c r="F376" s="447">
        <v>58025</v>
      </c>
      <c r="G376" s="447">
        <v>0</v>
      </c>
      <c r="H376" s="9">
        <f t="shared" si="5"/>
        <v>-58025</v>
      </c>
    </row>
    <row r="377" spans="1:8" x14ac:dyDescent="0.3">
      <c r="A377">
        <v>70</v>
      </c>
      <c r="B377" s="316">
        <v>46238</v>
      </c>
      <c r="C377">
        <v>233525</v>
      </c>
      <c r="D377" t="s">
        <v>1373</v>
      </c>
      <c r="E377" t="s">
        <v>1619</v>
      </c>
      <c r="F377" s="447">
        <v>0</v>
      </c>
      <c r="G377" s="447">
        <v>58025</v>
      </c>
      <c r="H377" s="9">
        <f t="shared" si="5"/>
        <v>58025</v>
      </c>
    </row>
    <row r="378" spans="1:8" x14ac:dyDescent="0.3">
      <c r="A378">
        <v>71</v>
      </c>
      <c r="B378" s="316">
        <v>46238</v>
      </c>
      <c r="C378">
        <v>140505</v>
      </c>
      <c r="D378" t="s">
        <v>1353</v>
      </c>
      <c r="E378" t="s">
        <v>1622</v>
      </c>
      <c r="F378" s="447">
        <v>58025</v>
      </c>
      <c r="G378" s="447">
        <v>0</v>
      </c>
      <c r="H378" s="9">
        <f t="shared" si="5"/>
        <v>-58025</v>
      </c>
    </row>
    <row r="379" spans="1:8" x14ac:dyDescent="0.3">
      <c r="A379">
        <v>71</v>
      </c>
      <c r="B379" s="316">
        <v>46238</v>
      </c>
      <c r="C379">
        <v>233525</v>
      </c>
      <c r="D379" t="s">
        <v>1373</v>
      </c>
      <c r="E379" t="s">
        <v>1623</v>
      </c>
      <c r="F379" s="447">
        <v>0</v>
      </c>
      <c r="G379" s="447">
        <v>58025</v>
      </c>
      <c r="H379" s="9">
        <f t="shared" si="5"/>
        <v>58025</v>
      </c>
    </row>
    <row r="380" spans="1:8" x14ac:dyDescent="0.3">
      <c r="A380">
        <v>72</v>
      </c>
      <c r="B380" s="316">
        <v>46238</v>
      </c>
      <c r="C380">
        <v>140505</v>
      </c>
      <c r="D380" t="s">
        <v>1353</v>
      </c>
      <c r="E380" t="s">
        <v>1626</v>
      </c>
      <c r="F380" s="447">
        <v>58025</v>
      </c>
      <c r="G380" s="447">
        <v>0</v>
      </c>
      <c r="H380" s="9">
        <f t="shared" si="5"/>
        <v>-58025</v>
      </c>
    </row>
    <row r="381" spans="1:8" x14ac:dyDescent="0.3">
      <c r="A381">
        <v>72</v>
      </c>
      <c r="B381" s="316">
        <v>46238</v>
      </c>
      <c r="C381">
        <v>233525</v>
      </c>
      <c r="D381" t="s">
        <v>1373</v>
      </c>
      <c r="E381" t="s">
        <v>1627</v>
      </c>
      <c r="F381" s="447">
        <v>0</v>
      </c>
      <c r="G381" s="447">
        <v>58025</v>
      </c>
      <c r="H381" s="9">
        <f t="shared" si="5"/>
        <v>58025</v>
      </c>
    </row>
    <row r="382" spans="1:8" x14ac:dyDescent="0.3">
      <c r="A382">
        <v>73</v>
      </c>
      <c r="B382" s="316">
        <v>46238</v>
      </c>
      <c r="C382">
        <v>140505</v>
      </c>
      <c r="D382" t="s">
        <v>1353</v>
      </c>
      <c r="E382" t="s">
        <v>1630</v>
      </c>
      <c r="F382" s="447">
        <v>58025</v>
      </c>
      <c r="G382" s="447">
        <v>0</v>
      </c>
      <c r="H382" s="9">
        <f t="shared" si="5"/>
        <v>-58025</v>
      </c>
    </row>
    <row r="383" spans="1:8" x14ac:dyDescent="0.3">
      <c r="A383">
        <v>73</v>
      </c>
      <c r="B383" s="316">
        <v>46238</v>
      </c>
      <c r="C383">
        <v>233525</v>
      </c>
      <c r="D383" t="s">
        <v>1373</v>
      </c>
      <c r="E383" t="s">
        <v>1631</v>
      </c>
      <c r="F383" s="447">
        <v>0</v>
      </c>
      <c r="G383" s="447">
        <v>58025</v>
      </c>
      <c r="H383" s="9">
        <f t="shared" si="5"/>
        <v>58025</v>
      </c>
    </row>
    <row r="384" spans="1:8" x14ac:dyDescent="0.3">
      <c r="A384">
        <v>74</v>
      </c>
      <c r="B384" s="316">
        <v>46238</v>
      </c>
      <c r="C384">
        <v>140505</v>
      </c>
      <c r="D384" t="s">
        <v>1353</v>
      </c>
      <c r="E384" t="s">
        <v>1634</v>
      </c>
      <c r="F384" s="447">
        <v>58025</v>
      </c>
      <c r="G384" s="447">
        <v>0</v>
      </c>
      <c r="H384" s="9">
        <f t="shared" si="5"/>
        <v>-58025</v>
      </c>
    </row>
    <row r="385" spans="1:8" x14ac:dyDescent="0.3">
      <c r="A385">
        <v>74</v>
      </c>
      <c r="B385" s="316">
        <v>46238</v>
      </c>
      <c r="C385">
        <v>233525</v>
      </c>
      <c r="D385" t="s">
        <v>1373</v>
      </c>
      <c r="E385" t="s">
        <v>1635</v>
      </c>
      <c r="F385" s="447">
        <v>0</v>
      </c>
      <c r="G385" s="447">
        <v>58025</v>
      </c>
      <c r="H385" s="9">
        <f t="shared" si="5"/>
        <v>58025</v>
      </c>
    </row>
    <row r="386" spans="1:8" x14ac:dyDescent="0.3">
      <c r="A386">
        <v>75</v>
      </c>
      <c r="B386" s="316">
        <v>46238</v>
      </c>
      <c r="C386">
        <v>140505</v>
      </c>
      <c r="D386" t="s">
        <v>1353</v>
      </c>
      <c r="E386" t="s">
        <v>1639</v>
      </c>
      <c r="F386" s="447">
        <v>58025</v>
      </c>
      <c r="G386" s="447">
        <v>0</v>
      </c>
      <c r="H386" s="9">
        <f t="shared" si="5"/>
        <v>-58025</v>
      </c>
    </row>
    <row r="387" spans="1:8" x14ac:dyDescent="0.3">
      <c r="A387">
        <v>75</v>
      </c>
      <c r="B387" s="316">
        <v>46238</v>
      </c>
      <c r="C387">
        <v>233525</v>
      </c>
      <c r="D387" t="s">
        <v>1373</v>
      </c>
      <c r="E387" t="s">
        <v>1640</v>
      </c>
      <c r="F387" s="447">
        <v>0</v>
      </c>
      <c r="G387" s="447">
        <v>58025</v>
      </c>
      <c r="H387" s="9">
        <f t="shared" ref="H387:H450" si="6">+G387-F387</f>
        <v>58025</v>
      </c>
    </row>
    <row r="388" spans="1:8" x14ac:dyDescent="0.3">
      <c r="A388">
        <v>76</v>
      </c>
      <c r="B388" s="316">
        <v>46238</v>
      </c>
      <c r="C388">
        <v>140505</v>
      </c>
      <c r="D388" t="s">
        <v>1353</v>
      </c>
      <c r="E388" t="s">
        <v>1643</v>
      </c>
      <c r="F388" s="447">
        <v>58025</v>
      </c>
      <c r="G388" s="447">
        <v>0</v>
      </c>
      <c r="H388" s="9">
        <f t="shared" si="6"/>
        <v>-58025</v>
      </c>
    </row>
    <row r="389" spans="1:8" x14ac:dyDescent="0.3">
      <c r="A389">
        <v>76</v>
      </c>
      <c r="B389" s="316">
        <v>46238</v>
      </c>
      <c r="C389">
        <v>233525</v>
      </c>
      <c r="D389" t="s">
        <v>1373</v>
      </c>
      <c r="E389" t="s">
        <v>1644</v>
      </c>
      <c r="F389" s="447">
        <v>0</v>
      </c>
      <c r="G389" s="447">
        <v>58025</v>
      </c>
      <c r="H389" s="9">
        <f t="shared" si="6"/>
        <v>58025</v>
      </c>
    </row>
    <row r="390" spans="1:8" x14ac:dyDescent="0.3">
      <c r="A390">
        <v>77</v>
      </c>
      <c r="B390" s="316">
        <v>46238</v>
      </c>
      <c r="C390">
        <v>140505</v>
      </c>
      <c r="D390" t="s">
        <v>1353</v>
      </c>
      <c r="E390" t="s">
        <v>1647</v>
      </c>
      <c r="F390" s="447">
        <v>58025</v>
      </c>
      <c r="G390" s="447">
        <v>0</v>
      </c>
      <c r="H390" s="9">
        <f t="shared" si="6"/>
        <v>-58025</v>
      </c>
    </row>
    <row r="391" spans="1:8" x14ac:dyDescent="0.3">
      <c r="A391">
        <v>77</v>
      </c>
      <c r="B391" s="316">
        <v>46238</v>
      </c>
      <c r="C391">
        <v>233525</v>
      </c>
      <c r="D391" t="s">
        <v>1373</v>
      </c>
      <c r="E391" t="s">
        <v>1648</v>
      </c>
      <c r="F391" s="447">
        <v>0</v>
      </c>
      <c r="G391" s="447">
        <v>58025</v>
      </c>
      <c r="H391" s="9">
        <f t="shared" si="6"/>
        <v>58025</v>
      </c>
    </row>
    <row r="392" spans="1:8" x14ac:dyDescent="0.3">
      <c r="A392">
        <v>78</v>
      </c>
      <c r="B392" s="316">
        <v>46238</v>
      </c>
      <c r="C392">
        <v>140505</v>
      </c>
      <c r="D392" t="s">
        <v>1353</v>
      </c>
      <c r="E392" t="s">
        <v>1652</v>
      </c>
      <c r="F392" s="447">
        <v>58025</v>
      </c>
      <c r="G392" s="447">
        <v>0</v>
      </c>
      <c r="H392" s="9">
        <f t="shared" si="6"/>
        <v>-58025</v>
      </c>
    </row>
    <row r="393" spans="1:8" x14ac:dyDescent="0.3">
      <c r="A393">
        <v>78</v>
      </c>
      <c r="B393" s="316">
        <v>46238</v>
      </c>
      <c r="C393">
        <v>233525</v>
      </c>
      <c r="D393" t="s">
        <v>1373</v>
      </c>
      <c r="E393" t="s">
        <v>1653</v>
      </c>
      <c r="F393" s="447">
        <v>0</v>
      </c>
      <c r="G393" s="447">
        <v>58025</v>
      </c>
      <c r="H393" s="9">
        <f t="shared" si="6"/>
        <v>58025</v>
      </c>
    </row>
    <row r="394" spans="1:8" x14ac:dyDescent="0.3">
      <c r="A394">
        <v>79</v>
      </c>
      <c r="B394" s="316">
        <v>46238</v>
      </c>
      <c r="C394">
        <v>140505</v>
      </c>
      <c r="D394" t="s">
        <v>1353</v>
      </c>
      <c r="E394" t="s">
        <v>1656</v>
      </c>
      <c r="F394" s="447">
        <v>58025</v>
      </c>
      <c r="G394" s="447">
        <v>0</v>
      </c>
      <c r="H394" s="9">
        <f t="shared" si="6"/>
        <v>-58025</v>
      </c>
    </row>
    <row r="395" spans="1:8" x14ac:dyDescent="0.3">
      <c r="A395">
        <v>79</v>
      </c>
      <c r="B395" s="316">
        <v>46238</v>
      </c>
      <c r="C395">
        <v>233525</v>
      </c>
      <c r="D395" t="s">
        <v>1373</v>
      </c>
      <c r="E395" t="s">
        <v>1657</v>
      </c>
      <c r="F395" s="447">
        <v>0</v>
      </c>
      <c r="G395" s="447">
        <v>58025</v>
      </c>
      <c r="H395" s="9">
        <f t="shared" si="6"/>
        <v>58025</v>
      </c>
    </row>
    <row r="396" spans="1:8" x14ac:dyDescent="0.3">
      <c r="A396">
        <v>80</v>
      </c>
      <c r="B396" s="316">
        <v>46238</v>
      </c>
      <c r="C396">
        <v>140505</v>
      </c>
      <c r="D396" t="s">
        <v>1353</v>
      </c>
      <c r="E396" t="s">
        <v>1662</v>
      </c>
      <c r="F396" s="447">
        <v>58025</v>
      </c>
      <c r="G396" s="447">
        <v>0</v>
      </c>
      <c r="H396" s="9">
        <f t="shared" si="6"/>
        <v>-58025</v>
      </c>
    </row>
    <row r="397" spans="1:8" x14ac:dyDescent="0.3">
      <c r="A397">
        <v>80</v>
      </c>
      <c r="B397" s="316">
        <v>46238</v>
      </c>
      <c r="C397">
        <v>233525</v>
      </c>
      <c r="D397" t="s">
        <v>1373</v>
      </c>
      <c r="E397" t="s">
        <v>1663</v>
      </c>
      <c r="F397" s="447">
        <v>0</v>
      </c>
      <c r="G397" s="447">
        <v>58025</v>
      </c>
      <c r="H397" s="9">
        <f t="shared" si="6"/>
        <v>58025</v>
      </c>
    </row>
    <row r="398" spans="1:8" x14ac:dyDescent="0.3">
      <c r="A398">
        <v>81</v>
      </c>
      <c r="B398" s="316">
        <v>46238</v>
      </c>
      <c r="C398">
        <v>140505</v>
      </c>
      <c r="D398" t="s">
        <v>1353</v>
      </c>
      <c r="E398" t="s">
        <v>1667</v>
      </c>
      <c r="F398" s="447">
        <v>58025</v>
      </c>
      <c r="G398" s="447">
        <v>0</v>
      </c>
      <c r="H398" s="9">
        <f t="shared" si="6"/>
        <v>-58025</v>
      </c>
    </row>
    <row r="399" spans="1:8" x14ac:dyDescent="0.3">
      <c r="A399">
        <v>81</v>
      </c>
      <c r="B399" s="316">
        <v>46238</v>
      </c>
      <c r="C399">
        <v>233525</v>
      </c>
      <c r="D399" t="s">
        <v>1373</v>
      </c>
      <c r="E399" t="s">
        <v>1668</v>
      </c>
      <c r="F399" s="447">
        <v>0</v>
      </c>
      <c r="G399" s="447">
        <v>58025</v>
      </c>
      <c r="H399" s="9">
        <f t="shared" si="6"/>
        <v>58025</v>
      </c>
    </row>
    <row r="400" spans="1:8" x14ac:dyDescent="0.3">
      <c r="A400">
        <v>82</v>
      </c>
      <c r="B400" s="316">
        <v>46238</v>
      </c>
      <c r="C400">
        <v>140505</v>
      </c>
      <c r="D400" t="s">
        <v>1353</v>
      </c>
      <c r="E400" t="s">
        <v>1671</v>
      </c>
      <c r="F400" s="447">
        <v>58025</v>
      </c>
      <c r="G400" s="447">
        <v>0</v>
      </c>
      <c r="H400" s="9">
        <f t="shared" si="6"/>
        <v>-58025</v>
      </c>
    </row>
    <row r="401" spans="1:8" x14ac:dyDescent="0.3">
      <c r="A401">
        <v>82</v>
      </c>
      <c r="B401" s="316">
        <v>46238</v>
      </c>
      <c r="C401">
        <v>233525</v>
      </c>
      <c r="D401" t="s">
        <v>1373</v>
      </c>
      <c r="E401" t="s">
        <v>1672</v>
      </c>
      <c r="F401" s="447">
        <v>0</v>
      </c>
      <c r="G401" s="447">
        <v>58025</v>
      </c>
      <c r="H401" s="9">
        <f t="shared" si="6"/>
        <v>58025</v>
      </c>
    </row>
    <row r="402" spans="1:8" x14ac:dyDescent="0.3">
      <c r="A402">
        <v>83</v>
      </c>
      <c r="B402" s="316">
        <v>46238</v>
      </c>
      <c r="C402">
        <v>140505</v>
      </c>
      <c r="D402" t="s">
        <v>1353</v>
      </c>
      <c r="E402" t="s">
        <v>1676</v>
      </c>
      <c r="F402" s="447">
        <v>58025</v>
      </c>
      <c r="G402" s="447">
        <v>0</v>
      </c>
      <c r="H402" s="9">
        <f t="shared" si="6"/>
        <v>-58025</v>
      </c>
    </row>
    <row r="403" spans="1:8" x14ac:dyDescent="0.3">
      <c r="A403">
        <v>83</v>
      </c>
      <c r="B403" s="316">
        <v>46238</v>
      </c>
      <c r="C403">
        <v>233525</v>
      </c>
      <c r="D403" t="s">
        <v>1373</v>
      </c>
      <c r="E403" t="s">
        <v>1677</v>
      </c>
      <c r="F403" s="447">
        <v>0</v>
      </c>
      <c r="G403" s="447">
        <v>58025</v>
      </c>
      <c r="H403" s="9">
        <f t="shared" si="6"/>
        <v>58025</v>
      </c>
    </row>
    <row r="404" spans="1:8" x14ac:dyDescent="0.3">
      <c r="A404">
        <v>84</v>
      </c>
      <c r="B404" s="316">
        <v>46238</v>
      </c>
      <c r="C404">
        <v>140505</v>
      </c>
      <c r="D404" t="s">
        <v>1353</v>
      </c>
      <c r="E404" t="s">
        <v>1685</v>
      </c>
      <c r="F404" s="447">
        <v>58025</v>
      </c>
      <c r="G404" s="447">
        <v>0</v>
      </c>
      <c r="H404" s="9">
        <f t="shared" si="6"/>
        <v>-58025</v>
      </c>
    </row>
    <row r="405" spans="1:8" x14ac:dyDescent="0.3">
      <c r="A405">
        <v>84</v>
      </c>
      <c r="B405" s="316">
        <v>46238</v>
      </c>
      <c r="C405">
        <v>233525</v>
      </c>
      <c r="D405" t="s">
        <v>1373</v>
      </c>
      <c r="E405" t="s">
        <v>1686</v>
      </c>
      <c r="F405" s="447">
        <v>0</v>
      </c>
      <c r="G405" s="447">
        <v>58025</v>
      </c>
      <c r="H405" s="9">
        <f t="shared" si="6"/>
        <v>58025</v>
      </c>
    </row>
    <row r="406" spans="1:8" x14ac:dyDescent="0.3">
      <c r="A406">
        <v>22</v>
      </c>
      <c r="B406" s="316">
        <v>46239</v>
      </c>
      <c r="C406">
        <v>110505</v>
      </c>
      <c r="D406" t="s">
        <v>1314</v>
      </c>
      <c r="E406" t="s">
        <v>1810</v>
      </c>
      <c r="F406" s="447">
        <v>20000</v>
      </c>
      <c r="G406" s="447">
        <v>0</v>
      </c>
      <c r="H406" s="9">
        <f t="shared" si="6"/>
        <v>-20000</v>
      </c>
    </row>
    <row r="407" spans="1:8" x14ac:dyDescent="0.3">
      <c r="A407">
        <v>22</v>
      </c>
      <c r="B407" s="316">
        <v>46239</v>
      </c>
      <c r="C407">
        <v>412005</v>
      </c>
      <c r="D407" t="s">
        <v>1368</v>
      </c>
      <c r="E407" t="s">
        <v>1810</v>
      </c>
      <c r="F407" s="447">
        <v>0</v>
      </c>
      <c r="G407" s="447">
        <v>20000</v>
      </c>
      <c r="H407" s="9">
        <f t="shared" si="6"/>
        <v>20000</v>
      </c>
    </row>
    <row r="408" spans="1:8" x14ac:dyDescent="0.3">
      <c r="A408">
        <v>22</v>
      </c>
      <c r="B408" s="316">
        <v>46239</v>
      </c>
      <c r="C408">
        <v>612005</v>
      </c>
      <c r="D408" t="s">
        <v>1369</v>
      </c>
      <c r="E408" t="s">
        <v>1811</v>
      </c>
      <c r="F408" s="447">
        <v>2083.4776000000002</v>
      </c>
      <c r="G408" s="447">
        <v>0</v>
      </c>
      <c r="H408" s="9">
        <f t="shared" si="6"/>
        <v>-2083.4776000000002</v>
      </c>
    </row>
    <row r="409" spans="1:8" x14ac:dyDescent="0.3">
      <c r="A409">
        <v>22</v>
      </c>
      <c r="B409" s="316">
        <v>46239</v>
      </c>
      <c r="C409">
        <v>143005</v>
      </c>
      <c r="D409" t="s">
        <v>1370</v>
      </c>
      <c r="E409" t="s">
        <v>1811</v>
      </c>
      <c r="F409" s="447">
        <v>0</v>
      </c>
      <c r="G409" s="447">
        <v>2083.4776000000002</v>
      </c>
      <c r="H409" s="9">
        <f t="shared" si="6"/>
        <v>2083.4776000000002</v>
      </c>
    </row>
    <row r="410" spans="1:8" x14ac:dyDescent="0.3">
      <c r="A410">
        <v>90</v>
      </c>
      <c r="B410" s="316">
        <v>46171.60215175926</v>
      </c>
      <c r="C410">
        <v>110505</v>
      </c>
      <c r="D410" t="s">
        <v>1314</v>
      </c>
      <c r="E410" t="s">
        <v>1822</v>
      </c>
      <c r="F410" s="447">
        <v>36000</v>
      </c>
      <c r="G410" s="447">
        <v>0</v>
      </c>
      <c r="H410" s="9">
        <f t="shared" si="6"/>
        <v>-36000</v>
      </c>
    </row>
    <row r="411" spans="1:8" x14ac:dyDescent="0.3">
      <c r="A411">
        <v>90</v>
      </c>
      <c r="B411" s="316">
        <v>46171.60215175926</v>
      </c>
      <c r="C411">
        <v>412005</v>
      </c>
      <c r="D411" t="s">
        <v>1368</v>
      </c>
      <c r="E411" t="s">
        <v>1822</v>
      </c>
      <c r="F411" s="447">
        <v>0</v>
      </c>
      <c r="G411" s="447">
        <v>36000</v>
      </c>
      <c r="H411" s="9">
        <f t="shared" si="6"/>
        <v>36000</v>
      </c>
    </row>
    <row r="412" spans="1:8" x14ac:dyDescent="0.3">
      <c r="A412">
        <v>90</v>
      </c>
      <c r="B412" s="316">
        <v>46171.60215175926</v>
      </c>
      <c r="C412">
        <v>612005</v>
      </c>
      <c r="D412" t="s">
        <v>1369</v>
      </c>
      <c r="E412" t="s">
        <v>1823</v>
      </c>
      <c r="F412" s="447">
        <v>2612.3748000000001</v>
      </c>
      <c r="G412" s="447">
        <v>0</v>
      </c>
      <c r="H412" s="9">
        <f t="shared" si="6"/>
        <v>-2612.3748000000001</v>
      </c>
    </row>
    <row r="413" spans="1:8" x14ac:dyDescent="0.3">
      <c r="A413">
        <v>90</v>
      </c>
      <c r="B413" s="316">
        <v>46171.60215175926</v>
      </c>
      <c r="C413">
        <v>143005</v>
      </c>
      <c r="D413" t="s">
        <v>1370</v>
      </c>
      <c r="E413" t="s">
        <v>1823</v>
      </c>
      <c r="F413" s="447">
        <v>0</v>
      </c>
      <c r="G413" s="447">
        <v>2612.3748000000001</v>
      </c>
      <c r="H413" s="9">
        <f t="shared" si="6"/>
        <v>2612.3748000000001</v>
      </c>
    </row>
    <row r="414" spans="1:8" x14ac:dyDescent="0.3">
      <c r="A414">
        <v>91</v>
      </c>
      <c r="B414" s="316">
        <v>46171.60215175926</v>
      </c>
      <c r="C414">
        <v>710505</v>
      </c>
      <c r="D414" t="s">
        <v>1372</v>
      </c>
      <c r="E414" t="s">
        <v>1814</v>
      </c>
      <c r="F414" s="447">
        <v>653.09360000000004</v>
      </c>
      <c r="G414" s="447">
        <v>0</v>
      </c>
      <c r="H414" s="9">
        <f t="shared" si="6"/>
        <v>-653.09360000000004</v>
      </c>
    </row>
    <row r="415" spans="1:8" x14ac:dyDescent="0.3">
      <c r="A415">
        <v>91</v>
      </c>
      <c r="B415" s="316">
        <v>46171.60215175926</v>
      </c>
      <c r="C415">
        <v>140505</v>
      </c>
      <c r="D415" t="s">
        <v>1353</v>
      </c>
      <c r="E415" t="s">
        <v>1814</v>
      </c>
      <c r="F415" s="447">
        <v>0</v>
      </c>
      <c r="G415" s="447">
        <v>653.09360000000004</v>
      </c>
      <c r="H415" s="9">
        <f t="shared" si="6"/>
        <v>653.09360000000004</v>
      </c>
    </row>
    <row r="416" spans="1:8" x14ac:dyDescent="0.3">
      <c r="A416">
        <v>91</v>
      </c>
      <c r="B416" s="316">
        <v>46171.60215175926</v>
      </c>
      <c r="C416">
        <v>710505</v>
      </c>
      <c r="D416" t="s">
        <v>1372</v>
      </c>
      <c r="E416" t="s">
        <v>1815</v>
      </c>
      <c r="F416" s="447">
        <v>65.309360000000012</v>
      </c>
      <c r="G416" s="447">
        <v>0</v>
      </c>
      <c r="H416" s="9">
        <f t="shared" si="6"/>
        <v>-65.309360000000012</v>
      </c>
    </row>
    <row r="417" spans="1:8" x14ac:dyDescent="0.3">
      <c r="A417">
        <v>91</v>
      </c>
      <c r="B417" s="316">
        <v>46171.60215175926</v>
      </c>
      <c r="C417">
        <v>250505</v>
      </c>
      <c r="D417" t="s">
        <v>1420</v>
      </c>
      <c r="E417" t="s">
        <v>1816</v>
      </c>
      <c r="F417" s="447">
        <v>0</v>
      </c>
      <c r="G417" s="447">
        <v>65.309360000000012</v>
      </c>
      <c r="H417" s="9">
        <f t="shared" si="6"/>
        <v>65.309360000000012</v>
      </c>
    </row>
    <row r="418" spans="1:8" x14ac:dyDescent="0.3">
      <c r="A418">
        <v>91</v>
      </c>
      <c r="B418" s="316">
        <v>46171.60215175926</v>
      </c>
      <c r="C418">
        <v>710505</v>
      </c>
      <c r="D418" t="s">
        <v>1372</v>
      </c>
      <c r="E418" t="s">
        <v>1817</v>
      </c>
      <c r="F418" s="447">
        <v>951.70664000000022</v>
      </c>
      <c r="G418" s="447">
        <v>0</v>
      </c>
      <c r="H418" s="9">
        <f t="shared" si="6"/>
        <v>-951.70664000000022</v>
      </c>
    </row>
    <row r="419" spans="1:8" x14ac:dyDescent="0.3">
      <c r="A419">
        <v>91</v>
      </c>
      <c r="B419" s="316">
        <v>46171.60215175926</v>
      </c>
      <c r="C419">
        <v>233525</v>
      </c>
      <c r="D419" t="s">
        <v>1373</v>
      </c>
      <c r="E419" t="s">
        <v>1818</v>
      </c>
      <c r="F419" s="447">
        <v>0</v>
      </c>
      <c r="G419" s="447">
        <v>951.70664000000022</v>
      </c>
      <c r="H419" s="9">
        <f t="shared" si="6"/>
        <v>951.70664000000022</v>
      </c>
    </row>
    <row r="420" spans="1:8" x14ac:dyDescent="0.3">
      <c r="A420">
        <v>91</v>
      </c>
      <c r="B420" s="316">
        <v>46171.60215175926</v>
      </c>
      <c r="C420">
        <v>143005</v>
      </c>
      <c r="D420" t="s">
        <v>1370</v>
      </c>
      <c r="E420" t="s">
        <v>1819</v>
      </c>
      <c r="F420" s="447">
        <v>1670.1096000000002</v>
      </c>
      <c r="G420" s="447">
        <v>0</v>
      </c>
      <c r="H420" s="9">
        <f t="shared" si="6"/>
        <v>-1670.1096000000002</v>
      </c>
    </row>
    <row r="421" spans="1:8" x14ac:dyDescent="0.3">
      <c r="A421">
        <v>91</v>
      </c>
      <c r="B421" s="316">
        <v>46171.60215175926</v>
      </c>
      <c r="C421">
        <v>710505</v>
      </c>
      <c r="D421" t="s">
        <v>1372</v>
      </c>
      <c r="E421" t="s">
        <v>1820</v>
      </c>
      <c r="F421" s="447">
        <v>0</v>
      </c>
      <c r="G421" s="447">
        <v>1670.1096000000002</v>
      </c>
      <c r="H421" s="9">
        <f t="shared" si="6"/>
        <v>1670.1096000000002</v>
      </c>
    </row>
    <row r="422" spans="1:8" x14ac:dyDescent="0.3">
      <c r="A422">
        <v>92</v>
      </c>
      <c r="B422" s="316">
        <v>46171.60259278935</v>
      </c>
      <c r="C422">
        <v>110505</v>
      </c>
      <c r="D422" t="s">
        <v>1314</v>
      </c>
      <c r="E422" t="s">
        <v>1824</v>
      </c>
      <c r="F422" s="447">
        <v>12000</v>
      </c>
      <c r="G422" s="447">
        <v>0</v>
      </c>
      <c r="H422" s="9">
        <f t="shared" si="6"/>
        <v>-12000</v>
      </c>
    </row>
    <row r="423" spans="1:8" x14ac:dyDescent="0.3">
      <c r="A423">
        <v>92</v>
      </c>
      <c r="B423" s="316">
        <v>46171.60259278935</v>
      </c>
      <c r="C423">
        <v>412005</v>
      </c>
      <c r="D423" t="s">
        <v>1368</v>
      </c>
      <c r="E423" t="s">
        <v>1824</v>
      </c>
      <c r="F423" s="447">
        <v>0</v>
      </c>
      <c r="G423" s="447">
        <v>12000</v>
      </c>
      <c r="H423" s="9">
        <f t="shared" si="6"/>
        <v>12000</v>
      </c>
    </row>
    <row r="424" spans="1:8" x14ac:dyDescent="0.3">
      <c r="A424">
        <v>92</v>
      </c>
      <c r="B424" s="316">
        <v>46171.60259278935</v>
      </c>
      <c r="C424">
        <v>612005</v>
      </c>
      <c r="D424" t="s">
        <v>1369</v>
      </c>
      <c r="E424" t="s">
        <v>1694</v>
      </c>
      <c r="F424" s="447">
        <v>1670.1096000000002</v>
      </c>
      <c r="G424" s="447">
        <v>0</v>
      </c>
      <c r="H424" s="9">
        <f t="shared" si="6"/>
        <v>-1670.1096000000002</v>
      </c>
    </row>
    <row r="425" spans="1:8" x14ac:dyDescent="0.3">
      <c r="A425">
        <v>92</v>
      </c>
      <c r="B425" s="316">
        <v>46171.60259278935</v>
      </c>
      <c r="C425">
        <v>143005</v>
      </c>
      <c r="D425" t="s">
        <v>1370</v>
      </c>
      <c r="E425" t="s">
        <v>1694</v>
      </c>
      <c r="F425" s="447">
        <v>0</v>
      </c>
      <c r="G425" s="447">
        <v>1670.1096000000002</v>
      </c>
      <c r="H425" s="9">
        <f t="shared" si="6"/>
        <v>1670.1096000000002</v>
      </c>
    </row>
    <row r="426" spans="1:8" x14ac:dyDescent="0.3">
      <c r="A426">
        <v>93</v>
      </c>
      <c r="B426" s="316">
        <v>46168.518055555556</v>
      </c>
      <c r="C426">
        <v>710505</v>
      </c>
      <c r="D426" t="s">
        <v>1372</v>
      </c>
      <c r="E426" t="s">
        <v>1827</v>
      </c>
      <c r="F426" s="447">
        <v>1482</v>
      </c>
      <c r="G426" s="447">
        <v>0</v>
      </c>
      <c r="H426" s="9">
        <f t="shared" si="6"/>
        <v>-1482</v>
      </c>
    </row>
    <row r="427" spans="1:8" x14ac:dyDescent="0.3">
      <c r="A427">
        <v>93</v>
      </c>
      <c r="B427" s="316">
        <v>46168.518055555556</v>
      </c>
      <c r="C427">
        <v>140505</v>
      </c>
      <c r="D427" t="s">
        <v>1353</v>
      </c>
      <c r="E427" t="s">
        <v>1827</v>
      </c>
      <c r="F427" s="447">
        <v>0</v>
      </c>
      <c r="G427" s="447">
        <v>1482</v>
      </c>
      <c r="H427" s="9">
        <f t="shared" si="6"/>
        <v>1482</v>
      </c>
    </row>
    <row r="428" spans="1:8" x14ac:dyDescent="0.3">
      <c r="A428">
        <v>93</v>
      </c>
      <c r="B428" s="316">
        <v>46168.518055555556</v>
      </c>
      <c r="C428">
        <v>710505</v>
      </c>
      <c r="D428" t="s">
        <v>1372</v>
      </c>
      <c r="E428" t="s">
        <v>1828</v>
      </c>
      <c r="F428" s="447">
        <v>148.20000000000002</v>
      </c>
      <c r="G428" s="447">
        <v>0</v>
      </c>
      <c r="H428" s="9">
        <f t="shared" si="6"/>
        <v>-148.20000000000002</v>
      </c>
    </row>
    <row r="429" spans="1:8" x14ac:dyDescent="0.3">
      <c r="A429">
        <v>93</v>
      </c>
      <c r="B429" s="316">
        <v>46168.518055555556</v>
      </c>
      <c r="C429">
        <v>250505</v>
      </c>
      <c r="D429" t="s">
        <v>1420</v>
      </c>
      <c r="E429" t="s">
        <v>1829</v>
      </c>
      <c r="F429" s="447">
        <v>0</v>
      </c>
      <c r="G429" s="447">
        <v>148.20000000000002</v>
      </c>
      <c r="H429" s="9">
        <f t="shared" si="6"/>
        <v>148.20000000000002</v>
      </c>
    </row>
    <row r="430" spans="1:8" x14ac:dyDescent="0.3">
      <c r="A430">
        <v>93</v>
      </c>
      <c r="B430" s="316">
        <v>46168.518055555556</v>
      </c>
      <c r="C430">
        <v>710505</v>
      </c>
      <c r="D430" t="s">
        <v>1372</v>
      </c>
      <c r="E430" t="s">
        <v>1830</v>
      </c>
      <c r="F430" s="447">
        <v>1885.8320000000001</v>
      </c>
      <c r="G430" s="447">
        <v>0</v>
      </c>
      <c r="H430" s="9">
        <f t="shared" si="6"/>
        <v>-1885.8320000000001</v>
      </c>
    </row>
    <row r="431" spans="1:8" x14ac:dyDescent="0.3">
      <c r="A431">
        <v>93</v>
      </c>
      <c r="B431" s="316">
        <v>46168.518055555556</v>
      </c>
      <c r="C431">
        <v>233525</v>
      </c>
      <c r="D431" t="s">
        <v>1373</v>
      </c>
      <c r="E431" t="s">
        <v>1831</v>
      </c>
      <c r="F431" s="447">
        <v>0</v>
      </c>
      <c r="G431" s="447">
        <v>1885.8320000000001</v>
      </c>
      <c r="H431" s="9">
        <f t="shared" si="6"/>
        <v>1885.8320000000001</v>
      </c>
    </row>
    <row r="432" spans="1:8" x14ac:dyDescent="0.3">
      <c r="A432">
        <v>93</v>
      </c>
      <c r="B432" s="316">
        <v>46168.518055555556</v>
      </c>
      <c r="C432">
        <v>143005</v>
      </c>
      <c r="D432" t="s">
        <v>1370</v>
      </c>
      <c r="E432" t="s">
        <v>1832</v>
      </c>
      <c r="F432" s="447">
        <v>3516.0320000000002</v>
      </c>
      <c r="G432" s="447">
        <v>0</v>
      </c>
      <c r="H432" s="9">
        <f t="shared" si="6"/>
        <v>-3516.0320000000002</v>
      </c>
    </row>
    <row r="433" spans="1:8" x14ac:dyDescent="0.3">
      <c r="A433">
        <v>93</v>
      </c>
      <c r="B433" s="316">
        <v>46168.518055555556</v>
      </c>
      <c r="C433">
        <v>710505</v>
      </c>
      <c r="D433" t="s">
        <v>1372</v>
      </c>
      <c r="E433" t="s">
        <v>1833</v>
      </c>
      <c r="F433" s="447">
        <v>0</v>
      </c>
      <c r="G433" s="447">
        <v>3516.0320000000002</v>
      </c>
      <c r="H433" s="9">
        <f t="shared" si="6"/>
        <v>3516.0320000000002</v>
      </c>
    </row>
    <row r="434" spans="1:8" x14ac:dyDescent="0.3">
      <c r="A434">
        <v>94</v>
      </c>
      <c r="B434" s="316">
        <v>46168.714583333334</v>
      </c>
      <c r="C434">
        <v>710505</v>
      </c>
      <c r="D434" t="s">
        <v>1372</v>
      </c>
      <c r="E434" t="s">
        <v>1836</v>
      </c>
      <c r="F434" s="447">
        <v>6184.6274666666659</v>
      </c>
      <c r="G434" s="447">
        <v>0</v>
      </c>
      <c r="H434" s="9">
        <f t="shared" si="6"/>
        <v>-6184.6274666666659</v>
      </c>
    </row>
    <row r="435" spans="1:8" x14ac:dyDescent="0.3">
      <c r="A435">
        <v>94</v>
      </c>
      <c r="B435" s="316">
        <v>46168.714583333334</v>
      </c>
      <c r="C435">
        <v>140505</v>
      </c>
      <c r="D435" t="s">
        <v>1353</v>
      </c>
      <c r="E435" t="s">
        <v>1836</v>
      </c>
      <c r="F435" s="447">
        <v>0</v>
      </c>
      <c r="G435" s="447">
        <v>6184.6274666666659</v>
      </c>
      <c r="H435" s="9">
        <f t="shared" si="6"/>
        <v>6184.6274666666659</v>
      </c>
    </row>
    <row r="436" spans="1:8" x14ac:dyDescent="0.3">
      <c r="A436">
        <v>94</v>
      </c>
      <c r="B436" s="316">
        <v>46168.714583333334</v>
      </c>
      <c r="C436">
        <v>710505</v>
      </c>
      <c r="D436" t="s">
        <v>1372</v>
      </c>
      <c r="E436" t="s">
        <v>1837</v>
      </c>
      <c r="F436" s="447">
        <v>618.46274666666659</v>
      </c>
      <c r="G436" s="447">
        <v>0</v>
      </c>
      <c r="H436" s="9">
        <f t="shared" si="6"/>
        <v>-618.46274666666659</v>
      </c>
    </row>
    <row r="437" spans="1:8" x14ac:dyDescent="0.3">
      <c r="A437">
        <v>94</v>
      </c>
      <c r="B437" s="316">
        <v>46168.714583333334</v>
      </c>
      <c r="C437">
        <v>250505</v>
      </c>
      <c r="D437" t="s">
        <v>1420</v>
      </c>
      <c r="E437" t="s">
        <v>1838</v>
      </c>
      <c r="F437" s="447">
        <v>0</v>
      </c>
      <c r="G437" s="447">
        <v>618.46274666666659</v>
      </c>
      <c r="H437" s="9">
        <f t="shared" si="6"/>
        <v>618.46274666666659</v>
      </c>
    </row>
    <row r="438" spans="1:8" x14ac:dyDescent="0.3">
      <c r="A438">
        <v>94</v>
      </c>
      <c r="B438" s="316">
        <v>46168.714583333334</v>
      </c>
      <c r="C438">
        <v>710505</v>
      </c>
      <c r="D438" t="s">
        <v>1372</v>
      </c>
      <c r="E438" t="s">
        <v>1839</v>
      </c>
      <c r="F438" s="447">
        <v>2313.7132533333338</v>
      </c>
      <c r="G438" s="447">
        <v>0</v>
      </c>
      <c r="H438" s="9">
        <f t="shared" si="6"/>
        <v>-2313.7132533333338</v>
      </c>
    </row>
    <row r="439" spans="1:8" x14ac:dyDescent="0.3">
      <c r="A439">
        <v>94</v>
      </c>
      <c r="B439" s="316">
        <v>46168.714583333334</v>
      </c>
      <c r="C439">
        <v>233525</v>
      </c>
      <c r="D439" t="s">
        <v>1373</v>
      </c>
      <c r="E439" t="s">
        <v>1840</v>
      </c>
      <c r="F439" s="447">
        <v>0</v>
      </c>
      <c r="G439" s="447">
        <v>2313.7132533333338</v>
      </c>
      <c r="H439" s="9">
        <f t="shared" si="6"/>
        <v>2313.7132533333338</v>
      </c>
    </row>
    <row r="440" spans="1:8" x14ac:dyDescent="0.3">
      <c r="A440">
        <v>94</v>
      </c>
      <c r="B440" s="316">
        <v>46168.714583333334</v>
      </c>
      <c r="C440">
        <v>143005</v>
      </c>
      <c r="D440" t="s">
        <v>1370</v>
      </c>
      <c r="E440" t="s">
        <v>1841</v>
      </c>
      <c r="F440" s="447">
        <v>9116.8034666666663</v>
      </c>
      <c r="G440" s="447">
        <v>0</v>
      </c>
      <c r="H440" s="9">
        <f t="shared" si="6"/>
        <v>-9116.8034666666663</v>
      </c>
    </row>
    <row r="441" spans="1:8" x14ac:dyDescent="0.3">
      <c r="A441">
        <v>94</v>
      </c>
      <c r="B441" s="316">
        <v>46168.714583333334</v>
      </c>
      <c r="C441">
        <v>710505</v>
      </c>
      <c r="D441" t="s">
        <v>1372</v>
      </c>
      <c r="E441" t="s">
        <v>1842</v>
      </c>
      <c r="F441" s="447">
        <v>0</v>
      </c>
      <c r="G441" s="447">
        <v>9116.8034666666663</v>
      </c>
      <c r="H441" s="9">
        <f t="shared" si="6"/>
        <v>9116.8034666666663</v>
      </c>
    </row>
    <row r="442" spans="1:8" x14ac:dyDescent="0.3">
      <c r="A442">
        <v>95</v>
      </c>
      <c r="B442" s="316">
        <v>46169.39166666667</v>
      </c>
      <c r="C442">
        <v>710505</v>
      </c>
      <c r="D442" t="s">
        <v>1372</v>
      </c>
      <c r="E442" t="s">
        <v>1845</v>
      </c>
      <c r="F442" s="447">
        <v>3705.6499999999996</v>
      </c>
      <c r="G442" s="447">
        <v>0</v>
      </c>
      <c r="H442" s="9">
        <f t="shared" si="6"/>
        <v>-3705.6499999999996</v>
      </c>
    </row>
    <row r="443" spans="1:8" x14ac:dyDescent="0.3">
      <c r="A443">
        <v>95</v>
      </c>
      <c r="B443" s="316">
        <v>46169.39166666667</v>
      </c>
      <c r="C443">
        <v>140505</v>
      </c>
      <c r="D443" t="s">
        <v>1353</v>
      </c>
      <c r="E443" t="s">
        <v>1845</v>
      </c>
      <c r="F443" s="447">
        <v>0</v>
      </c>
      <c r="G443" s="447">
        <v>3705.6499999999996</v>
      </c>
      <c r="H443" s="9">
        <f t="shared" si="6"/>
        <v>3705.6499999999996</v>
      </c>
    </row>
    <row r="444" spans="1:8" x14ac:dyDescent="0.3">
      <c r="A444">
        <v>95</v>
      </c>
      <c r="B444" s="316">
        <v>46169.39166666667</v>
      </c>
      <c r="C444">
        <v>710505</v>
      </c>
      <c r="D444" t="s">
        <v>1372</v>
      </c>
      <c r="E444" t="s">
        <v>1846</v>
      </c>
      <c r="F444" s="447">
        <v>370.565</v>
      </c>
      <c r="G444" s="447">
        <v>0</v>
      </c>
      <c r="H444" s="9">
        <f t="shared" si="6"/>
        <v>-370.565</v>
      </c>
    </row>
    <row r="445" spans="1:8" x14ac:dyDescent="0.3">
      <c r="A445">
        <v>95</v>
      </c>
      <c r="B445" s="316">
        <v>46169.39166666667</v>
      </c>
      <c r="C445">
        <v>250505</v>
      </c>
      <c r="D445" t="s">
        <v>1420</v>
      </c>
      <c r="E445" t="s">
        <v>1847</v>
      </c>
      <c r="F445" s="447">
        <v>0</v>
      </c>
      <c r="G445" s="447">
        <v>370.565</v>
      </c>
      <c r="H445" s="9">
        <f t="shared" si="6"/>
        <v>370.565</v>
      </c>
    </row>
    <row r="446" spans="1:8" x14ac:dyDescent="0.3">
      <c r="A446">
        <v>95</v>
      </c>
      <c r="B446" s="316">
        <v>46169.39166666667</v>
      </c>
      <c r="C446">
        <v>710505</v>
      </c>
      <c r="D446" t="s">
        <v>1372</v>
      </c>
      <c r="E446" t="s">
        <v>1848</v>
      </c>
      <c r="F446" s="447">
        <v>2561.6110000000003</v>
      </c>
      <c r="G446" s="447">
        <v>0</v>
      </c>
      <c r="H446" s="9">
        <f t="shared" si="6"/>
        <v>-2561.6110000000003</v>
      </c>
    </row>
    <row r="447" spans="1:8" x14ac:dyDescent="0.3">
      <c r="A447">
        <v>95</v>
      </c>
      <c r="B447" s="316">
        <v>46169.39166666667</v>
      </c>
      <c r="C447">
        <v>233525</v>
      </c>
      <c r="D447" t="s">
        <v>1373</v>
      </c>
      <c r="E447" t="s">
        <v>1849</v>
      </c>
      <c r="F447" s="447">
        <v>0</v>
      </c>
      <c r="G447" s="447">
        <v>2561.6110000000003</v>
      </c>
      <c r="H447" s="9">
        <f t="shared" si="6"/>
        <v>2561.6110000000003</v>
      </c>
    </row>
    <row r="448" spans="1:8" x14ac:dyDescent="0.3">
      <c r="A448">
        <v>95</v>
      </c>
      <c r="B448" s="316">
        <v>46169.39166666667</v>
      </c>
      <c r="C448">
        <v>143005</v>
      </c>
      <c r="D448" t="s">
        <v>1370</v>
      </c>
      <c r="E448" t="s">
        <v>1850</v>
      </c>
      <c r="F448" s="447">
        <v>6637.826</v>
      </c>
      <c r="G448" s="447">
        <v>0</v>
      </c>
      <c r="H448" s="9">
        <f t="shared" si="6"/>
        <v>-6637.826</v>
      </c>
    </row>
    <row r="449" spans="1:8" x14ac:dyDescent="0.3">
      <c r="A449">
        <v>95</v>
      </c>
      <c r="B449" s="316">
        <v>46169.39166666667</v>
      </c>
      <c r="C449">
        <v>710505</v>
      </c>
      <c r="D449" t="s">
        <v>1372</v>
      </c>
      <c r="E449" t="s">
        <v>1851</v>
      </c>
      <c r="F449" s="447">
        <v>0</v>
      </c>
      <c r="G449" s="447">
        <v>6637.826</v>
      </c>
      <c r="H449" s="9">
        <f t="shared" si="6"/>
        <v>6637.826</v>
      </c>
    </row>
    <row r="450" spans="1:8" x14ac:dyDescent="0.3">
      <c r="A450">
        <v>96</v>
      </c>
      <c r="B450" s="316">
        <v>46169.677083333336</v>
      </c>
      <c r="C450">
        <v>710505</v>
      </c>
      <c r="D450" t="s">
        <v>1372</v>
      </c>
      <c r="E450" t="s">
        <v>1854</v>
      </c>
      <c r="F450" s="447">
        <v>3338.6971428571428</v>
      </c>
      <c r="G450" s="447">
        <v>0</v>
      </c>
      <c r="H450" s="9">
        <f t="shared" si="6"/>
        <v>-3338.6971428571428</v>
      </c>
    </row>
    <row r="451" spans="1:8" x14ac:dyDescent="0.3">
      <c r="A451">
        <v>96</v>
      </c>
      <c r="B451" s="316">
        <v>46169.677083333336</v>
      </c>
      <c r="C451">
        <v>140505</v>
      </c>
      <c r="D451" t="s">
        <v>1353</v>
      </c>
      <c r="E451" t="s">
        <v>1854</v>
      </c>
      <c r="F451" s="447">
        <v>0</v>
      </c>
      <c r="G451" s="447">
        <v>3338.6971428571428</v>
      </c>
      <c r="H451" s="9">
        <f t="shared" ref="H451:H514" si="7">+G451-F451</f>
        <v>3338.6971428571428</v>
      </c>
    </row>
    <row r="452" spans="1:8" x14ac:dyDescent="0.3">
      <c r="A452">
        <v>96</v>
      </c>
      <c r="B452" s="316">
        <v>46169.677083333336</v>
      </c>
      <c r="C452">
        <v>710505</v>
      </c>
      <c r="D452" t="s">
        <v>1372</v>
      </c>
      <c r="E452" t="s">
        <v>1855</v>
      </c>
      <c r="F452" s="447">
        <v>333.86971428571428</v>
      </c>
      <c r="G452" s="447">
        <v>0</v>
      </c>
      <c r="H452" s="9">
        <f t="shared" si="7"/>
        <v>-333.86971428571428</v>
      </c>
    </row>
    <row r="453" spans="1:8" x14ac:dyDescent="0.3">
      <c r="A453">
        <v>96</v>
      </c>
      <c r="B453" s="316">
        <v>46169.677083333336</v>
      </c>
      <c r="C453">
        <v>250505</v>
      </c>
      <c r="D453" t="s">
        <v>1420</v>
      </c>
      <c r="E453" t="s">
        <v>1856</v>
      </c>
      <c r="F453" s="447">
        <v>0</v>
      </c>
      <c r="G453" s="447">
        <v>333.86971428571428</v>
      </c>
      <c r="H453" s="9">
        <f t="shared" si="7"/>
        <v>333.86971428571428</v>
      </c>
    </row>
    <row r="454" spans="1:8" x14ac:dyDescent="0.3">
      <c r="A454">
        <v>96</v>
      </c>
      <c r="B454" s="316">
        <v>46169.677083333336</v>
      </c>
      <c r="C454">
        <v>710505</v>
      </c>
      <c r="D454" t="s">
        <v>1372</v>
      </c>
      <c r="E454" t="s">
        <v>1857</v>
      </c>
      <c r="F454" s="447">
        <v>2571.8902857142857</v>
      </c>
      <c r="G454" s="447">
        <v>0</v>
      </c>
      <c r="H454" s="9">
        <f t="shared" si="7"/>
        <v>-2571.8902857142857</v>
      </c>
    </row>
    <row r="455" spans="1:8" x14ac:dyDescent="0.3">
      <c r="A455">
        <v>96</v>
      </c>
      <c r="B455" s="316">
        <v>46169.677083333336</v>
      </c>
      <c r="C455">
        <v>233525</v>
      </c>
      <c r="D455" t="s">
        <v>1373</v>
      </c>
      <c r="E455" t="s">
        <v>1858</v>
      </c>
      <c r="F455" s="447">
        <v>0</v>
      </c>
      <c r="G455" s="447">
        <v>2571.8902857142857</v>
      </c>
      <c r="H455" s="9">
        <f t="shared" si="7"/>
        <v>2571.8902857142857</v>
      </c>
    </row>
    <row r="456" spans="1:8" x14ac:dyDescent="0.3">
      <c r="A456">
        <v>96</v>
      </c>
      <c r="B456" s="316">
        <v>46169.677083333336</v>
      </c>
      <c r="C456">
        <v>143005</v>
      </c>
      <c r="D456" t="s">
        <v>1370</v>
      </c>
      <c r="E456" t="s">
        <v>1859</v>
      </c>
      <c r="F456" s="447">
        <v>6244.4571428571426</v>
      </c>
      <c r="G456" s="447">
        <v>0</v>
      </c>
      <c r="H456" s="9">
        <f t="shared" si="7"/>
        <v>-6244.4571428571426</v>
      </c>
    </row>
    <row r="457" spans="1:8" x14ac:dyDescent="0.3">
      <c r="A457">
        <v>96</v>
      </c>
      <c r="B457" s="316">
        <v>46169.677083333336</v>
      </c>
      <c r="C457">
        <v>710505</v>
      </c>
      <c r="D457" t="s">
        <v>1372</v>
      </c>
      <c r="E457" t="s">
        <v>1860</v>
      </c>
      <c r="F457" s="447">
        <v>0</v>
      </c>
      <c r="G457" s="447">
        <v>6244.4571428571426</v>
      </c>
      <c r="H457" s="9">
        <f t="shared" si="7"/>
        <v>6244.4571428571426</v>
      </c>
    </row>
    <row r="458" spans="1:8" x14ac:dyDescent="0.3">
      <c r="A458">
        <v>97</v>
      </c>
      <c r="B458" s="316">
        <v>46154.919374999998</v>
      </c>
      <c r="C458">
        <v>512010</v>
      </c>
      <c r="D458" t="s">
        <v>1324</v>
      </c>
      <c r="E458" t="s">
        <v>1308</v>
      </c>
      <c r="F458" s="447">
        <v>300000</v>
      </c>
      <c r="G458" s="447">
        <v>0</v>
      </c>
      <c r="H458" s="9">
        <f t="shared" si="7"/>
        <v>-300000</v>
      </c>
    </row>
    <row r="459" spans="1:8" x14ac:dyDescent="0.3">
      <c r="A459">
        <v>97</v>
      </c>
      <c r="B459" s="316">
        <v>46154.919374999998</v>
      </c>
      <c r="C459">
        <v>110505</v>
      </c>
      <c r="D459" t="s">
        <v>1314</v>
      </c>
      <c r="E459" t="s">
        <v>1308</v>
      </c>
      <c r="F459" s="447">
        <v>0</v>
      </c>
      <c r="G459" s="447">
        <v>300000</v>
      </c>
      <c r="H459" s="9">
        <f t="shared" si="7"/>
        <v>300000</v>
      </c>
    </row>
    <row r="460" spans="1:8" x14ac:dyDescent="0.3">
      <c r="A460">
        <v>98</v>
      </c>
      <c r="B460" s="316">
        <v>46155.465578703705</v>
      </c>
      <c r="C460">
        <v>519525</v>
      </c>
      <c r="D460" t="s">
        <v>1323</v>
      </c>
      <c r="E460" t="s">
        <v>1307</v>
      </c>
      <c r="F460" s="447">
        <v>25000</v>
      </c>
      <c r="G460" s="447">
        <v>0</v>
      </c>
      <c r="H460" s="9">
        <f t="shared" si="7"/>
        <v>-25000</v>
      </c>
    </row>
    <row r="461" spans="1:8" x14ac:dyDescent="0.3">
      <c r="A461">
        <v>98</v>
      </c>
      <c r="B461" s="316">
        <v>46155.465578703705</v>
      </c>
      <c r="C461">
        <v>110505</v>
      </c>
      <c r="D461" t="s">
        <v>1314</v>
      </c>
      <c r="E461" t="s">
        <v>1307</v>
      </c>
      <c r="F461" s="447">
        <v>0</v>
      </c>
      <c r="G461" s="447">
        <v>25000</v>
      </c>
      <c r="H461" s="9">
        <f t="shared" si="7"/>
        <v>25000</v>
      </c>
    </row>
    <row r="462" spans="1:8" x14ac:dyDescent="0.3">
      <c r="A462">
        <v>99</v>
      </c>
      <c r="B462" s="316">
        <v>46168.60618052083</v>
      </c>
      <c r="C462">
        <v>110505</v>
      </c>
      <c r="D462" t="s">
        <v>1314</v>
      </c>
      <c r="E462" t="s">
        <v>1861</v>
      </c>
      <c r="F462" s="447">
        <v>30000</v>
      </c>
      <c r="G462" s="447">
        <v>0</v>
      </c>
      <c r="H462" s="9">
        <f t="shared" si="7"/>
        <v>-30000</v>
      </c>
    </row>
    <row r="463" spans="1:8" x14ac:dyDescent="0.3">
      <c r="A463">
        <v>99</v>
      </c>
      <c r="B463" s="316">
        <v>46168.60618052083</v>
      </c>
      <c r="C463">
        <v>412005</v>
      </c>
      <c r="D463" t="s">
        <v>1368</v>
      </c>
      <c r="E463" t="s">
        <v>1861</v>
      </c>
      <c r="F463" s="447">
        <v>0</v>
      </c>
      <c r="G463" s="447">
        <v>30000</v>
      </c>
      <c r="H463" s="9">
        <f t="shared" si="7"/>
        <v>30000</v>
      </c>
    </row>
    <row r="464" spans="1:8" x14ac:dyDescent="0.3">
      <c r="A464">
        <v>99</v>
      </c>
      <c r="B464" s="316">
        <v>46168.60618052083</v>
      </c>
      <c r="C464">
        <v>612005</v>
      </c>
      <c r="D464" t="s">
        <v>1369</v>
      </c>
      <c r="E464" t="s">
        <v>1697</v>
      </c>
      <c r="F464" s="447">
        <v>14802.7516</v>
      </c>
      <c r="G464" s="447">
        <v>0</v>
      </c>
      <c r="H464" s="9">
        <f t="shared" si="7"/>
        <v>-14802.7516</v>
      </c>
    </row>
    <row r="465" spans="1:8" x14ac:dyDescent="0.3">
      <c r="A465">
        <v>99</v>
      </c>
      <c r="B465" s="316">
        <v>46168.60618052083</v>
      </c>
      <c r="C465">
        <v>143005</v>
      </c>
      <c r="D465" t="s">
        <v>1370</v>
      </c>
      <c r="E465" t="s">
        <v>1697</v>
      </c>
      <c r="F465" s="447">
        <v>0</v>
      </c>
      <c r="G465" s="447">
        <v>14802.7516</v>
      </c>
      <c r="H465" s="9">
        <f t="shared" si="7"/>
        <v>14802.7516</v>
      </c>
    </row>
    <row r="466" spans="1:8" x14ac:dyDescent="0.3">
      <c r="A466">
        <v>100</v>
      </c>
      <c r="B466" s="316">
        <v>46168.60618052083</v>
      </c>
      <c r="C466">
        <v>110505</v>
      </c>
      <c r="D466" t="s">
        <v>1314</v>
      </c>
      <c r="E466" t="s">
        <v>1862</v>
      </c>
      <c r="F466" s="447">
        <v>10000</v>
      </c>
      <c r="G466" s="447">
        <v>0</v>
      </c>
      <c r="H466" s="9">
        <f t="shared" si="7"/>
        <v>-10000</v>
      </c>
    </row>
    <row r="467" spans="1:8" x14ac:dyDescent="0.3">
      <c r="A467">
        <v>100</v>
      </c>
      <c r="B467" s="316">
        <v>46168.60618052083</v>
      </c>
      <c r="C467">
        <v>412005</v>
      </c>
      <c r="D467" t="s">
        <v>1368</v>
      </c>
      <c r="E467" t="s">
        <v>1862</v>
      </c>
      <c r="F467" s="447">
        <v>0</v>
      </c>
      <c r="G467" s="447">
        <v>10000</v>
      </c>
      <c r="H467" s="9">
        <f t="shared" si="7"/>
        <v>10000</v>
      </c>
    </row>
    <row r="468" spans="1:8" x14ac:dyDescent="0.3">
      <c r="A468">
        <v>100</v>
      </c>
      <c r="B468" s="316">
        <v>46168.60618052083</v>
      </c>
      <c r="C468">
        <v>612005</v>
      </c>
      <c r="D468" t="s">
        <v>1369</v>
      </c>
      <c r="E468" t="s">
        <v>1863</v>
      </c>
      <c r="F468" s="447">
        <v>3305.0623999999998</v>
      </c>
      <c r="G468" s="447">
        <v>0</v>
      </c>
      <c r="H468" s="9">
        <f t="shared" si="7"/>
        <v>-3305.0623999999998</v>
      </c>
    </row>
    <row r="469" spans="1:8" x14ac:dyDescent="0.3">
      <c r="A469">
        <v>100</v>
      </c>
      <c r="B469" s="316">
        <v>46168.60618052083</v>
      </c>
      <c r="C469">
        <v>143005</v>
      </c>
      <c r="D469" t="s">
        <v>1370</v>
      </c>
      <c r="E469" t="s">
        <v>1863</v>
      </c>
      <c r="F469" s="447">
        <v>0</v>
      </c>
      <c r="G469" s="447">
        <v>3305.0623999999998</v>
      </c>
      <c r="H469" s="9">
        <f t="shared" si="7"/>
        <v>3305.0623999999998</v>
      </c>
    </row>
    <row r="470" spans="1:8" x14ac:dyDescent="0.3">
      <c r="A470">
        <v>101</v>
      </c>
      <c r="B470" s="316">
        <v>46168.60618052083</v>
      </c>
      <c r="C470">
        <v>110505</v>
      </c>
      <c r="D470" t="s">
        <v>1314</v>
      </c>
      <c r="E470" t="s">
        <v>1864</v>
      </c>
      <c r="F470" s="447">
        <v>10000</v>
      </c>
      <c r="G470" s="447">
        <v>0</v>
      </c>
      <c r="H470" s="9">
        <f t="shared" si="7"/>
        <v>-10000</v>
      </c>
    </row>
    <row r="471" spans="1:8" x14ac:dyDescent="0.3">
      <c r="A471">
        <v>101</v>
      </c>
      <c r="B471" s="316">
        <v>46168.60618052083</v>
      </c>
      <c r="C471">
        <v>412005</v>
      </c>
      <c r="D471" t="s">
        <v>1368</v>
      </c>
      <c r="E471" t="s">
        <v>1864</v>
      </c>
      <c r="F471" s="447">
        <v>0</v>
      </c>
      <c r="G471" s="447">
        <v>10000</v>
      </c>
      <c r="H471" s="9">
        <f t="shared" si="7"/>
        <v>10000</v>
      </c>
    </row>
    <row r="472" spans="1:8" x14ac:dyDescent="0.3">
      <c r="A472">
        <v>101</v>
      </c>
      <c r="B472" s="316">
        <v>46168.60618052083</v>
      </c>
      <c r="C472">
        <v>612005</v>
      </c>
      <c r="D472" t="s">
        <v>1369</v>
      </c>
      <c r="E472" t="s">
        <v>1865</v>
      </c>
      <c r="F472" s="447">
        <v>3117.5828999999999</v>
      </c>
      <c r="G472" s="447">
        <v>0</v>
      </c>
      <c r="H472" s="9">
        <f t="shared" si="7"/>
        <v>-3117.5828999999999</v>
      </c>
    </row>
    <row r="473" spans="1:8" x14ac:dyDescent="0.3">
      <c r="A473">
        <v>101</v>
      </c>
      <c r="B473" s="316">
        <v>46168.60618052083</v>
      </c>
      <c r="C473">
        <v>143005</v>
      </c>
      <c r="D473" t="s">
        <v>1370</v>
      </c>
      <c r="E473" t="s">
        <v>1865</v>
      </c>
      <c r="F473" s="447">
        <v>0</v>
      </c>
      <c r="G473" s="447">
        <v>3117.5828999999999</v>
      </c>
      <c r="H473" s="9">
        <f t="shared" si="7"/>
        <v>3117.5828999999999</v>
      </c>
    </row>
    <row r="474" spans="1:8" x14ac:dyDescent="0.3">
      <c r="A474">
        <v>102</v>
      </c>
      <c r="B474" s="316">
        <v>46168.60618052083</v>
      </c>
      <c r="C474">
        <v>110505</v>
      </c>
      <c r="D474" t="s">
        <v>1314</v>
      </c>
      <c r="E474" t="s">
        <v>1866</v>
      </c>
      <c r="F474" s="447">
        <v>10000</v>
      </c>
      <c r="G474" s="447">
        <v>0</v>
      </c>
      <c r="H474" s="9">
        <f t="shared" si="7"/>
        <v>-10000</v>
      </c>
    </row>
    <row r="475" spans="1:8" x14ac:dyDescent="0.3">
      <c r="A475">
        <v>102</v>
      </c>
      <c r="B475" s="316">
        <v>46168.60618052083</v>
      </c>
      <c r="C475">
        <v>412005</v>
      </c>
      <c r="D475" t="s">
        <v>1368</v>
      </c>
      <c r="E475" t="s">
        <v>1866</v>
      </c>
      <c r="F475" s="447">
        <v>0</v>
      </c>
      <c r="G475" s="447">
        <v>10000</v>
      </c>
      <c r="H475" s="9">
        <f t="shared" si="7"/>
        <v>10000</v>
      </c>
    </row>
    <row r="476" spans="1:8" x14ac:dyDescent="0.3">
      <c r="A476">
        <v>102</v>
      </c>
      <c r="B476" s="316">
        <v>46168.60618052083</v>
      </c>
      <c r="C476">
        <v>612005</v>
      </c>
      <c r="D476" t="s">
        <v>1369</v>
      </c>
      <c r="E476" t="s">
        <v>1867</v>
      </c>
      <c r="F476" s="447">
        <v>3646.721</v>
      </c>
      <c r="G476" s="447">
        <v>0</v>
      </c>
      <c r="H476" s="9">
        <f t="shared" si="7"/>
        <v>-3646.721</v>
      </c>
    </row>
    <row r="477" spans="1:8" x14ac:dyDescent="0.3">
      <c r="A477">
        <v>102</v>
      </c>
      <c r="B477" s="316">
        <v>46168.60618052083</v>
      </c>
      <c r="C477">
        <v>143005</v>
      </c>
      <c r="D477" t="s">
        <v>1370</v>
      </c>
      <c r="E477" t="s">
        <v>1867</v>
      </c>
      <c r="F477" s="447">
        <v>0</v>
      </c>
      <c r="G477" s="447">
        <v>3646.721</v>
      </c>
      <c r="H477" s="9">
        <f t="shared" si="7"/>
        <v>3646.721</v>
      </c>
    </row>
    <row r="478" spans="1:8" x14ac:dyDescent="0.3">
      <c r="A478">
        <v>103</v>
      </c>
      <c r="B478" s="316">
        <v>46168.60618052083</v>
      </c>
      <c r="C478">
        <v>110505</v>
      </c>
      <c r="D478" t="s">
        <v>1314</v>
      </c>
      <c r="E478" t="s">
        <v>1868</v>
      </c>
      <c r="F478" s="447">
        <v>10000</v>
      </c>
      <c r="G478" s="447">
        <v>0</v>
      </c>
      <c r="H478" s="9">
        <f t="shared" si="7"/>
        <v>-10000</v>
      </c>
    </row>
    <row r="479" spans="1:8" x14ac:dyDescent="0.3">
      <c r="A479">
        <v>103</v>
      </c>
      <c r="B479" s="316">
        <v>46168.60618052083</v>
      </c>
      <c r="C479">
        <v>412005</v>
      </c>
      <c r="D479" t="s">
        <v>1368</v>
      </c>
      <c r="E479" t="s">
        <v>1868</v>
      </c>
      <c r="F479" s="447">
        <v>0</v>
      </c>
      <c r="G479" s="447">
        <v>10000</v>
      </c>
      <c r="H479" s="9">
        <f t="shared" si="7"/>
        <v>10000</v>
      </c>
    </row>
    <row r="480" spans="1:8" x14ac:dyDescent="0.3">
      <c r="A480">
        <v>103</v>
      </c>
      <c r="B480" s="316">
        <v>46168.60618052083</v>
      </c>
      <c r="C480">
        <v>612005</v>
      </c>
      <c r="D480" t="s">
        <v>1369</v>
      </c>
      <c r="E480" t="s">
        <v>1869</v>
      </c>
      <c r="F480" s="447">
        <v>4162.9714285714281</v>
      </c>
      <c r="G480" s="447">
        <v>0</v>
      </c>
      <c r="H480" s="9">
        <f t="shared" si="7"/>
        <v>-4162.9714285714281</v>
      </c>
    </row>
    <row r="481" spans="1:8" x14ac:dyDescent="0.3">
      <c r="A481">
        <v>103</v>
      </c>
      <c r="B481" s="316">
        <v>46168.60618052083</v>
      </c>
      <c r="C481">
        <v>143005</v>
      </c>
      <c r="D481" t="s">
        <v>1370</v>
      </c>
      <c r="E481" t="s">
        <v>1869</v>
      </c>
      <c r="F481" s="447">
        <v>0</v>
      </c>
      <c r="G481" s="447">
        <v>4162.9714285714281</v>
      </c>
      <c r="H481" s="9">
        <f t="shared" si="7"/>
        <v>4162.9714285714281</v>
      </c>
    </row>
    <row r="482" spans="1:8" x14ac:dyDescent="0.3">
      <c r="A482">
        <v>104</v>
      </c>
      <c r="B482" s="316">
        <v>46168.60618052083</v>
      </c>
      <c r="C482">
        <v>110505</v>
      </c>
      <c r="D482" t="s">
        <v>1314</v>
      </c>
      <c r="E482" t="s">
        <v>1870</v>
      </c>
      <c r="F482" s="447">
        <v>10000</v>
      </c>
      <c r="G482" s="447">
        <v>0</v>
      </c>
      <c r="H482" s="9">
        <f t="shared" si="7"/>
        <v>-10000</v>
      </c>
    </row>
    <row r="483" spans="1:8" x14ac:dyDescent="0.3">
      <c r="A483">
        <v>104</v>
      </c>
      <c r="B483" s="316">
        <v>46168.60618052083</v>
      </c>
      <c r="C483">
        <v>412005</v>
      </c>
      <c r="D483" t="s">
        <v>1368</v>
      </c>
      <c r="E483" t="s">
        <v>1870</v>
      </c>
      <c r="F483" s="447">
        <v>0</v>
      </c>
      <c r="G483" s="447">
        <v>10000</v>
      </c>
      <c r="H483" s="9">
        <f t="shared" si="7"/>
        <v>10000</v>
      </c>
    </row>
    <row r="484" spans="1:8" x14ac:dyDescent="0.3">
      <c r="A484">
        <v>104</v>
      </c>
      <c r="B484" s="316">
        <v>46168.60618052083</v>
      </c>
      <c r="C484">
        <v>612005</v>
      </c>
      <c r="D484" t="s">
        <v>1369</v>
      </c>
      <c r="E484" t="s">
        <v>1871</v>
      </c>
      <c r="F484" s="447">
        <v>2925.7979999999998</v>
      </c>
      <c r="G484" s="447">
        <v>0</v>
      </c>
      <c r="H484" s="9">
        <f t="shared" si="7"/>
        <v>-2925.7979999999998</v>
      </c>
    </row>
    <row r="485" spans="1:8" x14ac:dyDescent="0.3">
      <c r="A485">
        <v>104</v>
      </c>
      <c r="B485" s="316">
        <v>46168.60618052083</v>
      </c>
      <c r="C485">
        <v>143005</v>
      </c>
      <c r="D485" t="s">
        <v>1370</v>
      </c>
      <c r="E485" t="s">
        <v>1871</v>
      </c>
      <c r="F485" s="447">
        <v>0</v>
      </c>
      <c r="G485" s="447">
        <v>2925.7979999999998</v>
      </c>
      <c r="H485" s="9">
        <f t="shared" si="7"/>
        <v>2925.7979999999998</v>
      </c>
    </row>
    <row r="486" spans="1:8" x14ac:dyDescent="0.3">
      <c r="A486">
        <v>105</v>
      </c>
      <c r="B486" s="316">
        <v>46168.60618052083</v>
      </c>
      <c r="C486">
        <v>110505</v>
      </c>
      <c r="D486" t="s">
        <v>1314</v>
      </c>
      <c r="E486" t="s">
        <v>1872</v>
      </c>
      <c r="F486" s="447">
        <v>10000</v>
      </c>
      <c r="G486" s="447">
        <v>0</v>
      </c>
      <c r="H486" s="9">
        <f t="shared" si="7"/>
        <v>-10000</v>
      </c>
    </row>
    <row r="487" spans="1:8" x14ac:dyDescent="0.3">
      <c r="A487">
        <v>105</v>
      </c>
      <c r="B487" s="316">
        <v>46168.60618052083</v>
      </c>
      <c r="C487">
        <v>412005</v>
      </c>
      <c r="D487" t="s">
        <v>1368</v>
      </c>
      <c r="E487" t="s">
        <v>1872</v>
      </c>
      <c r="F487" s="447">
        <v>0</v>
      </c>
      <c r="G487" s="447">
        <v>10000</v>
      </c>
      <c r="H487" s="9">
        <f t="shared" si="7"/>
        <v>10000</v>
      </c>
    </row>
    <row r="488" spans="1:8" x14ac:dyDescent="0.3">
      <c r="A488">
        <v>105</v>
      </c>
      <c r="B488" s="316">
        <v>46168.60618052083</v>
      </c>
      <c r="C488">
        <v>612005</v>
      </c>
      <c r="D488" t="s">
        <v>1369</v>
      </c>
      <c r="E488" t="s">
        <v>1873</v>
      </c>
      <c r="F488" s="447">
        <v>7211.2699999999995</v>
      </c>
      <c r="G488" s="447">
        <v>0</v>
      </c>
      <c r="H488" s="9">
        <f t="shared" si="7"/>
        <v>-7211.2699999999995</v>
      </c>
    </row>
    <row r="489" spans="1:8" x14ac:dyDescent="0.3">
      <c r="A489">
        <v>105</v>
      </c>
      <c r="B489" s="316">
        <v>46168.60618052083</v>
      </c>
      <c r="C489">
        <v>143005</v>
      </c>
      <c r="D489" t="s">
        <v>1370</v>
      </c>
      <c r="E489" t="s">
        <v>1873</v>
      </c>
      <c r="F489" s="447">
        <v>0</v>
      </c>
      <c r="G489" s="447">
        <v>7211.2699999999995</v>
      </c>
      <c r="H489" s="9">
        <f t="shared" si="7"/>
        <v>7211.2699999999995</v>
      </c>
    </row>
    <row r="490" spans="1:8" x14ac:dyDescent="0.3">
      <c r="A490">
        <v>106</v>
      </c>
      <c r="B490" s="316">
        <v>46168.60618052083</v>
      </c>
      <c r="C490">
        <v>110505</v>
      </c>
      <c r="D490" t="s">
        <v>1314</v>
      </c>
      <c r="E490" t="s">
        <v>1874</v>
      </c>
      <c r="F490" s="447">
        <v>10000</v>
      </c>
      <c r="G490" s="447">
        <v>0</v>
      </c>
      <c r="H490" s="9">
        <f t="shared" si="7"/>
        <v>-10000</v>
      </c>
    </row>
    <row r="491" spans="1:8" x14ac:dyDescent="0.3">
      <c r="A491">
        <v>106</v>
      </c>
      <c r="B491" s="316">
        <v>46168.60618052083</v>
      </c>
      <c r="C491">
        <v>412005</v>
      </c>
      <c r="D491" t="s">
        <v>1368</v>
      </c>
      <c r="E491" t="s">
        <v>1874</v>
      </c>
      <c r="F491" s="447">
        <v>0</v>
      </c>
      <c r="G491" s="447">
        <v>10000</v>
      </c>
      <c r="H491" s="9">
        <f t="shared" si="7"/>
        <v>10000</v>
      </c>
    </row>
    <row r="492" spans="1:8" x14ac:dyDescent="0.3">
      <c r="A492">
        <v>106</v>
      </c>
      <c r="B492" s="316">
        <v>46168.60618052083</v>
      </c>
      <c r="C492">
        <v>612005</v>
      </c>
      <c r="D492" t="s">
        <v>1369</v>
      </c>
      <c r="E492" t="s">
        <v>1875</v>
      </c>
      <c r="F492" s="447">
        <v>4425.2170000000006</v>
      </c>
      <c r="G492" s="447">
        <v>0</v>
      </c>
      <c r="H492" s="9">
        <f t="shared" si="7"/>
        <v>-4425.2170000000006</v>
      </c>
    </row>
    <row r="493" spans="1:8" x14ac:dyDescent="0.3">
      <c r="A493">
        <v>106</v>
      </c>
      <c r="B493" s="316">
        <v>46168.60618052083</v>
      </c>
      <c r="C493">
        <v>143005</v>
      </c>
      <c r="D493" t="s">
        <v>1370</v>
      </c>
      <c r="E493" t="s">
        <v>1875</v>
      </c>
      <c r="F493" s="447">
        <v>0</v>
      </c>
      <c r="G493" s="447">
        <v>4425.2170000000006</v>
      </c>
      <c r="H493" s="9">
        <f t="shared" si="7"/>
        <v>4425.2170000000006</v>
      </c>
    </row>
    <row r="494" spans="1:8" x14ac:dyDescent="0.3">
      <c r="A494">
        <v>107</v>
      </c>
      <c r="B494" s="316">
        <v>46171.60032341435</v>
      </c>
      <c r="C494">
        <v>110505</v>
      </c>
      <c r="D494" t="s">
        <v>1314</v>
      </c>
      <c r="E494" t="s">
        <v>1876</v>
      </c>
      <c r="F494" s="447">
        <v>55000</v>
      </c>
      <c r="G494" s="447">
        <v>0</v>
      </c>
      <c r="H494" s="9">
        <f t="shared" si="7"/>
        <v>-55000</v>
      </c>
    </row>
    <row r="495" spans="1:8" x14ac:dyDescent="0.3">
      <c r="A495">
        <v>107</v>
      </c>
      <c r="B495" s="316">
        <v>46171.60032341435</v>
      </c>
      <c r="C495">
        <v>412005</v>
      </c>
      <c r="D495" t="s">
        <v>1368</v>
      </c>
      <c r="E495" t="s">
        <v>1876</v>
      </c>
      <c r="F495" s="447">
        <v>0</v>
      </c>
      <c r="G495" s="447">
        <v>55000</v>
      </c>
      <c r="H495" s="9">
        <f t="shared" si="7"/>
        <v>55000</v>
      </c>
    </row>
    <row r="496" spans="1:8" x14ac:dyDescent="0.3">
      <c r="A496">
        <v>107</v>
      </c>
      <c r="B496" s="316">
        <v>46171.60032341435</v>
      </c>
      <c r="C496">
        <v>612005</v>
      </c>
      <c r="D496" t="s">
        <v>1369</v>
      </c>
      <c r="E496" t="s">
        <v>1877</v>
      </c>
      <c r="F496" s="447">
        <v>26655.925800000001</v>
      </c>
      <c r="G496" s="447">
        <v>0</v>
      </c>
      <c r="H496" s="9">
        <f t="shared" si="7"/>
        <v>-26655.925800000001</v>
      </c>
    </row>
    <row r="497" spans="1:8" x14ac:dyDescent="0.3">
      <c r="A497">
        <v>107</v>
      </c>
      <c r="B497" s="316">
        <v>46171.60032341435</v>
      </c>
      <c r="C497">
        <v>143005</v>
      </c>
      <c r="D497" t="s">
        <v>1370</v>
      </c>
      <c r="E497" t="s">
        <v>1877</v>
      </c>
      <c r="F497" s="447">
        <v>0</v>
      </c>
      <c r="G497" s="447">
        <v>26655.925800000001</v>
      </c>
      <c r="H497" s="9">
        <f t="shared" si="7"/>
        <v>26655.925800000001</v>
      </c>
    </row>
    <row r="498" spans="1:8" x14ac:dyDescent="0.3">
      <c r="A498">
        <v>108</v>
      </c>
      <c r="B498" s="316">
        <v>46170.613888888889</v>
      </c>
      <c r="C498">
        <v>612099</v>
      </c>
      <c r="D498" t="s">
        <v>1352</v>
      </c>
      <c r="E498" t="s">
        <v>1879</v>
      </c>
      <c r="F498" s="447">
        <v>5692.7</v>
      </c>
      <c r="G498" s="447">
        <v>0</v>
      </c>
      <c r="H498" s="9">
        <f t="shared" si="7"/>
        <v>-5692.7</v>
      </c>
    </row>
    <row r="499" spans="1:8" x14ac:dyDescent="0.3">
      <c r="A499">
        <v>108</v>
      </c>
      <c r="B499" s="316">
        <v>46170.613888888889</v>
      </c>
      <c r="C499">
        <v>140505</v>
      </c>
      <c r="D499" t="s">
        <v>1353</v>
      </c>
      <c r="E499" t="s">
        <v>1880</v>
      </c>
      <c r="F499" s="447">
        <v>0</v>
      </c>
      <c r="G499" s="447">
        <v>5692.7</v>
      </c>
      <c r="H499" s="9">
        <f t="shared" si="7"/>
        <v>5692.7</v>
      </c>
    </row>
    <row r="500" spans="1:8" x14ac:dyDescent="0.3">
      <c r="A500">
        <v>108</v>
      </c>
      <c r="B500" s="316">
        <v>46170.613888888889</v>
      </c>
      <c r="C500">
        <v>612099</v>
      </c>
      <c r="D500" t="s">
        <v>1352</v>
      </c>
      <c r="E500" t="s">
        <v>1881</v>
      </c>
      <c r="F500" s="447">
        <v>569.27</v>
      </c>
      <c r="G500" s="447">
        <v>0</v>
      </c>
      <c r="H500" s="9">
        <f t="shared" si="7"/>
        <v>-569.27</v>
      </c>
    </row>
    <row r="501" spans="1:8" x14ac:dyDescent="0.3">
      <c r="A501">
        <v>108</v>
      </c>
      <c r="B501" s="316">
        <v>46170.613888888889</v>
      </c>
      <c r="C501">
        <v>250505</v>
      </c>
      <c r="D501" t="s">
        <v>1420</v>
      </c>
      <c r="E501" t="s">
        <v>1882</v>
      </c>
      <c r="F501" s="447">
        <v>0</v>
      </c>
      <c r="G501" s="447">
        <v>569.27</v>
      </c>
      <c r="H501" s="9">
        <f t="shared" si="7"/>
        <v>569.27</v>
      </c>
    </row>
    <row r="502" spans="1:8" x14ac:dyDescent="0.3">
      <c r="A502">
        <v>108</v>
      </c>
      <c r="B502" s="316">
        <v>46170.613888888889</v>
      </c>
      <c r="C502">
        <v>612099</v>
      </c>
      <c r="D502" t="s">
        <v>1352</v>
      </c>
      <c r="E502" t="s">
        <v>1883</v>
      </c>
      <c r="F502" s="447">
        <v>1953.4580000000001</v>
      </c>
      <c r="G502" s="447">
        <v>0</v>
      </c>
      <c r="H502" s="9">
        <f t="shared" si="7"/>
        <v>-1953.4580000000001</v>
      </c>
    </row>
    <row r="503" spans="1:8" x14ac:dyDescent="0.3">
      <c r="A503">
        <v>108</v>
      </c>
      <c r="B503" s="316">
        <v>46170.613888888889</v>
      </c>
      <c r="C503">
        <v>233525</v>
      </c>
      <c r="D503" t="s">
        <v>1373</v>
      </c>
      <c r="E503" t="s">
        <v>1884</v>
      </c>
      <c r="F503" s="447">
        <v>0</v>
      </c>
      <c r="G503" s="447">
        <v>1953.4580000000001</v>
      </c>
      <c r="H503" s="9">
        <f t="shared" si="7"/>
        <v>1953.4580000000001</v>
      </c>
    </row>
    <row r="504" spans="1:8" x14ac:dyDescent="0.3">
      <c r="A504">
        <v>109</v>
      </c>
      <c r="B504" s="316">
        <v>46171.602878796293</v>
      </c>
      <c r="C504">
        <v>110505</v>
      </c>
      <c r="D504" t="s">
        <v>1314</v>
      </c>
      <c r="E504" t="s">
        <v>1885</v>
      </c>
      <c r="F504" s="447">
        <v>11000</v>
      </c>
      <c r="G504" s="447">
        <v>0</v>
      </c>
      <c r="H504" s="9">
        <f t="shared" si="7"/>
        <v>-11000</v>
      </c>
    </row>
    <row r="505" spans="1:8" x14ac:dyDescent="0.3">
      <c r="A505">
        <v>109</v>
      </c>
      <c r="B505" s="316">
        <v>46171.602878796293</v>
      </c>
      <c r="C505">
        <v>412005</v>
      </c>
      <c r="D505" t="s">
        <v>1368</v>
      </c>
      <c r="E505" t="s">
        <v>1885</v>
      </c>
      <c r="F505" s="447">
        <v>0</v>
      </c>
      <c r="G505" s="447">
        <v>11000</v>
      </c>
      <c r="H505" s="9">
        <f t="shared" si="7"/>
        <v>11000</v>
      </c>
    </row>
    <row r="506" spans="1:8" x14ac:dyDescent="0.3">
      <c r="A506">
        <v>109</v>
      </c>
      <c r="B506" s="316">
        <v>46171.602878796293</v>
      </c>
      <c r="C506">
        <v>612005</v>
      </c>
      <c r="D506" t="s">
        <v>1369</v>
      </c>
      <c r="E506" t="s">
        <v>1886</v>
      </c>
      <c r="F506" s="447">
        <v>5184.4440000000004</v>
      </c>
      <c r="G506" s="447">
        <v>0</v>
      </c>
      <c r="H506" s="9">
        <f t="shared" si="7"/>
        <v>-5184.4440000000004</v>
      </c>
    </row>
    <row r="507" spans="1:8" x14ac:dyDescent="0.3">
      <c r="A507">
        <v>109</v>
      </c>
      <c r="B507" s="316">
        <v>46171.602878796293</v>
      </c>
      <c r="C507">
        <v>143005</v>
      </c>
      <c r="D507" t="s">
        <v>1370</v>
      </c>
      <c r="E507" t="s">
        <v>1886</v>
      </c>
      <c r="F507" s="447">
        <v>0</v>
      </c>
      <c r="G507" s="447">
        <v>5184.4440000000004</v>
      </c>
      <c r="H507" s="9">
        <f t="shared" si="7"/>
        <v>5184.4440000000004</v>
      </c>
    </row>
    <row r="508" spans="1:8" x14ac:dyDescent="0.3">
      <c r="A508">
        <v>110</v>
      </c>
      <c r="B508" s="316">
        <v>46171.602878796293</v>
      </c>
      <c r="C508">
        <v>110505</v>
      </c>
      <c r="D508" t="s">
        <v>1314</v>
      </c>
      <c r="E508" t="s">
        <v>1887</v>
      </c>
      <c r="F508" s="447">
        <v>45000</v>
      </c>
      <c r="G508" s="447">
        <v>0</v>
      </c>
      <c r="H508" s="9">
        <f t="shared" si="7"/>
        <v>-45000</v>
      </c>
    </row>
    <row r="509" spans="1:8" x14ac:dyDescent="0.3">
      <c r="A509">
        <v>110</v>
      </c>
      <c r="B509" s="316">
        <v>46171.602878796293</v>
      </c>
      <c r="C509">
        <v>412005</v>
      </c>
      <c r="D509" t="s">
        <v>1368</v>
      </c>
      <c r="E509" t="s">
        <v>1887</v>
      </c>
      <c r="F509" s="447">
        <v>0</v>
      </c>
      <c r="G509" s="447">
        <v>45000</v>
      </c>
      <c r="H509" s="9">
        <f t="shared" si="7"/>
        <v>45000</v>
      </c>
    </row>
    <row r="510" spans="1:8" x14ac:dyDescent="0.3">
      <c r="A510">
        <v>110</v>
      </c>
      <c r="B510" s="316">
        <v>46171.602878796293</v>
      </c>
      <c r="C510">
        <v>612005</v>
      </c>
      <c r="D510" t="s">
        <v>1369</v>
      </c>
      <c r="E510" t="s">
        <v>1697</v>
      </c>
      <c r="F510" s="447">
        <v>14802.7516</v>
      </c>
      <c r="G510" s="447">
        <v>0</v>
      </c>
      <c r="H510" s="9">
        <f t="shared" si="7"/>
        <v>-14802.7516</v>
      </c>
    </row>
    <row r="511" spans="1:8" x14ac:dyDescent="0.3">
      <c r="A511">
        <v>110</v>
      </c>
      <c r="B511" s="316">
        <v>46171.602878796293</v>
      </c>
      <c r="C511">
        <v>143005</v>
      </c>
      <c r="D511" t="s">
        <v>1370</v>
      </c>
      <c r="E511" t="s">
        <v>1697</v>
      </c>
      <c r="F511" s="447">
        <v>0</v>
      </c>
      <c r="G511" s="447">
        <v>14802.7516</v>
      </c>
      <c r="H511" s="9">
        <f t="shared" si="7"/>
        <v>14802.7516</v>
      </c>
    </row>
    <row r="512" spans="1:8" x14ac:dyDescent="0.3">
      <c r="A512">
        <v>111</v>
      </c>
      <c r="B512" s="316">
        <v>46171.603485462962</v>
      </c>
      <c r="C512">
        <v>110505</v>
      </c>
      <c r="D512" t="s">
        <v>1314</v>
      </c>
      <c r="E512" t="s">
        <v>1888</v>
      </c>
      <c r="F512" s="447">
        <v>15000</v>
      </c>
      <c r="G512" s="447">
        <v>0</v>
      </c>
      <c r="H512" s="9">
        <f t="shared" si="7"/>
        <v>-15000</v>
      </c>
    </row>
    <row r="513" spans="1:8" x14ac:dyDescent="0.3">
      <c r="A513">
        <v>111</v>
      </c>
      <c r="B513" s="316">
        <v>46171.603485462962</v>
      </c>
      <c r="C513">
        <v>412005</v>
      </c>
      <c r="D513" t="s">
        <v>1368</v>
      </c>
      <c r="E513" t="s">
        <v>1888</v>
      </c>
      <c r="F513" s="447">
        <v>0</v>
      </c>
      <c r="G513" s="447">
        <v>15000</v>
      </c>
      <c r="H513" s="9">
        <f t="shared" si="7"/>
        <v>15000</v>
      </c>
    </row>
    <row r="514" spans="1:8" x14ac:dyDescent="0.3">
      <c r="A514">
        <v>111</v>
      </c>
      <c r="B514" s="316">
        <v>46171.603485462962</v>
      </c>
      <c r="C514">
        <v>612005</v>
      </c>
      <c r="D514" t="s">
        <v>1369</v>
      </c>
      <c r="E514" t="s">
        <v>1889</v>
      </c>
      <c r="F514" s="447">
        <v>1094.3769</v>
      </c>
      <c r="G514" s="447">
        <v>0</v>
      </c>
      <c r="H514" s="9">
        <f t="shared" si="7"/>
        <v>-1094.3769</v>
      </c>
    </row>
    <row r="515" spans="1:8" x14ac:dyDescent="0.3">
      <c r="A515">
        <v>111</v>
      </c>
      <c r="B515" s="316">
        <v>46171.603485462962</v>
      </c>
      <c r="C515">
        <v>143005</v>
      </c>
      <c r="D515" t="s">
        <v>1370</v>
      </c>
      <c r="E515" t="s">
        <v>1889</v>
      </c>
      <c r="F515" s="447">
        <v>0</v>
      </c>
      <c r="G515" s="447">
        <v>1094.3769</v>
      </c>
      <c r="H515" s="9">
        <f t="shared" ref="H515:H559" si="8">+G515-F515</f>
        <v>1094.3769</v>
      </c>
    </row>
    <row r="516" spans="1:8" x14ac:dyDescent="0.3">
      <c r="A516">
        <v>112</v>
      </c>
      <c r="B516" s="316">
        <v>46171.605091215279</v>
      </c>
      <c r="C516">
        <v>110505</v>
      </c>
      <c r="D516" t="s">
        <v>1314</v>
      </c>
      <c r="E516" t="s">
        <v>1890</v>
      </c>
      <c r="F516" s="447">
        <v>30000</v>
      </c>
      <c r="G516" s="447">
        <v>0</v>
      </c>
      <c r="H516" s="9">
        <f t="shared" si="8"/>
        <v>-30000</v>
      </c>
    </row>
    <row r="517" spans="1:8" x14ac:dyDescent="0.3">
      <c r="A517">
        <v>112</v>
      </c>
      <c r="B517" s="316">
        <v>46171.605091215279</v>
      </c>
      <c r="C517">
        <v>412005</v>
      </c>
      <c r="D517" t="s">
        <v>1368</v>
      </c>
      <c r="E517" t="s">
        <v>1890</v>
      </c>
      <c r="F517" s="447">
        <v>0</v>
      </c>
      <c r="G517" s="447">
        <v>30000</v>
      </c>
      <c r="H517" s="9">
        <f t="shared" si="8"/>
        <v>30000</v>
      </c>
    </row>
    <row r="518" spans="1:8" x14ac:dyDescent="0.3">
      <c r="A518">
        <v>112</v>
      </c>
      <c r="B518" s="316">
        <v>46171.605091215279</v>
      </c>
      <c r="C518">
        <v>612005</v>
      </c>
      <c r="D518" t="s">
        <v>1369</v>
      </c>
      <c r="E518" t="s">
        <v>1693</v>
      </c>
      <c r="F518" s="447">
        <v>15034.3855</v>
      </c>
      <c r="G518" s="447">
        <v>0</v>
      </c>
      <c r="H518" s="9">
        <f t="shared" si="8"/>
        <v>-15034.3855</v>
      </c>
    </row>
    <row r="519" spans="1:8" x14ac:dyDescent="0.3">
      <c r="A519">
        <v>112</v>
      </c>
      <c r="B519" s="316">
        <v>46171.605091215279</v>
      </c>
      <c r="C519">
        <v>143005</v>
      </c>
      <c r="D519" t="s">
        <v>1370</v>
      </c>
      <c r="E519" t="s">
        <v>1693</v>
      </c>
      <c r="F519" s="447">
        <v>0</v>
      </c>
      <c r="G519" s="447">
        <v>15034.3855</v>
      </c>
      <c r="H519" s="9">
        <f t="shared" si="8"/>
        <v>15034.3855</v>
      </c>
    </row>
    <row r="520" spans="1:8" x14ac:dyDescent="0.3">
      <c r="A520">
        <v>113</v>
      </c>
      <c r="B520" s="316">
        <v>46171.605091215279</v>
      </c>
      <c r="C520">
        <v>110505</v>
      </c>
      <c r="D520" t="s">
        <v>1314</v>
      </c>
      <c r="E520" t="s">
        <v>1891</v>
      </c>
      <c r="F520" s="447">
        <v>2000</v>
      </c>
      <c r="G520" s="447">
        <v>0</v>
      </c>
      <c r="H520" s="9">
        <f t="shared" si="8"/>
        <v>-2000</v>
      </c>
    </row>
    <row r="521" spans="1:8" x14ac:dyDescent="0.3">
      <c r="A521">
        <v>113</v>
      </c>
      <c r="B521" s="316">
        <v>46171.605091215279</v>
      </c>
      <c r="C521">
        <v>412005</v>
      </c>
      <c r="D521" t="s">
        <v>1368</v>
      </c>
      <c r="E521" t="s">
        <v>1891</v>
      </c>
      <c r="F521" s="447">
        <v>0</v>
      </c>
      <c r="G521" s="447">
        <v>2000</v>
      </c>
      <c r="H521" s="9">
        <f t="shared" si="8"/>
        <v>2000</v>
      </c>
    </row>
    <row r="522" spans="1:8" x14ac:dyDescent="0.3">
      <c r="A522">
        <v>113</v>
      </c>
      <c r="B522" s="316">
        <v>46171.605091215279</v>
      </c>
      <c r="C522">
        <v>612005</v>
      </c>
      <c r="D522" t="s">
        <v>1369</v>
      </c>
      <c r="E522" t="s">
        <v>1892</v>
      </c>
      <c r="F522" s="447">
        <v>1442.2539999999999</v>
      </c>
      <c r="G522" s="447">
        <v>0</v>
      </c>
      <c r="H522" s="9">
        <f t="shared" si="8"/>
        <v>-1442.2539999999999</v>
      </c>
    </row>
    <row r="523" spans="1:8" x14ac:dyDescent="0.3">
      <c r="A523">
        <v>113</v>
      </c>
      <c r="B523" s="316">
        <v>46171.605091215279</v>
      </c>
      <c r="C523">
        <v>143005</v>
      </c>
      <c r="D523" t="s">
        <v>1370</v>
      </c>
      <c r="E523" t="s">
        <v>1892</v>
      </c>
      <c r="F523" s="447">
        <v>0</v>
      </c>
      <c r="G523" s="447">
        <v>1442.2539999999999</v>
      </c>
      <c r="H523" s="9">
        <f t="shared" si="8"/>
        <v>1442.2539999999999</v>
      </c>
    </row>
    <row r="524" spans="1:8" x14ac:dyDescent="0.3">
      <c r="A524">
        <v>114</v>
      </c>
      <c r="B524" s="316">
        <v>46171.605091215279</v>
      </c>
      <c r="C524">
        <v>110505</v>
      </c>
      <c r="D524" t="s">
        <v>1314</v>
      </c>
      <c r="E524" t="s">
        <v>1893</v>
      </c>
      <c r="F524" s="447">
        <v>2000</v>
      </c>
      <c r="G524" s="447">
        <v>0</v>
      </c>
      <c r="H524" s="9">
        <f t="shared" si="8"/>
        <v>-2000</v>
      </c>
    </row>
    <row r="525" spans="1:8" x14ac:dyDescent="0.3">
      <c r="A525">
        <v>114</v>
      </c>
      <c r="B525" s="316">
        <v>46171.605091215279</v>
      </c>
      <c r="C525">
        <v>412005</v>
      </c>
      <c r="D525" t="s">
        <v>1368</v>
      </c>
      <c r="E525" t="s">
        <v>1893</v>
      </c>
      <c r="F525" s="447">
        <v>0</v>
      </c>
      <c r="G525" s="447">
        <v>2000</v>
      </c>
      <c r="H525" s="9">
        <f t="shared" si="8"/>
        <v>2000</v>
      </c>
    </row>
    <row r="526" spans="1:8" x14ac:dyDescent="0.3">
      <c r="A526">
        <v>114</v>
      </c>
      <c r="B526" s="316">
        <v>46171.605091215279</v>
      </c>
      <c r="C526">
        <v>612005</v>
      </c>
      <c r="D526" t="s">
        <v>1369</v>
      </c>
      <c r="E526" t="s">
        <v>1894</v>
      </c>
      <c r="F526" s="447">
        <v>585.15959999999995</v>
      </c>
      <c r="G526" s="447">
        <v>0</v>
      </c>
      <c r="H526" s="9">
        <f t="shared" si="8"/>
        <v>-585.15959999999995</v>
      </c>
    </row>
    <row r="527" spans="1:8" x14ac:dyDescent="0.3">
      <c r="A527">
        <v>114</v>
      </c>
      <c r="B527" s="316">
        <v>46171.605091215279</v>
      </c>
      <c r="C527">
        <v>143005</v>
      </c>
      <c r="D527" t="s">
        <v>1370</v>
      </c>
      <c r="E527" t="s">
        <v>1894</v>
      </c>
      <c r="F527" s="447">
        <v>0</v>
      </c>
      <c r="G527" s="447">
        <v>585.15959999999995</v>
      </c>
      <c r="H527" s="9">
        <f t="shared" si="8"/>
        <v>585.15959999999995</v>
      </c>
    </row>
    <row r="528" spans="1:8" x14ac:dyDescent="0.3">
      <c r="A528">
        <v>115</v>
      </c>
      <c r="B528" s="316">
        <v>46171.605091215279</v>
      </c>
      <c r="C528">
        <v>110505</v>
      </c>
      <c r="D528" t="s">
        <v>1314</v>
      </c>
      <c r="E528" t="s">
        <v>1895</v>
      </c>
      <c r="F528" s="447">
        <v>1000</v>
      </c>
      <c r="G528" s="447">
        <v>0</v>
      </c>
      <c r="H528" s="9">
        <f t="shared" si="8"/>
        <v>-1000</v>
      </c>
    </row>
    <row r="529" spans="1:8" x14ac:dyDescent="0.3">
      <c r="A529">
        <v>115</v>
      </c>
      <c r="B529" s="316">
        <v>46171.605091215279</v>
      </c>
      <c r="C529">
        <v>412005</v>
      </c>
      <c r="D529" t="s">
        <v>1368</v>
      </c>
      <c r="E529" t="s">
        <v>1895</v>
      </c>
      <c r="F529" s="447">
        <v>0</v>
      </c>
      <c r="G529" s="447">
        <v>1000</v>
      </c>
      <c r="H529" s="9">
        <f t="shared" si="8"/>
        <v>1000</v>
      </c>
    </row>
    <row r="530" spans="1:8" x14ac:dyDescent="0.3">
      <c r="A530">
        <v>115</v>
      </c>
      <c r="B530" s="316">
        <v>46171.605091215279</v>
      </c>
      <c r="C530">
        <v>612005</v>
      </c>
      <c r="D530" t="s">
        <v>1369</v>
      </c>
      <c r="E530" t="s">
        <v>1896</v>
      </c>
      <c r="F530" s="447">
        <v>364.6721</v>
      </c>
      <c r="G530" s="447">
        <v>0</v>
      </c>
      <c r="H530" s="9">
        <f t="shared" si="8"/>
        <v>-364.6721</v>
      </c>
    </row>
    <row r="531" spans="1:8" x14ac:dyDescent="0.3">
      <c r="A531">
        <v>115</v>
      </c>
      <c r="B531" s="316">
        <v>46171.605091215279</v>
      </c>
      <c r="C531">
        <v>143005</v>
      </c>
      <c r="D531" t="s">
        <v>1370</v>
      </c>
      <c r="E531" t="s">
        <v>1896</v>
      </c>
      <c r="F531" s="447">
        <v>0</v>
      </c>
      <c r="G531" s="447">
        <v>364.6721</v>
      </c>
      <c r="H531" s="9">
        <f t="shared" si="8"/>
        <v>364.6721</v>
      </c>
    </row>
    <row r="532" spans="1:8" x14ac:dyDescent="0.3">
      <c r="A532">
        <v>116</v>
      </c>
      <c r="B532" s="316">
        <v>46171.605091215279</v>
      </c>
      <c r="C532">
        <v>110505</v>
      </c>
      <c r="D532" t="s">
        <v>1314</v>
      </c>
      <c r="E532" t="s">
        <v>1897</v>
      </c>
      <c r="F532" s="447">
        <v>2000</v>
      </c>
      <c r="G532" s="447">
        <v>0</v>
      </c>
      <c r="H532" s="9">
        <f t="shared" si="8"/>
        <v>-2000</v>
      </c>
    </row>
    <row r="533" spans="1:8" x14ac:dyDescent="0.3">
      <c r="A533">
        <v>116</v>
      </c>
      <c r="B533" s="316">
        <v>46171.605091215279</v>
      </c>
      <c r="C533">
        <v>412005</v>
      </c>
      <c r="D533" t="s">
        <v>1368</v>
      </c>
      <c r="E533" t="s">
        <v>1897</v>
      </c>
      <c r="F533" s="447">
        <v>0</v>
      </c>
      <c r="G533" s="447">
        <v>2000</v>
      </c>
      <c r="H533" s="9">
        <f t="shared" si="8"/>
        <v>2000</v>
      </c>
    </row>
    <row r="534" spans="1:8" x14ac:dyDescent="0.3">
      <c r="A534">
        <v>116</v>
      </c>
      <c r="B534" s="316">
        <v>46171.605091215279</v>
      </c>
      <c r="C534">
        <v>612005</v>
      </c>
      <c r="D534" t="s">
        <v>1369</v>
      </c>
      <c r="E534" t="s">
        <v>1898</v>
      </c>
      <c r="F534" s="447">
        <v>832.59428571428566</v>
      </c>
      <c r="G534" s="447">
        <v>0</v>
      </c>
      <c r="H534" s="9">
        <f t="shared" si="8"/>
        <v>-832.59428571428566</v>
      </c>
    </row>
    <row r="535" spans="1:8" x14ac:dyDescent="0.3">
      <c r="A535">
        <v>116</v>
      </c>
      <c r="B535" s="316">
        <v>46171.605091215279</v>
      </c>
      <c r="C535">
        <v>143005</v>
      </c>
      <c r="D535" t="s">
        <v>1370</v>
      </c>
      <c r="E535" t="s">
        <v>1898</v>
      </c>
      <c r="F535" s="447">
        <v>0</v>
      </c>
      <c r="G535" s="447">
        <v>832.59428571428566</v>
      </c>
      <c r="H535" s="9">
        <f t="shared" si="8"/>
        <v>832.59428571428566</v>
      </c>
    </row>
    <row r="536" spans="1:8" x14ac:dyDescent="0.3">
      <c r="A536">
        <v>117</v>
      </c>
      <c r="B536" s="316">
        <v>46171.613032407404</v>
      </c>
      <c r="C536">
        <v>110505</v>
      </c>
      <c r="D536" t="s">
        <v>1314</v>
      </c>
      <c r="E536" t="s">
        <v>1899</v>
      </c>
      <c r="F536" s="447">
        <v>2341.23</v>
      </c>
      <c r="G536" s="447">
        <v>0</v>
      </c>
      <c r="H536" s="9">
        <f t="shared" si="8"/>
        <v>-2341.23</v>
      </c>
    </row>
    <row r="537" spans="1:8" x14ac:dyDescent="0.3">
      <c r="A537">
        <v>117</v>
      </c>
      <c r="B537" s="316">
        <v>46171.613032407404</v>
      </c>
      <c r="C537">
        <v>421005</v>
      </c>
      <c r="D537" t="s">
        <v>1322</v>
      </c>
      <c r="E537" t="s">
        <v>1899</v>
      </c>
      <c r="F537" s="447">
        <v>0</v>
      </c>
      <c r="G537" s="447">
        <v>2341.23</v>
      </c>
      <c r="H537" s="9">
        <f t="shared" si="8"/>
        <v>2341.23</v>
      </c>
    </row>
    <row r="538" spans="1:8" x14ac:dyDescent="0.3">
      <c r="A538">
        <v>118</v>
      </c>
      <c r="B538" s="316">
        <v>46170.509027777778</v>
      </c>
      <c r="C538">
        <v>710505</v>
      </c>
      <c r="D538" t="s">
        <v>1372</v>
      </c>
      <c r="E538" t="s">
        <v>1916</v>
      </c>
      <c r="F538" s="10">
        <v>10427.102857142858</v>
      </c>
      <c r="G538" s="10">
        <v>0</v>
      </c>
      <c r="H538" s="9">
        <f t="shared" si="8"/>
        <v>-10427.102857142858</v>
      </c>
    </row>
    <row r="539" spans="1:8" x14ac:dyDescent="0.3">
      <c r="A539">
        <v>118</v>
      </c>
      <c r="B539" s="316">
        <v>46170.509027777778</v>
      </c>
      <c r="C539">
        <v>140505</v>
      </c>
      <c r="D539" t="s">
        <v>1353</v>
      </c>
      <c r="E539" t="s">
        <v>1916</v>
      </c>
      <c r="F539" s="10">
        <v>0</v>
      </c>
      <c r="G539" s="10">
        <v>10427.102857142858</v>
      </c>
      <c r="H539" s="9">
        <f t="shared" si="8"/>
        <v>10427.102857142858</v>
      </c>
    </row>
    <row r="540" spans="1:8" x14ac:dyDescent="0.3">
      <c r="A540">
        <v>118</v>
      </c>
      <c r="B540" s="316">
        <v>46170.509027777778</v>
      </c>
      <c r="C540">
        <v>710505</v>
      </c>
      <c r="D540" t="s">
        <v>1372</v>
      </c>
      <c r="E540" t="s">
        <v>1917</v>
      </c>
      <c r="F540" s="10">
        <v>1042.7102857142859</v>
      </c>
      <c r="G540" s="10">
        <v>0</v>
      </c>
      <c r="H540" s="9">
        <f t="shared" si="8"/>
        <v>-1042.7102857142859</v>
      </c>
    </row>
    <row r="541" spans="1:8" x14ac:dyDescent="0.3">
      <c r="A541">
        <v>118</v>
      </c>
      <c r="B541" s="316">
        <v>46170.509027777778</v>
      </c>
      <c r="C541">
        <v>250505</v>
      </c>
      <c r="D541" t="s">
        <v>1420</v>
      </c>
      <c r="E541" t="s">
        <v>1918</v>
      </c>
      <c r="F541" s="10">
        <v>0</v>
      </c>
      <c r="G541" s="10">
        <v>1042.7102857142859</v>
      </c>
      <c r="H541" s="9">
        <f t="shared" si="8"/>
        <v>1042.7102857142859</v>
      </c>
    </row>
    <row r="542" spans="1:8" x14ac:dyDescent="0.3">
      <c r="A542">
        <v>118</v>
      </c>
      <c r="B542" s="316">
        <v>46170.509027777778</v>
      </c>
      <c r="C542">
        <v>710505</v>
      </c>
      <c r="D542" t="s">
        <v>1372</v>
      </c>
      <c r="E542" t="s">
        <v>1919</v>
      </c>
      <c r="F542" s="10">
        <v>10857.697714285714</v>
      </c>
      <c r="G542" s="10">
        <v>0</v>
      </c>
      <c r="H542" s="9">
        <f t="shared" si="8"/>
        <v>-10857.697714285714</v>
      </c>
    </row>
    <row r="543" spans="1:8" x14ac:dyDescent="0.3">
      <c r="A543">
        <v>118</v>
      </c>
      <c r="B543" s="316">
        <v>46170.509027777778</v>
      </c>
      <c r="C543">
        <v>233525</v>
      </c>
      <c r="D543" t="s">
        <v>1373</v>
      </c>
      <c r="E543" t="s">
        <v>1920</v>
      </c>
      <c r="F543" s="10">
        <v>0</v>
      </c>
      <c r="G543" s="10">
        <v>10857.697714285714</v>
      </c>
      <c r="H543" s="9">
        <f t="shared" si="8"/>
        <v>10857.697714285714</v>
      </c>
    </row>
    <row r="544" spans="1:8" x14ac:dyDescent="0.3">
      <c r="A544">
        <v>118</v>
      </c>
      <c r="B544" s="316">
        <v>46170.509027777778</v>
      </c>
      <c r="C544">
        <v>143005</v>
      </c>
      <c r="D544" t="s">
        <v>1370</v>
      </c>
      <c r="E544" t="s">
        <v>1921</v>
      </c>
      <c r="F544" s="10">
        <v>22327.510857142857</v>
      </c>
      <c r="G544" s="10">
        <v>0</v>
      </c>
      <c r="H544" s="9">
        <f t="shared" si="8"/>
        <v>-22327.510857142857</v>
      </c>
    </row>
    <row r="545" spans="1:8" x14ac:dyDescent="0.3">
      <c r="A545">
        <v>118</v>
      </c>
      <c r="B545" s="316">
        <v>46170.509027777778</v>
      </c>
      <c r="C545">
        <v>710505</v>
      </c>
      <c r="D545" t="s">
        <v>1372</v>
      </c>
      <c r="E545" t="s">
        <v>1922</v>
      </c>
      <c r="F545" s="10">
        <v>0</v>
      </c>
      <c r="G545" s="10">
        <v>22327.510857142857</v>
      </c>
      <c r="H545" s="9">
        <f t="shared" si="8"/>
        <v>22327.510857142857</v>
      </c>
    </row>
    <row r="546" spans="1:8" x14ac:dyDescent="0.3">
      <c r="A546">
        <v>119</v>
      </c>
      <c r="B546" s="316">
        <v>46170.818749999999</v>
      </c>
      <c r="C546">
        <v>612099</v>
      </c>
      <c r="D546" t="s">
        <v>1352</v>
      </c>
      <c r="E546" t="s">
        <v>1435</v>
      </c>
      <c r="F546" s="10">
        <v>300.43428571428569</v>
      </c>
      <c r="G546" s="10">
        <v>0</v>
      </c>
      <c r="H546" s="9">
        <f t="shared" si="8"/>
        <v>-300.43428571428569</v>
      </c>
    </row>
    <row r="547" spans="1:8" x14ac:dyDescent="0.3">
      <c r="A547">
        <v>119</v>
      </c>
      <c r="B547" s="316">
        <v>46170.818749999999</v>
      </c>
      <c r="C547">
        <v>140505</v>
      </c>
      <c r="D547" t="s">
        <v>1353</v>
      </c>
      <c r="E547" t="s">
        <v>1436</v>
      </c>
      <c r="F547" s="10">
        <v>0</v>
      </c>
      <c r="G547" s="10">
        <v>300.43428571428569</v>
      </c>
      <c r="H547" s="9">
        <f t="shared" si="8"/>
        <v>300.43428571428569</v>
      </c>
    </row>
    <row r="548" spans="1:8" x14ac:dyDescent="0.3">
      <c r="A548">
        <v>119</v>
      </c>
      <c r="B548" s="316">
        <v>46170.818749999999</v>
      </c>
      <c r="C548">
        <v>612099</v>
      </c>
      <c r="D548" t="s">
        <v>1352</v>
      </c>
      <c r="E548" t="s">
        <v>1437</v>
      </c>
      <c r="F548" s="10">
        <v>30.043428571428571</v>
      </c>
      <c r="G548" s="10">
        <v>0</v>
      </c>
      <c r="H548" s="9">
        <f t="shared" si="8"/>
        <v>-30.043428571428571</v>
      </c>
    </row>
    <row r="549" spans="1:8" x14ac:dyDescent="0.3">
      <c r="A549">
        <v>119</v>
      </c>
      <c r="B549" s="316">
        <v>46170.818749999999</v>
      </c>
      <c r="C549">
        <v>250505</v>
      </c>
      <c r="D549" t="s">
        <v>1420</v>
      </c>
      <c r="E549" t="s">
        <v>1438</v>
      </c>
      <c r="F549" s="10">
        <v>0</v>
      </c>
      <c r="G549" s="10">
        <v>30.043428571428571</v>
      </c>
      <c r="H549" s="9">
        <f t="shared" si="8"/>
        <v>30.043428571428571</v>
      </c>
    </row>
    <row r="550" spans="1:8" x14ac:dyDescent="0.3">
      <c r="A550">
        <v>119</v>
      </c>
      <c r="B550" s="316">
        <v>46171.768055555556</v>
      </c>
      <c r="C550">
        <v>612099</v>
      </c>
      <c r="D550" t="s">
        <v>1352</v>
      </c>
      <c r="E550" t="s">
        <v>1439</v>
      </c>
      <c r="F550" s="10">
        <v>656.7725714285715</v>
      </c>
      <c r="G550" s="10">
        <v>0</v>
      </c>
      <c r="H550" s="9">
        <f t="shared" si="8"/>
        <v>-656.7725714285715</v>
      </c>
    </row>
    <row r="551" spans="1:8" x14ac:dyDescent="0.3">
      <c r="A551">
        <v>119</v>
      </c>
      <c r="B551" s="316">
        <v>46171.768055555556</v>
      </c>
      <c r="C551">
        <v>233525</v>
      </c>
      <c r="D551" t="s">
        <v>1373</v>
      </c>
      <c r="E551" t="s">
        <v>1440</v>
      </c>
      <c r="F551" s="10">
        <v>0</v>
      </c>
      <c r="G551" s="10">
        <v>656.7725714285715</v>
      </c>
      <c r="H551" s="9">
        <f t="shared" si="8"/>
        <v>656.7725714285715</v>
      </c>
    </row>
    <row r="552" spans="1:8" x14ac:dyDescent="0.3">
      <c r="A552">
        <v>120</v>
      </c>
      <c r="B552" s="316">
        <v>46171.768055555556</v>
      </c>
      <c r="C552">
        <v>710505</v>
      </c>
      <c r="D552" t="s">
        <v>1372</v>
      </c>
      <c r="E552" t="s">
        <v>1927</v>
      </c>
      <c r="F552" s="10">
        <v>6105.5820019047615</v>
      </c>
      <c r="G552" s="10">
        <v>0</v>
      </c>
      <c r="H552" s="9">
        <f t="shared" si="8"/>
        <v>-6105.5820019047615</v>
      </c>
    </row>
    <row r="553" spans="1:8" x14ac:dyDescent="0.3">
      <c r="A553">
        <v>120</v>
      </c>
      <c r="B553" s="316">
        <v>46171.768055555556</v>
      </c>
      <c r="C553">
        <v>140505</v>
      </c>
      <c r="D553" t="s">
        <v>1353</v>
      </c>
      <c r="E553" t="s">
        <v>1927</v>
      </c>
      <c r="F553" s="10">
        <v>0</v>
      </c>
      <c r="G553" s="10">
        <v>6105.5820019047615</v>
      </c>
      <c r="H553" s="9">
        <f t="shared" si="8"/>
        <v>6105.5820019047615</v>
      </c>
    </row>
    <row r="554" spans="1:8" x14ac:dyDescent="0.3">
      <c r="A554">
        <v>120</v>
      </c>
      <c r="B554" s="316">
        <v>46171.768055555556</v>
      </c>
      <c r="C554">
        <v>710505</v>
      </c>
      <c r="D554" t="s">
        <v>1372</v>
      </c>
      <c r="E554" t="s">
        <v>1928</v>
      </c>
      <c r="F554" s="10">
        <v>610.55820019047621</v>
      </c>
      <c r="G554" s="10">
        <v>0</v>
      </c>
      <c r="H554" s="9">
        <f t="shared" si="8"/>
        <v>-610.55820019047621</v>
      </c>
    </row>
    <row r="555" spans="1:8" x14ac:dyDescent="0.3">
      <c r="A555">
        <v>120</v>
      </c>
      <c r="B555" s="316">
        <v>46171.768055555556</v>
      </c>
      <c r="C555">
        <v>250505</v>
      </c>
      <c r="D555" t="s">
        <v>1420</v>
      </c>
      <c r="E555" t="s">
        <v>1929</v>
      </c>
      <c r="F555" s="10">
        <v>0</v>
      </c>
      <c r="G555" s="10">
        <v>610.55820019047621</v>
      </c>
      <c r="H555" s="9">
        <f t="shared" si="8"/>
        <v>610.55820019047621</v>
      </c>
    </row>
    <row r="556" spans="1:8" x14ac:dyDescent="0.3">
      <c r="A556">
        <v>120</v>
      </c>
      <c r="B556" s="316">
        <v>46171.768055555556</v>
      </c>
      <c r="C556">
        <v>710505</v>
      </c>
      <c r="D556" t="s">
        <v>1372</v>
      </c>
      <c r="E556" t="s">
        <v>1930</v>
      </c>
      <c r="F556" s="10">
        <v>4725.4737998095225</v>
      </c>
      <c r="G556" s="10">
        <v>0</v>
      </c>
      <c r="H556" s="9">
        <f t="shared" si="8"/>
        <v>-4725.4737998095225</v>
      </c>
    </row>
    <row r="557" spans="1:8" x14ac:dyDescent="0.3">
      <c r="A557">
        <v>120</v>
      </c>
      <c r="B557" s="316">
        <v>46171.768055555556</v>
      </c>
      <c r="C557">
        <v>233525</v>
      </c>
      <c r="D557" t="s">
        <v>1373</v>
      </c>
      <c r="E557" t="s">
        <v>1931</v>
      </c>
      <c r="F557" s="10">
        <v>0</v>
      </c>
      <c r="G557" s="10">
        <v>4725.4737998095225</v>
      </c>
      <c r="H557" s="9">
        <f t="shared" si="8"/>
        <v>4725.4737998095225</v>
      </c>
    </row>
    <row r="558" spans="1:8" x14ac:dyDescent="0.3">
      <c r="A558">
        <v>120</v>
      </c>
      <c r="B558" s="316">
        <v>46171.768055555556</v>
      </c>
      <c r="C558">
        <v>143005</v>
      </c>
      <c r="D558" t="s">
        <v>1370</v>
      </c>
      <c r="E558" t="s">
        <v>1932</v>
      </c>
      <c r="F558" s="10">
        <v>11441.61400190476</v>
      </c>
      <c r="G558" s="10">
        <v>0</v>
      </c>
      <c r="H558" s="9">
        <f t="shared" si="8"/>
        <v>-11441.61400190476</v>
      </c>
    </row>
    <row r="559" spans="1:8" x14ac:dyDescent="0.3">
      <c r="A559">
        <v>120</v>
      </c>
      <c r="B559" s="316">
        <v>46171.768055555556</v>
      </c>
      <c r="C559">
        <v>710505</v>
      </c>
      <c r="D559" t="s">
        <v>1372</v>
      </c>
      <c r="E559" t="s">
        <v>1933</v>
      </c>
      <c r="F559" s="10">
        <v>0</v>
      </c>
      <c r="G559" s="10">
        <v>11441.61400190476</v>
      </c>
      <c r="H559" s="9">
        <f t="shared" si="8"/>
        <v>11441.61400190476</v>
      </c>
    </row>
    <row r="560" spans="1:8" x14ac:dyDescent="0.3">
      <c r="A560">
        <v>121</v>
      </c>
      <c r="B560" s="70">
        <v>46240</v>
      </c>
      <c r="C560">
        <v>612099</v>
      </c>
      <c r="D560" t="s">
        <v>1352</v>
      </c>
      <c r="E560" t="s">
        <v>1417</v>
      </c>
      <c r="F560" s="10">
        <v>619.05024000000003</v>
      </c>
      <c r="G560" s="10">
        <v>0</v>
      </c>
    </row>
    <row r="561" spans="1:7" x14ac:dyDescent="0.3">
      <c r="A561">
        <v>121</v>
      </c>
      <c r="B561" s="70">
        <v>46240</v>
      </c>
      <c r="C561">
        <v>140505</v>
      </c>
      <c r="D561" t="s">
        <v>1353</v>
      </c>
      <c r="E561" t="s">
        <v>1418</v>
      </c>
      <c r="F561" s="10">
        <v>0</v>
      </c>
      <c r="G561" s="10">
        <v>619.05024000000003</v>
      </c>
    </row>
    <row r="562" spans="1:7" x14ac:dyDescent="0.3">
      <c r="A562">
        <v>121</v>
      </c>
      <c r="B562" s="70">
        <v>46240</v>
      </c>
      <c r="C562">
        <v>612099</v>
      </c>
      <c r="D562" t="s">
        <v>1352</v>
      </c>
      <c r="E562" t="s">
        <v>1419</v>
      </c>
      <c r="F562" s="10">
        <v>61.905024000000004</v>
      </c>
      <c r="G562" s="10">
        <v>0</v>
      </c>
    </row>
    <row r="563" spans="1:7" x14ac:dyDescent="0.3">
      <c r="A563">
        <v>121</v>
      </c>
      <c r="B563" s="70">
        <v>46240</v>
      </c>
      <c r="C563">
        <v>250505</v>
      </c>
      <c r="D563" t="s">
        <v>1420</v>
      </c>
      <c r="E563" t="s">
        <v>1421</v>
      </c>
      <c r="F563" s="10">
        <v>0</v>
      </c>
      <c r="G563" s="10">
        <v>61.905024000000004</v>
      </c>
    </row>
    <row r="564" spans="1:7" x14ac:dyDescent="0.3">
      <c r="A564">
        <v>121</v>
      </c>
      <c r="B564" s="70">
        <v>46240</v>
      </c>
      <c r="C564">
        <v>612099</v>
      </c>
      <c r="D564" t="s">
        <v>1352</v>
      </c>
      <c r="E564" t="s">
        <v>1422</v>
      </c>
      <c r="F564" s="10">
        <v>1245.6869760000002</v>
      </c>
      <c r="G564" s="10">
        <v>0</v>
      </c>
    </row>
    <row r="565" spans="1:7" x14ac:dyDescent="0.3">
      <c r="A565">
        <v>121</v>
      </c>
      <c r="B565" s="70">
        <v>46240</v>
      </c>
      <c r="C565">
        <v>233525</v>
      </c>
      <c r="D565" t="s">
        <v>1373</v>
      </c>
      <c r="E565" t="s">
        <v>1423</v>
      </c>
      <c r="F565" s="10">
        <v>0</v>
      </c>
      <c r="G565" s="10">
        <v>1245.6869760000002</v>
      </c>
    </row>
    <row r="566" spans="1:7" x14ac:dyDescent="0.3">
      <c r="A566">
        <v>122</v>
      </c>
      <c r="B566" s="70">
        <v>46240</v>
      </c>
      <c r="C566">
        <v>612099</v>
      </c>
      <c r="D566" t="s">
        <v>1352</v>
      </c>
      <c r="E566" t="s">
        <v>1417</v>
      </c>
      <c r="F566" s="10">
        <v>297.60000000000002</v>
      </c>
      <c r="G566" s="10">
        <v>0</v>
      </c>
    </row>
    <row r="567" spans="1:7" x14ac:dyDescent="0.3">
      <c r="A567">
        <v>122</v>
      </c>
      <c r="B567" s="70">
        <v>46240</v>
      </c>
      <c r="C567">
        <v>140505</v>
      </c>
      <c r="D567" t="s">
        <v>1353</v>
      </c>
      <c r="E567" t="s">
        <v>1418</v>
      </c>
      <c r="F567" s="10">
        <v>0</v>
      </c>
      <c r="G567" s="10">
        <v>297.60000000000002</v>
      </c>
    </row>
    <row r="568" spans="1:7" x14ac:dyDescent="0.3">
      <c r="A568">
        <v>122</v>
      </c>
      <c r="B568" s="70">
        <v>46240</v>
      </c>
      <c r="C568">
        <v>612099</v>
      </c>
      <c r="D568" t="s">
        <v>1352</v>
      </c>
      <c r="E568" t="s">
        <v>1419</v>
      </c>
      <c r="F568" s="10">
        <v>29.760000000000005</v>
      </c>
      <c r="G568" s="10">
        <v>0</v>
      </c>
    </row>
    <row r="569" spans="1:7" x14ac:dyDescent="0.3">
      <c r="A569">
        <v>122</v>
      </c>
      <c r="B569" s="70">
        <v>46240</v>
      </c>
      <c r="C569">
        <v>250505</v>
      </c>
      <c r="D569" t="s">
        <v>1420</v>
      </c>
      <c r="E569" t="s">
        <v>1421</v>
      </c>
      <c r="F569" s="10">
        <v>0</v>
      </c>
      <c r="G569" s="10">
        <v>29.760000000000005</v>
      </c>
    </row>
    <row r="570" spans="1:7" x14ac:dyDescent="0.3">
      <c r="A570">
        <v>122</v>
      </c>
      <c r="B570" s="70">
        <v>46240</v>
      </c>
      <c r="C570">
        <v>612099</v>
      </c>
      <c r="D570" t="s">
        <v>1352</v>
      </c>
      <c r="E570" t="s">
        <v>1422</v>
      </c>
      <c r="F570" s="10">
        <v>683.47200000000009</v>
      </c>
      <c r="G570" s="10">
        <v>0</v>
      </c>
    </row>
    <row r="571" spans="1:7" x14ac:dyDescent="0.3">
      <c r="A571">
        <v>122</v>
      </c>
      <c r="B571" s="70">
        <v>46240</v>
      </c>
      <c r="C571">
        <v>233525</v>
      </c>
      <c r="D571" t="s">
        <v>1373</v>
      </c>
      <c r="E571" t="s">
        <v>1423</v>
      </c>
      <c r="F571" s="10">
        <v>0</v>
      </c>
      <c r="G571" s="10">
        <v>683.47200000000009</v>
      </c>
    </row>
  </sheetData>
  <autoFilter ref="A1:G537" xr:uid="{4D0C3BD5-4FE5-4420-BA67-05B20DF11414}">
    <sortState xmlns:xlrd2="http://schemas.microsoft.com/office/spreadsheetml/2017/richdata2" ref="A2:G413">
      <sortCondition ref="B1:B413"/>
    </sortState>
  </autoFilter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C681-8874-419C-B0B4-8CCF50C5D2CD}">
  <sheetPr codeName="Hoja30"/>
  <dimension ref="A2:AD51"/>
  <sheetViews>
    <sheetView workbookViewId="0">
      <selection activeCell="A43" sqref="A43"/>
    </sheetView>
  </sheetViews>
  <sheetFormatPr baseColWidth="10" defaultRowHeight="14.4" x14ac:dyDescent="0.3"/>
  <cols>
    <col min="3" max="5" width="14.44140625" bestFit="1" customWidth="1"/>
    <col min="8" max="8" width="14.44140625" bestFit="1" customWidth="1"/>
    <col min="9" max="9" width="12.88671875" bestFit="1" customWidth="1"/>
    <col min="10" max="10" width="14.44140625" bestFit="1" customWidth="1"/>
    <col min="13" max="14" width="12.88671875" bestFit="1" customWidth="1"/>
    <col min="15" max="15" width="12.77734375" bestFit="1" customWidth="1"/>
    <col min="18" max="18" width="14.44140625" bestFit="1" customWidth="1"/>
    <col min="19" max="19" width="11.77734375" bestFit="1" customWidth="1"/>
    <col min="20" max="20" width="14.44140625" bestFit="1" customWidth="1"/>
    <col min="23" max="23" width="12.77734375" bestFit="1" customWidth="1"/>
    <col min="24" max="25" width="14.44140625" bestFit="1" customWidth="1"/>
    <col min="28" max="28" width="14.33203125" bestFit="1" customWidth="1"/>
    <col min="29" max="29" width="11.88671875" bestFit="1" customWidth="1"/>
    <col min="30" max="30" width="14.33203125" bestFit="1" customWidth="1"/>
  </cols>
  <sheetData>
    <row r="2" spans="1:30" x14ac:dyDescent="0.3">
      <c r="B2" s="358">
        <v>1105</v>
      </c>
      <c r="C2" s="443" t="s">
        <v>1360</v>
      </c>
      <c r="D2" s="443"/>
      <c r="E2" s="443"/>
      <c r="G2" s="358">
        <v>1405</v>
      </c>
      <c r="H2" s="443" t="s">
        <v>1363</v>
      </c>
      <c r="I2" s="443"/>
      <c r="J2" s="443"/>
      <c r="L2" s="358">
        <v>1430</v>
      </c>
      <c r="M2" s="443" t="s">
        <v>1371</v>
      </c>
      <c r="N2" s="443"/>
      <c r="O2" s="443"/>
      <c r="Q2" s="358">
        <v>1520</v>
      </c>
      <c r="R2" s="443" t="s">
        <v>1327</v>
      </c>
      <c r="S2" s="443"/>
      <c r="T2" s="443"/>
      <c r="V2" s="358">
        <v>2335</v>
      </c>
      <c r="W2" s="443" t="s">
        <v>1373</v>
      </c>
      <c r="X2" s="443"/>
      <c r="Y2" s="443"/>
      <c r="AA2" s="358">
        <v>2505</v>
      </c>
      <c r="AB2" s="443" t="s">
        <v>1695</v>
      </c>
      <c r="AC2" s="443"/>
      <c r="AD2" s="443"/>
    </row>
    <row r="3" spans="1:30" x14ac:dyDescent="0.3">
      <c r="B3">
        <v>110505</v>
      </c>
      <c r="C3" s="359" t="s">
        <v>1314</v>
      </c>
      <c r="G3">
        <v>140505</v>
      </c>
      <c r="H3" s="359" t="s">
        <v>1353</v>
      </c>
      <c r="L3">
        <v>143005</v>
      </c>
      <c r="Q3">
        <v>152005</v>
      </c>
      <c r="V3">
        <v>233525</v>
      </c>
      <c r="AA3">
        <v>250505</v>
      </c>
    </row>
    <row r="4" spans="1:30" x14ac:dyDescent="0.3">
      <c r="C4" t="s">
        <v>645</v>
      </c>
      <c r="D4" t="s">
        <v>646</v>
      </c>
      <c r="E4" t="s">
        <v>1912</v>
      </c>
      <c r="H4" t="s">
        <v>645</v>
      </c>
      <c r="I4" t="s">
        <v>646</v>
      </c>
      <c r="J4" t="s">
        <v>1912</v>
      </c>
      <c r="M4" t="s">
        <v>645</v>
      </c>
      <c r="N4" t="s">
        <v>646</v>
      </c>
      <c r="O4" t="s">
        <v>1912</v>
      </c>
      <c r="R4" t="s">
        <v>645</v>
      </c>
      <c r="S4" t="s">
        <v>646</v>
      </c>
      <c r="T4" t="s">
        <v>1912</v>
      </c>
      <c r="W4" t="s">
        <v>645</v>
      </c>
      <c r="X4" t="s">
        <v>646</v>
      </c>
      <c r="Y4" t="s">
        <v>1912</v>
      </c>
      <c r="AB4" t="s">
        <v>645</v>
      </c>
      <c r="AC4" t="s">
        <v>646</v>
      </c>
      <c r="AD4" t="s">
        <v>1912</v>
      </c>
    </row>
    <row r="5" spans="1:30" s="12" customFormat="1" x14ac:dyDescent="0.3">
      <c r="A5" s="12" t="s">
        <v>1900</v>
      </c>
      <c r="C5" s="12">
        <f>SUMIFS(Libro_Diario_Mayor!$F:$F, Libro_Diario_Mayor!$C:$C, B$3, Libro_Diario_Mayor!$B:$B, "&gt;="&amp;DATE(2026, MONTH(1&amp;$A5), 1), Libro_Diario_Mayor!$B:$B, "&lt;"&amp;DATE(2026, MONTH(1&amp;$A5)+1, 1))</f>
        <v>0</v>
      </c>
      <c r="D5" s="12">
        <f>SUMIFS(Libro_Diario_Mayor!$G:$G, Libro_Diario_Mayor!$C:$C, B$3, Libro_Diario_Mayor!$B:$B, "&gt;="&amp;DATE(2026, MONTH(1&amp;$A5), 1), Libro_Diario_Mayor!$B:$B, "&lt;"&amp;DATE(2026, MONTH(1&amp;$A5)+1, 1))</f>
        <v>0</v>
      </c>
      <c r="E5" s="12">
        <f>+C5-D5</f>
        <v>0</v>
      </c>
      <c r="H5" s="12">
        <f>SUMIFS(Libro_Diario_Mayor!$F:$F, Libro_Diario_Mayor!$C:$C, G$3, Libro_Diario_Mayor!$B:$B, "&gt;="&amp;DATE(2026, MONTH(1&amp;$A5), 1), Libro_Diario_Mayor!$B:$B, "&lt;"&amp;DATE(2026, MONTH(1&amp;$A5)+1, 1))</f>
        <v>0</v>
      </c>
      <c r="I5" s="12">
        <f>SUMIFS(Libro_Diario_Mayor!$G:$G, Libro_Diario_Mayor!$C:$C, G$3, Libro_Diario_Mayor!$B:$B, "&gt;="&amp;DATE(2026, MONTH(1&amp;$A5), 1), Libro_Diario_Mayor!$B:$B, "&lt;"&amp;DATE(2026, MONTH(1&amp;$A5)+1, 1))</f>
        <v>0</v>
      </c>
      <c r="J5" s="12">
        <f>+H5-I5</f>
        <v>0</v>
      </c>
      <c r="M5" s="12">
        <f>SUMIFS(Libro_Diario_Mayor!$F:$F, Libro_Diario_Mayor!$C:$C, L$3, Libro_Diario_Mayor!$B:$B, "&gt;="&amp;DATE(2026, MONTH(1&amp;$A5), 1), Libro_Diario_Mayor!$B:$B, "&lt;"&amp;DATE(2026, MONTH(1&amp;$A5)+1, 1))</f>
        <v>0</v>
      </c>
      <c r="N5" s="12">
        <f>SUMIFS(Libro_Diario_Mayor!$G:$G, Libro_Diario_Mayor!$C:$C, L$3, Libro_Diario_Mayor!$B:$B, "&gt;="&amp;DATE(2026, MONTH(1&amp;$A5), 1), Libro_Diario_Mayor!$B:$B, "&lt;"&amp;DATE(2026, MONTH(1&amp;$A5)+1, 1))</f>
        <v>0</v>
      </c>
      <c r="O5" s="12">
        <f>+M5-N5</f>
        <v>0</v>
      </c>
      <c r="R5" s="12">
        <f>SUMIFS(Libro_Diario_Mayor!$F:$F, Libro_Diario_Mayor!$C:$C, Q$3, Libro_Diario_Mayor!$B:$B, "&gt;="&amp;DATE(2026, MONTH(1&amp;$A5), 1), Libro_Diario_Mayor!$B:$B, "&lt;"&amp;DATE(2026, MONTH(1&amp;$A5)+1, 1))</f>
        <v>0</v>
      </c>
      <c r="S5" s="12">
        <f>SUMIFS(Libro_Diario_Mayor!$G:$G, Libro_Diario_Mayor!$C:$C, Q$3, Libro_Diario_Mayor!$B:$B, "&gt;="&amp;DATE(2026, MONTH(1&amp;$A5), 1), Libro_Diario_Mayor!$B:$B, "&lt;"&amp;DATE(2026, MONTH(1&amp;$A5)+1, 1))</f>
        <v>0</v>
      </c>
      <c r="T5" s="12">
        <f>+R5-S5</f>
        <v>0</v>
      </c>
      <c r="W5" s="12">
        <f>SUMIFS(Libro_Diario_Mayor!$F:$F, Libro_Diario_Mayor!$C:$C, V$3, Libro_Diario_Mayor!$B:$B, "&gt;="&amp;DATE(2026, MONTH(1&amp;$A5), 1), Libro_Diario_Mayor!$B:$B, "&lt;"&amp;DATE(2026, MONTH(1&amp;$A5)+1, 1))</f>
        <v>0</v>
      </c>
      <c r="X5" s="12">
        <f>SUMIFS(Libro_Diario_Mayor!$G:$G, Libro_Diario_Mayor!$C:$C, V$3, Libro_Diario_Mayor!$B:$B, "&gt;="&amp;DATE(2026, MONTH(1&amp;$A5), 1), Libro_Diario_Mayor!$B:$B, "&lt;"&amp;DATE(2026, MONTH(1&amp;$A5)+1, 1))</f>
        <v>0</v>
      </c>
      <c r="Y5" s="12">
        <f>+W5-X5</f>
        <v>0</v>
      </c>
      <c r="AB5" s="12">
        <f>SUMIFS(Libro_Diario_Mayor!$F:$F, Libro_Diario_Mayor!$C:$C, AA$3, Libro_Diario_Mayor!$B:$B, "&gt;="&amp;DATE(2026, MONTH(1&amp;$A5), 1), Libro_Diario_Mayor!$B:$B, "&lt;"&amp;DATE(2026, MONTH(1&amp;$A5)+1, 1))</f>
        <v>0</v>
      </c>
      <c r="AC5" s="12">
        <f>SUMIFS(Libro_Diario_Mayor!$G:$G, Libro_Diario_Mayor!$C:$C, AA$3, Libro_Diario_Mayor!$B:$B, "&gt;="&amp;DATE(2026, MONTH(1&amp;$A5), 1), Libro_Diario_Mayor!$B:$B, "&lt;"&amp;DATE(2026, MONTH(1&amp;$A5)+1, 1))</f>
        <v>0</v>
      </c>
      <c r="AD5" s="12">
        <f>+AB5-AC5</f>
        <v>0</v>
      </c>
    </row>
    <row r="6" spans="1:30" s="12" customFormat="1" x14ac:dyDescent="0.3">
      <c r="A6" s="12" t="s">
        <v>1901</v>
      </c>
      <c r="C6" s="12">
        <f>SUMIFS(Libro_Diario_Mayor!$F:$F, Libro_Diario_Mayor!$C:$C, B$3, Libro_Diario_Mayor!$B:$B, "&gt;="&amp;DATE(2026, MONTH(1&amp;$A6), 1), Libro_Diario_Mayor!$B:$B, "&lt;"&amp;DATE(2026, MONTH(1&amp;$A6)+1, 1))</f>
        <v>0</v>
      </c>
      <c r="D6" s="12">
        <f>SUMIFS(Libro_Diario_Mayor!$G:$G, Libro_Diario_Mayor!$C:$C, B$3, Libro_Diario_Mayor!$B:$B, "&gt;="&amp;DATE(2026, MONTH(1&amp;$A6), 1), Libro_Diario_Mayor!$B:$B, "&lt;"&amp;DATE(2026, MONTH(1&amp;$A6)+1, 1))</f>
        <v>0</v>
      </c>
      <c r="E6" s="12">
        <f t="shared" ref="E6:E16" si="0">+C6-D6</f>
        <v>0</v>
      </c>
      <c r="H6" s="12">
        <f>SUMIFS(Libro_Diario_Mayor!$F:$F, Libro_Diario_Mayor!$C:$C, G$3, Libro_Diario_Mayor!$B:$B, "&gt;="&amp;DATE(2026, MONTH(1&amp;$A6), 1), Libro_Diario_Mayor!$B:$B, "&lt;"&amp;DATE(2026, MONTH(1&amp;$A6)+1, 1))</f>
        <v>0</v>
      </c>
      <c r="I6" s="12">
        <f>SUMIFS(Libro_Diario_Mayor!$G:$G, Libro_Diario_Mayor!$C:$C, G$3, Libro_Diario_Mayor!$B:$B, "&gt;="&amp;DATE(2026, MONTH(1&amp;$A6), 1), Libro_Diario_Mayor!$B:$B, "&lt;"&amp;DATE(2026, MONTH(1&amp;$A6)+1, 1))</f>
        <v>0</v>
      </c>
      <c r="J6" s="12">
        <f t="shared" ref="J6:J16" si="1">+H6-I6</f>
        <v>0</v>
      </c>
      <c r="M6" s="12">
        <f>SUMIFS(Libro_Diario_Mayor!$F:$F, Libro_Diario_Mayor!$C:$C, L$3, Libro_Diario_Mayor!$B:$B, "&gt;="&amp;DATE(2026, MONTH(1&amp;$A6), 1), Libro_Diario_Mayor!$B:$B, "&lt;"&amp;DATE(2026, MONTH(1&amp;$A6)+1, 1))</f>
        <v>0</v>
      </c>
      <c r="N6" s="12">
        <f>SUMIFS(Libro_Diario_Mayor!$G:$G, Libro_Diario_Mayor!$C:$C, L$3, Libro_Diario_Mayor!$B:$B, "&gt;="&amp;DATE(2026, MONTH(1&amp;$A6), 1), Libro_Diario_Mayor!$B:$B, "&lt;"&amp;DATE(2026, MONTH(1&amp;$A6)+1, 1))</f>
        <v>0</v>
      </c>
      <c r="O6" s="12">
        <f t="shared" ref="O6:O16" si="2">+M6-N6</f>
        <v>0</v>
      </c>
      <c r="R6" s="12">
        <f>SUMIFS(Libro_Diario_Mayor!$F:$F, Libro_Diario_Mayor!$C:$C, Q$3, Libro_Diario_Mayor!$B:$B, "&gt;="&amp;DATE(2026, MONTH(1&amp;$A6), 1), Libro_Diario_Mayor!$B:$B, "&lt;"&amp;DATE(2026, MONTH(1&amp;$A6)+1, 1))</f>
        <v>0</v>
      </c>
      <c r="S6" s="12">
        <f>SUMIFS(Libro_Diario_Mayor!$G:$G, Libro_Diario_Mayor!$C:$C, Q$3, Libro_Diario_Mayor!$B:$B, "&gt;="&amp;DATE(2026, MONTH(1&amp;$A6), 1), Libro_Diario_Mayor!$B:$B, "&lt;"&amp;DATE(2026, MONTH(1&amp;$A6)+1, 1))</f>
        <v>0</v>
      </c>
      <c r="T6" s="12">
        <f t="shared" ref="T6:T16" si="3">+R6-S6</f>
        <v>0</v>
      </c>
      <c r="W6" s="12">
        <f>SUMIFS(Libro_Diario_Mayor!$F:$F, Libro_Diario_Mayor!$C:$C, V$3, Libro_Diario_Mayor!$B:$B, "&gt;="&amp;DATE(2026, MONTH(1&amp;$A6), 1), Libro_Diario_Mayor!$B:$B, "&lt;"&amp;DATE(2026, MONTH(1&amp;$A6)+1, 1))</f>
        <v>0</v>
      </c>
      <c r="X6" s="12">
        <f>SUMIFS(Libro_Diario_Mayor!$G:$G, Libro_Diario_Mayor!$C:$C, V$3, Libro_Diario_Mayor!$B:$B, "&gt;="&amp;DATE(2026, MONTH(1&amp;$A6), 1), Libro_Diario_Mayor!$B:$B, "&lt;"&amp;DATE(2026, MONTH(1&amp;$A6)+1, 1))</f>
        <v>0</v>
      </c>
      <c r="Y6" s="12">
        <f t="shared" ref="Y6:Y16" si="4">+W6-X6</f>
        <v>0</v>
      </c>
      <c r="AB6" s="12">
        <f>SUMIFS(Libro_Diario_Mayor!$F:$F, Libro_Diario_Mayor!$C:$C, AA$3, Libro_Diario_Mayor!$B:$B, "&gt;="&amp;DATE(2026, MONTH(1&amp;$A6), 1), Libro_Diario_Mayor!$B:$B, "&lt;"&amp;DATE(2026, MONTH(1&amp;$A6)+1, 1))</f>
        <v>0</v>
      </c>
      <c r="AC6" s="12">
        <f>SUMIFS(Libro_Diario_Mayor!$G:$G, Libro_Diario_Mayor!$C:$C, AA$3, Libro_Diario_Mayor!$B:$B, "&gt;="&amp;DATE(2026, MONTH(1&amp;$A6), 1), Libro_Diario_Mayor!$B:$B, "&lt;"&amp;DATE(2026, MONTH(1&amp;$A6)+1, 1))</f>
        <v>0</v>
      </c>
      <c r="AD6" s="12">
        <f t="shared" ref="AD6:AD16" si="5">+AB6-AC6</f>
        <v>0</v>
      </c>
    </row>
    <row r="7" spans="1:30" s="12" customFormat="1" x14ac:dyDescent="0.3">
      <c r="A7" s="12" t="s">
        <v>1902</v>
      </c>
      <c r="C7" s="12">
        <f>SUMIFS(Libro_Diario_Mayor!$F:$F, Libro_Diario_Mayor!$C:$C, B$3, Libro_Diario_Mayor!$B:$B, "&gt;="&amp;DATE(2026, MONTH(1&amp;$A7), 1), Libro_Diario_Mayor!$B:$B, "&lt;"&amp;DATE(2026, MONTH(1&amp;$A7)+1, 1))</f>
        <v>0</v>
      </c>
      <c r="D7" s="12">
        <f>SUMIFS(Libro_Diario_Mayor!$G:$G, Libro_Diario_Mayor!$C:$C, B$3, Libro_Diario_Mayor!$B:$B, "&gt;="&amp;DATE(2026, MONTH(1&amp;$A7), 1), Libro_Diario_Mayor!$B:$B, "&lt;"&amp;DATE(2026, MONTH(1&amp;$A7)+1, 1))</f>
        <v>0</v>
      </c>
      <c r="E7" s="12">
        <f t="shared" si="0"/>
        <v>0</v>
      </c>
      <c r="H7" s="12">
        <f>SUMIFS(Libro_Diario_Mayor!$F:$F, Libro_Diario_Mayor!$C:$C, G$3, Libro_Diario_Mayor!$B:$B, "&gt;="&amp;DATE(2026, MONTH(1&amp;$A7), 1), Libro_Diario_Mayor!$B:$B, "&lt;"&amp;DATE(2026, MONTH(1&amp;$A7)+1, 1))</f>
        <v>0</v>
      </c>
      <c r="I7" s="12">
        <f>SUMIFS(Libro_Diario_Mayor!$G:$G, Libro_Diario_Mayor!$C:$C, G$3, Libro_Diario_Mayor!$B:$B, "&gt;="&amp;DATE(2026, MONTH(1&amp;$A7), 1), Libro_Diario_Mayor!$B:$B, "&lt;"&amp;DATE(2026, MONTH(1&amp;$A7)+1, 1))</f>
        <v>0</v>
      </c>
      <c r="J7" s="12">
        <f t="shared" si="1"/>
        <v>0</v>
      </c>
      <c r="M7" s="12">
        <f>SUMIFS(Libro_Diario_Mayor!$F:$F, Libro_Diario_Mayor!$C:$C, L$3, Libro_Diario_Mayor!$B:$B, "&gt;="&amp;DATE(2026, MONTH(1&amp;$A7), 1), Libro_Diario_Mayor!$B:$B, "&lt;"&amp;DATE(2026, MONTH(1&amp;$A7)+1, 1))</f>
        <v>0</v>
      </c>
      <c r="N7" s="12">
        <f>SUMIFS(Libro_Diario_Mayor!$G:$G, Libro_Diario_Mayor!$C:$C, L$3, Libro_Diario_Mayor!$B:$B, "&gt;="&amp;DATE(2026, MONTH(1&amp;$A7), 1), Libro_Diario_Mayor!$B:$B, "&lt;"&amp;DATE(2026, MONTH(1&amp;$A7)+1, 1))</f>
        <v>0</v>
      </c>
      <c r="O7" s="12">
        <f t="shared" si="2"/>
        <v>0</v>
      </c>
      <c r="R7" s="12">
        <f>SUMIFS(Libro_Diario_Mayor!$F:$F, Libro_Diario_Mayor!$C:$C, Q$3, Libro_Diario_Mayor!$B:$B, "&gt;="&amp;DATE(2026, MONTH(1&amp;$A7), 1), Libro_Diario_Mayor!$B:$B, "&lt;"&amp;DATE(2026, MONTH(1&amp;$A7)+1, 1))</f>
        <v>0</v>
      </c>
      <c r="S7" s="12">
        <f>SUMIFS(Libro_Diario_Mayor!$G:$G, Libro_Diario_Mayor!$C:$C, Q$3, Libro_Diario_Mayor!$B:$B, "&gt;="&amp;DATE(2026, MONTH(1&amp;$A7), 1), Libro_Diario_Mayor!$B:$B, "&lt;"&amp;DATE(2026, MONTH(1&amp;$A7)+1, 1))</f>
        <v>0</v>
      </c>
      <c r="T7" s="12">
        <f t="shared" si="3"/>
        <v>0</v>
      </c>
      <c r="W7" s="12">
        <f>SUMIFS(Libro_Diario_Mayor!$F:$F, Libro_Diario_Mayor!$C:$C, V$3, Libro_Diario_Mayor!$B:$B, "&gt;="&amp;DATE(2026, MONTH(1&amp;$A7), 1), Libro_Diario_Mayor!$B:$B, "&lt;"&amp;DATE(2026, MONTH(1&amp;$A7)+1, 1))</f>
        <v>0</v>
      </c>
      <c r="X7" s="12">
        <f>SUMIFS(Libro_Diario_Mayor!$G:$G, Libro_Diario_Mayor!$C:$C, V$3, Libro_Diario_Mayor!$B:$B, "&gt;="&amp;DATE(2026, MONTH(1&amp;$A7), 1), Libro_Diario_Mayor!$B:$B, "&lt;"&amp;DATE(2026, MONTH(1&amp;$A7)+1, 1))</f>
        <v>0</v>
      </c>
      <c r="Y7" s="12">
        <f t="shared" si="4"/>
        <v>0</v>
      </c>
      <c r="AB7" s="12">
        <f>SUMIFS(Libro_Diario_Mayor!$F:$F, Libro_Diario_Mayor!$C:$C, AA$3, Libro_Diario_Mayor!$B:$B, "&gt;="&amp;DATE(2026, MONTH(1&amp;$A7), 1), Libro_Diario_Mayor!$B:$B, "&lt;"&amp;DATE(2026, MONTH(1&amp;$A7)+1, 1))</f>
        <v>0</v>
      </c>
      <c r="AC7" s="12">
        <f>SUMIFS(Libro_Diario_Mayor!$G:$G, Libro_Diario_Mayor!$C:$C, AA$3, Libro_Diario_Mayor!$B:$B, "&gt;="&amp;DATE(2026, MONTH(1&amp;$A7), 1), Libro_Diario_Mayor!$B:$B, "&lt;"&amp;DATE(2026, MONTH(1&amp;$A7)+1, 1))</f>
        <v>0</v>
      </c>
      <c r="AD7" s="12">
        <f t="shared" si="5"/>
        <v>0</v>
      </c>
    </row>
    <row r="8" spans="1:30" s="12" customFormat="1" x14ac:dyDescent="0.3">
      <c r="A8" s="12" t="s">
        <v>1903</v>
      </c>
      <c r="C8" s="12">
        <f>SUMIFS(Libro_Diario_Mayor!$F:$F, Libro_Diario_Mayor!$C:$C, B$3, Libro_Diario_Mayor!$B:$B, "&gt;="&amp;DATE(2026, MONTH(1&amp;$A8), 1), Libro_Diario_Mayor!$B:$B, "&lt;"&amp;DATE(2026, MONTH(1&amp;$A8)+1, 1))</f>
        <v>6465225</v>
      </c>
      <c r="D8" s="12">
        <f>SUMIFS(Libro_Diario_Mayor!$G:$G, Libro_Diario_Mayor!$C:$C, B$3, Libro_Diario_Mayor!$B:$B, "&gt;="&amp;DATE(2026, MONTH(1&amp;$A8), 1), Libro_Diario_Mayor!$B:$B, "&lt;"&amp;DATE(2026, MONTH(1&amp;$A8)+1, 1))</f>
        <v>4832000</v>
      </c>
      <c r="E8" s="12">
        <f t="shared" si="0"/>
        <v>1633225</v>
      </c>
      <c r="H8" s="12">
        <f>SUMIFS(Libro_Diario_Mayor!$F:$F, Libro_Diario_Mayor!$C:$C, G$3, Libro_Diario_Mayor!$B:$B, "&gt;="&amp;DATE(2026, MONTH(1&amp;$A8), 1), Libro_Diario_Mayor!$B:$B, "&lt;"&amp;DATE(2026, MONTH(1&amp;$A8)+1, 1))</f>
        <v>1120000</v>
      </c>
      <c r="I8" s="12">
        <f>SUMIFS(Libro_Diario_Mayor!$G:$G, Libro_Diario_Mayor!$C:$C, G$3, Libro_Diario_Mayor!$B:$B, "&gt;="&amp;DATE(2026, MONTH(1&amp;$A8), 1), Libro_Diario_Mayor!$B:$B, "&lt;"&amp;DATE(2026, MONTH(1&amp;$A8)+1, 1))</f>
        <v>0</v>
      </c>
      <c r="J8" s="12">
        <f t="shared" si="1"/>
        <v>1120000</v>
      </c>
      <c r="M8" s="12">
        <f>SUMIFS(Libro_Diario_Mayor!$F:$F, Libro_Diario_Mayor!$C:$C, L$3, Libro_Diario_Mayor!$B:$B, "&gt;="&amp;DATE(2026, MONTH(1&amp;$A8), 1), Libro_Diario_Mayor!$B:$B, "&lt;"&amp;DATE(2026, MONTH(1&amp;$A8)+1, 1))</f>
        <v>0</v>
      </c>
      <c r="N8" s="12">
        <f>SUMIFS(Libro_Diario_Mayor!$G:$G, Libro_Diario_Mayor!$C:$C, L$3, Libro_Diario_Mayor!$B:$B, "&gt;="&amp;DATE(2026, MONTH(1&amp;$A8), 1), Libro_Diario_Mayor!$B:$B, "&lt;"&amp;DATE(2026, MONTH(1&amp;$A8)+1, 1))</f>
        <v>0</v>
      </c>
      <c r="O8" s="12">
        <f t="shared" si="2"/>
        <v>0</v>
      </c>
      <c r="R8" s="12">
        <f>SUMIFS(Libro_Diario_Mayor!$F:$F, Libro_Diario_Mayor!$C:$C, Q$3, Libro_Diario_Mayor!$B:$B, "&gt;="&amp;DATE(2026, MONTH(1&amp;$A8), 1), Libro_Diario_Mayor!$B:$B, "&lt;"&amp;DATE(2026, MONTH(1&amp;$A8)+1, 1))</f>
        <v>3630000</v>
      </c>
      <c r="S8" s="12">
        <f>SUMIFS(Libro_Diario_Mayor!$G:$G, Libro_Diario_Mayor!$C:$C, Q$3, Libro_Diario_Mayor!$B:$B, "&gt;="&amp;DATE(2026, MONTH(1&amp;$A8), 1), Libro_Diario_Mayor!$B:$B, "&lt;"&amp;DATE(2026, MONTH(1&amp;$A8)+1, 1))</f>
        <v>0</v>
      </c>
      <c r="T8" s="12">
        <f t="shared" si="3"/>
        <v>3630000</v>
      </c>
      <c r="W8" s="12">
        <f>SUMIFS(Libro_Diario_Mayor!$F:$F, Libro_Diario_Mayor!$C:$C, V$3, Libro_Diario_Mayor!$B:$B, "&gt;="&amp;DATE(2026, MONTH(1&amp;$A8), 1), Libro_Diario_Mayor!$B:$B, "&lt;"&amp;DATE(2026, MONTH(1&amp;$A8)+1, 1))</f>
        <v>0</v>
      </c>
      <c r="X8" s="12">
        <f>SUMIFS(Libro_Diario_Mayor!$G:$G, Libro_Diario_Mayor!$C:$C, V$3, Libro_Diario_Mayor!$B:$B, "&gt;="&amp;DATE(2026, MONTH(1&amp;$A8), 1), Libro_Diario_Mayor!$B:$B, "&lt;"&amp;DATE(2026, MONTH(1&amp;$A8)+1, 1))</f>
        <v>1120000</v>
      </c>
      <c r="Y8" s="12">
        <f t="shared" si="4"/>
        <v>-1120000</v>
      </c>
      <c r="AB8" s="12">
        <f>SUMIFS(Libro_Diario_Mayor!$F:$F, Libro_Diario_Mayor!$C:$C, AA$3, Libro_Diario_Mayor!$B:$B, "&gt;="&amp;DATE(2026, MONTH(1&amp;$A8), 1), Libro_Diario_Mayor!$B:$B, "&lt;"&amp;DATE(2026, MONTH(1&amp;$A8)+1, 1))</f>
        <v>0</v>
      </c>
      <c r="AC8" s="12">
        <f>SUMIFS(Libro_Diario_Mayor!$G:$G, Libro_Diario_Mayor!$C:$C, AA$3, Libro_Diario_Mayor!$B:$B, "&gt;="&amp;DATE(2026, MONTH(1&amp;$A8), 1), Libro_Diario_Mayor!$B:$B, "&lt;"&amp;DATE(2026, MONTH(1&amp;$A8)+1, 1))</f>
        <v>0</v>
      </c>
      <c r="AD8" s="12">
        <f t="shared" si="5"/>
        <v>0</v>
      </c>
    </row>
    <row r="9" spans="1:30" s="12" customFormat="1" x14ac:dyDescent="0.3">
      <c r="A9" s="12" t="s">
        <v>1904</v>
      </c>
      <c r="C9" s="12">
        <f>SUMIFS(Libro_Diario_Mayor!$F:$F, Libro_Diario_Mayor!$C:$C, B$3, Libro_Diario_Mayor!$B:$B, "&gt;="&amp;DATE(2026, MONTH(1&amp;$A9), 1), Libro_Diario_Mayor!$B:$B, "&lt;"&amp;DATE(2026, MONTH(1&amp;$A9)+1, 1))</f>
        <v>574343.23</v>
      </c>
      <c r="D9" s="12">
        <f>SUMIFS(Libro_Diario_Mayor!$G:$G, Libro_Diario_Mayor!$C:$C, B$3, Libro_Diario_Mayor!$B:$B, "&gt;="&amp;DATE(2026, MONTH(1&amp;$A9), 1), Libro_Diario_Mayor!$B:$B, "&lt;"&amp;DATE(2026, MONTH(1&amp;$A9)+1, 1))</f>
        <v>1125565</v>
      </c>
      <c r="E9" s="12">
        <f t="shared" si="0"/>
        <v>-551221.77</v>
      </c>
      <c r="H9" s="12">
        <f>SUMIFS(Libro_Diario_Mayor!$F:$F, Libro_Diario_Mayor!$C:$C, G$3, Libro_Diario_Mayor!$B:$B, "&gt;="&amp;DATE(2026, MONTH(1&amp;$A9), 1), Libro_Diario_Mayor!$B:$B, "&lt;"&amp;DATE(2026, MONTH(1&amp;$A9)+1, 1))</f>
        <v>0</v>
      </c>
      <c r="I9" s="12">
        <f>SUMIFS(Libro_Diario_Mayor!$G:$G, Libro_Diario_Mayor!$C:$C, G$3, Libro_Diario_Mayor!$B:$B, "&gt;="&amp;DATE(2026, MONTH(1&amp;$A9), 1), Libro_Diario_Mayor!$B:$B, "&lt;"&amp;DATE(2026, MONTH(1&amp;$A9)+1, 1))</f>
        <v>168865.26378476192</v>
      </c>
      <c r="J9" s="12">
        <f t="shared" si="1"/>
        <v>-168865.26378476192</v>
      </c>
      <c r="M9" s="12">
        <f>SUMIFS(Libro_Diario_Mayor!$F:$F, Libro_Diario_Mayor!$C:$C, L$3, Libro_Diario_Mayor!$B:$B, "&gt;="&amp;DATE(2026, MONTH(1&amp;$A9), 1), Libro_Diario_Mayor!$B:$B, "&lt;"&amp;DATE(2026, MONTH(1&amp;$A9)+1, 1))</f>
        <v>175424.72360190476</v>
      </c>
      <c r="N9" s="12">
        <f>SUMIFS(Libro_Diario_Mayor!$G:$G, Libro_Diario_Mayor!$C:$C, L$3, Libro_Diario_Mayor!$B:$B, "&gt;="&amp;DATE(2026, MONTH(1&amp;$A9), 1), Libro_Diario_Mayor!$B:$B, "&lt;"&amp;DATE(2026, MONTH(1&amp;$A9)+1, 1))</f>
        <v>197909.6211342857</v>
      </c>
      <c r="O9" s="12">
        <f t="shared" si="2"/>
        <v>-22484.897532380943</v>
      </c>
      <c r="R9" s="12">
        <f>SUMIFS(Libro_Diario_Mayor!$F:$F, Libro_Diario_Mayor!$C:$C, Q$3, Libro_Diario_Mayor!$B:$B, "&gt;="&amp;DATE(2026, MONTH(1&amp;$A9), 1), Libro_Diario_Mayor!$B:$B, "&lt;"&amp;DATE(2026, MONTH(1&amp;$A9)+1, 1))</f>
        <v>597065</v>
      </c>
      <c r="S9" s="12">
        <f>SUMIFS(Libro_Diario_Mayor!$G:$G, Libro_Diario_Mayor!$C:$C, Q$3, Libro_Diario_Mayor!$B:$B, "&gt;="&amp;DATE(2026, MONTH(1&amp;$A9), 1), Libro_Diario_Mayor!$B:$B, "&lt;"&amp;DATE(2026, MONTH(1&amp;$A9)+1, 1))</f>
        <v>0</v>
      </c>
      <c r="T9" s="12">
        <f t="shared" si="3"/>
        <v>597065</v>
      </c>
      <c r="W9" s="12">
        <f>SUMIFS(Libro_Diario_Mayor!$F:$F, Libro_Diario_Mayor!$C:$C, V$3, Libro_Diario_Mayor!$B:$B, "&gt;="&amp;DATE(2026, MONTH(1&amp;$A9), 1), Libro_Diario_Mayor!$B:$B, "&lt;"&amp;DATE(2026, MONTH(1&amp;$A9)+1, 1))</f>
        <v>0</v>
      </c>
      <c r="X9" s="12">
        <f>SUMIFS(Libro_Diario_Mayor!$G:$G, Libro_Diario_Mayor!$C:$C, V$3, Libro_Diario_Mayor!$B:$B, "&gt;="&amp;DATE(2026, MONTH(1&amp;$A9), 1), Libro_Diario_Mayor!$B:$B, "&lt;"&amp;DATE(2026, MONTH(1&amp;$A9)+1, 1))</f>
        <v>119203.88357485716</v>
      </c>
      <c r="Y9" s="12">
        <f t="shared" si="4"/>
        <v>-119203.88357485716</v>
      </c>
      <c r="AB9" s="12">
        <f>SUMIFS(Libro_Diario_Mayor!$F:$F, Libro_Diario_Mayor!$C:$C, AA$3, Libro_Diario_Mayor!$B:$B, "&gt;="&amp;DATE(2026, MONTH(1&amp;$A9), 1), Libro_Diario_Mayor!$B:$B, "&lt;"&amp;DATE(2026, MONTH(1&amp;$A9)+1, 1))</f>
        <v>0</v>
      </c>
      <c r="AC9" s="12">
        <f>SUMIFS(Libro_Diario_Mayor!$G:$G, Libro_Diario_Mayor!$C:$C, AA$3, Libro_Diario_Mayor!$B:$B, "&gt;="&amp;DATE(2026, MONTH(1&amp;$A9), 1), Libro_Diario_Mayor!$B:$B, "&lt;"&amp;DATE(2026, MONTH(1&amp;$A9)+1, 1))</f>
        <v>17014.135998476191</v>
      </c>
      <c r="AD9" s="12">
        <f t="shared" si="5"/>
        <v>-17014.135998476191</v>
      </c>
    </row>
    <row r="10" spans="1:30" s="12" customFormat="1" x14ac:dyDescent="0.3">
      <c r="A10" s="12" t="s">
        <v>1905</v>
      </c>
      <c r="C10" s="12">
        <f>SUMIFS(Libro_Diario_Mayor!$F:$F, Libro_Diario_Mayor!$C:$C, B$3, Libro_Diario_Mayor!$B:$B, "&gt;="&amp;DATE(2026, MONTH(1&amp;$A10), 1), Libro_Diario_Mayor!$B:$B, "&lt;"&amp;DATE(2026, MONTH(1&amp;$A10)+1, 1))</f>
        <v>0</v>
      </c>
      <c r="D10" s="12">
        <f>SUMIFS(Libro_Diario_Mayor!$G:$G, Libro_Diario_Mayor!$C:$C, B$3, Libro_Diario_Mayor!$B:$B, "&gt;="&amp;DATE(2026, MONTH(1&amp;$A10), 1), Libro_Diario_Mayor!$B:$B, "&lt;"&amp;DATE(2026, MONTH(1&amp;$A10)+1, 1))</f>
        <v>0</v>
      </c>
      <c r="E10" s="12">
        <f t="shared" si="0"/>
        <v>0</v>
      </c>
      <c r="H10" s="12">
        <f>SUMIFS(Libro_Diario_Mayor!$F:$F, Libro_Diario_Mayor!$C:$C, G$3, Libro_Diario_Mayor!$B:$B, "&gt;="&amp;DATE(2026, MONTH(1&amp;$A10), 1), Libro_Diario_Mayor!$B:$B, "&lt;"&amp;DATE(2026, MONTH(1&amp;$A10)+1, 1))</f>
        <v>0</v>
      </c>
      <c r="I10" s="12">
        <f>SUMIFS(Libro_Diario_Mayor!$G:$G, Libro_Diario_Mayor!$C:$C, G$3, Libro_Diario_Mayor!$B:$B, "&gt;="&amp;DATE(2026, MONTH(1&amp;$A10), 1), Libro_Diario_Mayor!$B:$B, "&lt;"&amp;DATE(2026, MONTH(1&amp;$A10)+1, 1))</f>
        <v>0</v>
      </c>
      <c r="J10" s="12">
        <f t="shared" si="1"/>
        <v>0</v>
      </c>
      <c r="M10" s="12">
        <f>SUMIFS(Libro_Diario_Mayor!$F:$F, Libro_Diario_Mayor!$C:$C, L$3, Libro_Diario_Mayor!$B:$B, "&gt;="&amp;DATE(2026, MONTH(1&amp;$A10), 1), Libro_Diario_Mayor!$B:$B, "&lt;"&amp;DATE(2026, MONTH(1&amp;$A10)+1, 1))</f>
        <v>0</v>
      </c>
      <c r="N10" s="12">
        <f>SUMIFS(Libro_Diario_Mayor!$G:$G, Libro_Diario_Mayor!$C:$C, L$3, Libro_Diario_Mayor!$B:$B, "&gt;="&amp;DATE(2026, MONTH(1&amp;$A10), 1), Libro_Diario_Mayor!$B:$B, "&lt;"&amp;DATE(2026, MONTH(1&amp;$A10)+1, 1))</f>
        <v>0</v>
      </c>
      <c r="O10" s="12">
        <f t="shared" si="2"/>
        <v>0</v>
      </c>
      <c r="R10" s="12">
        <f>SUMIFS(Libro_Diario_Mayor!$F:$F, Libro_Diario_Mayor!$C:$C, Q$3, Libro_Diario_Mayor!$B:$B, "&gt;="&amp;DATE(2026, MONTH(1&amp;$A10), 1), Libro_Diario_Mayor!$B:$B, "&lt;"&amp;DATE(2026, MONTH(1&amp;$A10)+1, 1))</f>
        <v>0</v>
      </c>
      <c r="S10" s="12">
        <f>SUMIFS(Libro_Diario_Mayor!$G:$G, Libro_Diario_Mayor!$C:$C, Q$3, Libro_Diario_Mayor!$B:$B, "&gt;="&amp;DATE(2026, MONTH(1&amp;$A10), 1), Libro_Diario_Mayor!$B:$B, "&lt;"&amp;DATE(2026, MONTH(1&amp;$A10)+1, 1))</f>
        <v>0</v>
      </c>
      <c r="T10" s="12">
        <f t="shared" si="3"/>
        <v>0</v>
      </c>
      <c r="W10" s="12">
        <f>SUMIFS(Libro_Diario_Mayor!$F:$F, Libro_Diario_Mayor!$C:$C, V$3, Libro_Diario_Mayor!$B:$B, "&gt;="&amp;DATE(2026, MONTH(1&amp;$A10), 1), Libro_Diario_Mayor!$B:$B, "&lt;"&amp;DATE(2026, MONTH(1&amp;$A10)+1, 1))</f>
        <v>0</v>
      </c>
      <c r="X10" s="12">
        <f>SUMIFS(Libro_Diario_Mayor!$G:$G, Libro_Diario_Mayor!$C:$C, V$3, Libro_Diario_Mayor!$B:$B, "&gt;="&amp;DATE(2026, MONTH(1&amp;$A10), 1), Libro_Diario_Mayor!$B:$B, "&lt;"&amp;DATE(2026, MONTH(1&amp;$A10)+1, 1))</f>
        <v>0</v>
      </c>
      <c r="Y10" s="12">
        <f t="shared" si="4"/>
        <v>0</v>
      </c>
      <c r="AB10" s="12">
        <f>SUMIFS(Libro_Diario_Mayor!$F:$F, Libro_Diario_Mayor!$C:$C, AA$3, Libro_Diario_Mayor!$B:$B, "&gt;="&amp;DATE(2026, MONTH(1&amp;$A10), 1), Libro_Diario_Mayor!$B:$B, "&lt;"&amp;DATE(2026, MONTH(1&amp;$A10)+1, 1))</f>
        <v>0</v>
      </c>
      <c r="AC10" s="12">
        <f>SUMIFS(Libro_Diario_Mayor!$G:$G, Libro_Diario_Mayor!$C:$C, AA$3, Libro_Diario_Mayor!$B:$B, "&gt;="&amp;DATE(2026, MONTH(1&amp;$A10), 1), Libro_Diario_Mayor!$B:$B, "&lt;"&amp;DATE(2026, MONTH(1&amp;$A10)+1, 1))</f>
        <v>0</v>
      </c>
      <c r="AD10" s="12">
        <f t="shared" si="5"/>
        <v>0</v>
      </c>
    </row>
    <row r="11" spans="1:30" s="12" customFormat="1" x14ac:dyDescent="0.3">
      <c r="A11" s="12" t="s">
        <v>1906</v>
      </c>
      <c r="C11" s="12">
        <f>SUMIFS(Libro_Diario_Mayor!$F:$F, Libro_Diario_Mayor!$C:$C, B$3, Libro_Diario_Mayor!$B:$B, "&gt;="&amp;DATE(2026, MONTH(1&amp;$A11), 1), Libro_Diario_Mayor!$B:$B, "&lt;"&amp;DATE(2026, MONTH(1&amp;$A11)+1, 1))</f>
        <v>0</v>
      </c>
      <c r="D11" s="12">
        <f>SUMIFS(Libro_Diario_Mayor!$G:$G, Libro_Diario_Mayor!$C:$C, B$3, Libro_Diario_Mayor!$B:$B, "&gt;="&amp;DATE(2026, MONTH(1&amp;$A11), 1), Libro_Diario_Mayor!$B:$B, "&lt;"&amp;DATE(2026, MONTH(1&amp;$A11)+1, 1))</f>
        <v>0</v>
      </c>
      <c r="E11" s="12">
        <f t="shared" si="0"/>
        <v>0</v>
      </c>
      <c r="H11" s="12">
        <f>SUMIFS(Libro_Diario_Mayor!$F:$F, Libro_Diario_Mayor!$C:$C, G$3, Libro_Diario_Mayor!$B:$B, "&gt;="&amp;DATE(2026, MONTH(1&amp;$A11), 1), Libro_Diario_Mayor!$B:$B, "&lt;"&amp;DATE(2026, MONTH(1&amp;$A11)+1, 1))</f>
        <v>0</v>
      </c>
      <c r="I11" s="12">
        <f>SUMIFS(Libro_Diario_Mayor!$G:$G, Libro_Diario_Mayor!$C:$C, G$3, Libro_Diario_Mayor!$B:$B, "&gt;="&amp;DATE(2026, MONTH(1&amp;$A11), 1), Libro_Diario_Mayor!$B:$B, "&lt;"&amp;DATE(2026, MONTH(1&amp;$A11)+1, 1))</f>
        <v>0</v>
      </c>
      <c r="J11" s="12">
        <f t="shared" si="1"/>
        <v>0</v>
      </c>
      <c r="M11" s="12">
        <f>SUMIFS(Libro_Diario_Mayor!$F:$F, Libro_Diario_Mayor!$C:$C, L$3, Libro_Diario_Mayor!$B:$B, "&gt;="&amp;DATE(2026, MONTH(1&amp;$A11), 1), Libro_Diario_Mayor!$B:$B, "&lt;"&amp;DATE(2026, MONTH(1&amp;$A11)+1, 1))</f>
        <v>0</v>
      </c>
      <c r="N11" s="12">
        <f>SUMIFS(Libro_Diario_Mayor!$G:$G, Libro_Diario_Mayor!$C:$C, L$3, Libro_Diario_Mayor!$B:$B, "&gt;="&amp;DATE(2026, MONTH(1&amp;$A11), 1), Libro_Diario_Mayor!$B:$B, "&lt;"&amp;DATE(2026, MONTH(1&amp;$A11)+1, 1))</f>
        <v>0</v>
      </c>
      <c r="O11" s="12">
        <f t="shared" si="2"/>
        <v>0</v>
      </c>
      <c r="R11" s="12">
        <f>SUMIFS(Libro_Diario_Mayor!$F:$F, Libro_Diario_Mayor!$C:$C, Q$3, Libro_Diario_Mayor!$B:$B, "&gt;="&amp;DATE(2026, MONTH(1&amp;$A11), 1), Libro_Diario_Mayor!$B:$B, "&lt;"&amp;DATE(2026, MONTH(1&amp;$A11)+1, 1))</f>
        <v>0</v>
      </c>
      <c r="S11" s="12">
        <f>SUMIFS(Libro_Diario_Mayor!$G:$G, Libro_Diario_Mayor!$C:$C, Q$3, Libro_Diario_Mayor!$B:$B, "&gt;="&amp;DATE(2026, MONTH(1&amp;$A11), 1), Libro_Diario_Mayor!$B:$B, "&lt;"&amp;DATE(2026, MONTH(1&amp;$A11)+1, 1))</f>
        <v>0</v>
      </c>
      <c r="T11" s="12">
        <f t="shared" si="3"/>
        <v>0</v>
      </c>
      <c r="W11" s="12">
        <f>SUMIFS(Libro_Diario_Mayor!$F:$F, Libro_Diario_Mayor!$C:$C, V$3, Libro_Diario_Mayor!$B:$B, "&gt;="&amp;DATE(2026, MONTH(1&amp;$A11), 1), Libro_Diario_Mayor!$B:$B, "&lt;"&amp;DATE(2026, MONTH(1&amp;$A11)+1, 1))</f>
        <v>0</v>
      </c>
      <c r="X11" s="12">
        <f>SUMIFS(Libro_Diario_Mayor!$G:$G, Libro_Diario_Mayor!$C:$C, V$3, Libro_Diario_Mayor!$B:$B, "&gt;="&amp;DATE(2026, MONTH(1&amp;$A11), 1), Libro_Diario_Mayor!$B:$B, "&lt;"&amp;DATE(2026, MONTH(1&amp;$A11)+1, 1))</f>
        <v>0</v>
      </c>
      <c r="Y11" s="12">
        <f t="shared" si="4"/>
        <v>0</v>
      </c>
      <c r="AB11" s="12">
        <f>SUMIFS(Libro_Diario_Mayor!$F:$F, Libro_Diario_Mayor!$C:$C, AA$3, Libro_Diario_Mayor!$B:$B, "&gt;="&amp;DATE(2026, MONTH(1&amp;$A11), 1), Libro_Diario_Mayor!$B:$B, "&lt;"&amp;DATE(2026, MONTH(1&amp;$A11)+1, 1))</f>
        <v>0</v>
      </c>
      <c r="AC11" s="12">
        <f>SUMIFS(Libro_Diario_Mayor!$G:$G, Libro_Diario_Mayor!$C:$C, AA$3, Libro_Diario_Mayor!$B:$B, "&gt;="&amp;DATE(2026, MONTH(1&amp;$A11), 1), Libro_Diario_Mayor!$B:$B, "&lt;"&amp;DATE(2026, MONTH(1&amp;$A11)+1, 1))</f>
        <v>0</v>
      </c>
      <c r="AD11" s="12">
        <f t="shared" si="5"/>
        <v>0</v>
      </c>
    </row>
    <row r="12" spans="1:30" s="12" customFormat="1" x14ac:dyDescent="0.3">
      <c r="A12" s="12" t="s">
        <v>1907</v>
      </c>
      <c r="C12" s="12">
        <f>SUMIFS(Libro_Diario_Mayor!$F:$F, Libro_Diario_Mayor!$C:$C, B$3, Libro_Diario_Mayor!$B:$B, "&gt;="&amp;DATE(2026, MONTH(1&amp;$A12), 1), Libro_Diario_Mayor!$B:$B, "&lt;"&amp;DATE(2026, MONTH(1&amp;$A12)+1, 1))</f>
        <v>20000</v>
      </c>
      <c r="D12" s="12">
        <f>SUMIFS(Libro_Diario_Mayor!$G:$G, Libro_Diario_Mayor!$C:$C, B$3, Libro_Diario_Mayor!$B:$B, "&gt;="&amp;DATE(2026, MONTH(1&amp;$A12), 1), Libro_Diario_Mayor!$B:$B, "&lt;"&amp;DATE(2026, MONTH(1&amp;$A12)+1, 1))</f>
        <v>0</v>
      </c>
      <c r="E12" s="12">
        <f t="shared" si="0"/>
        <v>20000</v>
      </c>
      <c r="H12" s="12">
        <f>SUMIFS(Libro_Diario_Mayor!$F:$F, Libro_Diario_Mayor!$C:$C, G$3, Libro_Diario_Mayor!$B:$B, "&gt;="&amp;DATE(2026, MONTH(1&amp;$A12), 1), Libro_Diario_Mayor!$B:$B, "&lt;"&amp;DATE(2026, MONTH(1&amp;$A12)+1, 1))</f>
        <v>2286415</v>
      </c>
      <c r="I12" s="12">
        <f>SUMIFS(Libro_Diario_Mayor!$G:$G, Libro_Diario_Mayor!$C:$C, G$3, Libro_Diario_Mayor!$B:$B, "&gt;="&amp;DATE(2026, MONTH(1&amp;$A12), 1), Libro_Diario_Mayor!$B:$B, "&lt;"&amp;DATE(2026, MONTH(1&amp;$A12)+1, 1))</f>
        <v>75956.36571619047</v>
      </c>
      <c r="J12" s="12">
        <f t="shared" si="1"/>
        <v>2210458.6342838095</v>
      </c>
      <c r="M12" s="12">
        <f>SUMIFS(Libro_Diario_Mayor!$F:$F, Libro_Diario_Mayor!$C:$C, L$3, Libro_Diario_Mayor!$B:$B, "&gt;="&amp;DATE(2026, MONTH(1&amp;$A12), 1), Libro_Diario_Mayor!$B:$B, "&lt;"&amp;DATE(2026, MONTH(1&amp;$A12)+1, 1))</f>
        <v>0</v>
      </c>
      <c r="N12" s="12">
        <f>SUMIFS(Libro_Diario_Mayor!$G:$G, Libro_Diario_Mayor!$C:$C, L$3, Libro_Diario_Mayor!$B:$B, "&gt;="&amp;DATE(2026, MONTH(1&amp;$A12), 1), Libro_Diario_Mayor!$B:$B, "&lt;"&amp;DATE(2026, MONTH(1&amp;$A12)+1, 1))</f>
        <v>2083.4776000000002</v>
      </c>
      <c r="O12" s="12">
        <f t="shared" si="2"/>
        <v>-2083.4776000000002</v>
      </c>
      <c r="R12" s="12">
        <f>SUMIFS(Libro_Diario_Mayor!$F:$F, Libro_Diario_Mayor!$C:$C, Q$3, Libro_Diario_Mayor!$B:$B, "&gt;="&amp;DATE(2026, MONTH(1&amp;$A12), 1), Libro_Diario_Mayor!$B:$B, "&lt;"&amp;DATE(2026, MONTH(1&amp;$A12)+1, 1))</f>
        <v>0</v>
      </c>
      <c r="S12" s="12">
        <f>SUMIFS(Libro_Diario_Mayor!$G:$G, Libro_Diario_Mayor!$C:$C, Q$3, Libro_Diario_Mayor!$B:$B, "&gt;="&amp;DATE(2026, MONTH(1&amp;$A12), 1), Libro_Diario_Mayor!$B:$B, "&lt;"&amp;DATE(2026, MONTH(1&amp;$A12)+1, 1))</f>
        <v>0</v>
      </c>
      <c r="T12" s="12">
        <f t="shared" si="3"/>
        <v>0</v>
      </c>
      <c r="W12" s="12">
        <f>SUMIFS(Libro_Diario_Mayor!$F:$F, Libro_Diario_Mayor!$C:$C, V$3, Libro_Diario_Mayor!$B:$B, "&gt;="&amp;DATE(2026, MONTH(1&amp;$A12), 1), Libro_Diario_Mayor!$B:$B, "&lt;"&amp;DATE(2026, MONTH(1&amp;$A12)+1, 1))</f>
        <v>0</v>
      </c>
      <c r="X12" s="12">
        <f>SUMIFS(Libro_Diario_Mayor!$G:$G, Libro_Diario_Mayor!$C:$C, V$3, Libro_Diario_Mayor!$B:$B, "&gt;="&amp;DATE(2026, MONTH(1&amp;$A12), 1), Libro_Diario_Mayor!$B:$B, "&lt;"&amp;DATE(2026, MONTH(1&amp;$A12)+1, 1))</f>
        <v>2321639.6994283809</v>
      </c>
      <c r="Y12" s="12">
        <f t="shared" si="4"/>
        <v>-2321639.6994283809</v>
      </c>
      <c r="AB12" s="12">
        <f>SUMIFS(Libro_Diario_Mayor!$F:$F, Libro_Diario_Mayor!$C:$C, AA$3, Libro_Diario_Mayor!$B:$B, "&gt;="&amp;DATE(2026, MONTH(1&amp;$A12), 1), Libro_Diario_Mayor!$B:$B, "&lt;"&amp;DATE(2026, MONTH(1&amp;$A12)+1, 1))</f>
        <v>0</v>
      </c>
      <c r="AC12" s="12">
        <f>SUMIFS(Libro_Diario_Mayor!$G:$G, Libro_Diario_Mayor!$C:$C, AA$3, Libro_Diario_Mayor!$B:$B, "&gt;="&amp;DATE(2026, MONTH(1&amp;$A12), 1), Libro_Diario_Mayor!$B:$B, "&lt;"&amp;DATE(2026, MONTH(1&amp;$A12)+1, 1))</f>
        <v>7595.6365716190467</v>
      </c>
      <c r="AD12" s="12">
        <f t="shared" si="5"/>
        <v>-7595.6365716190467</v>
      </c>
    </row>
    <row r="13" spans="1:30" s="12" customFormat="1" x14ac:dyDescent="0.3">
      <c r="A13" s="12" t="s">
        <v>1908</v>
      </c>
      <c r="C13" s="12">
        <f>SUMIFS(Libro_Diario_Mayor!$F:$F, Libro_Diario_Mayor!$C:$C, B$3, Libro_Diario_Mayor!$B:$B, "&gt;="&amp;DATE(2026, MONTH(1&amp;$A13), 1), Libro_Diario_Mayor!$B:$B, "&lt;"&amp;DATE(2026, MONTH(1&amp;$A13)+1, 1))</f>
        <v>0</v>
      </c>
      <c r="D13" s="12">
        <f>SUMIFS(Libro_Diario_Mayor!$G:$G, Libro_Diario_Mayor!$C:$C, B$3, Libro_Diario_Mayor!$B:$B, "&gt;="&amp;DATE(2026, MONTH(1&amp;$A13), 1), Libro_Diario_Mayor!$B:$B, "&lt;"&amp;DATE(2026, MONTH(1&amp;$A13)+1, 1))</f>
        <v>0</v>
      </c>
      <c r="E13" s="12">
        <f t="shared" si="0"/>
        <v>0</v>
      </c>
      <c r="H13" s="12">
        <f>SUMIFS(Libro_Diario_Mayor!$F:$F, Libro_Diario_Mayor!$C:$C, G$3, Libro_Diario_Mayor!$B:$B, "&gt;="&amp;DATE(2026, MONTH(1&amp;$A13), 1), Libro_Diario_Mayor!$B:$B, "&lt;"&amp;DATE(2026, MONTH(1&amp;$A13)+1, 1))</f>
        <v>0</v>
      </c>
      <c r="I13" s="12">
        <f>SUMIFS(Libro_Diario_Mayor!$G:$G, Libro_Diario_Mayor!$C:$C, G$3, Libro_Diario_Mayor!$B:$B, "&gt;="&amp;DATE(2026, MONTH(1&amp;$A13), 1), Libro_Diario_Mayor!$B:$B, "&lt;"&amp;DATE(2026, MONTH(1&amp;$A13)+1, 1))</f>
        <v>0</v>
      </c>
      <c r="J13" s="12">
        <f t="shared" si="1"/>
        <v>0</v>
      </c>
      <c r="M13" s="12">
        <f>SUMIFS(Libro_Diario_Mayor!$F:$F, Libro_Diario_Mayor!$C:$C, L$3, Libro_Diario_Mayor!$B:$B, "&gt;="&amp;DATE(2026, MONTH(1&amp;$A13), 1), Libro_Diario_Mayor!$B:$B, "&lt;"&amp;DATE(2026, MONTH(1&amp;$A13)+1, 1))</f>
        <v>0</v>
      </c>
      <c r="N13" s="12">
        <f>SUMIFS(Libro_Diario_Mayor!$G:$G, Libro_Diario_Mayor!$C:$C, L$3, Libro_Diario_Mayor!$B:$B, "&gt;="&amp;DATE(2026, MONTH(1&amp;$A13), 1), Libro_Diario_Mayor!$B:$B, "&lt;"&amp;DATE(2026, MONTH(1&amp;$A13)+1, 1))</f>
        <v>0</v>
      </c>
      <c r="O13" s="12">
        <f t="shared" si="2"/>
        <v>0</v>
      </c>
      <c r="R13" s="12">
        <f>SUMIFS(Libro_Diario_Mayor!$F:$F, Libro_Diario_Mayor!$C:$C, Q$3, Libro_Diario_Mayor!$B:$B, "&gt;="&amp;DATE(2026, MONTH(1&amp;$A13), 1), Libro_Diario_Mayor!$B:$B, "&lt;"&amp;DATE(2026, MONTH(1&amp;$A13)+1, 1))</f>
        <v>0</v>
      </c>
      <c r="S13" s="12">
        <f>SUMIFS(Libro_Diario_Mayor!$G:$G, Libro_Diario_Mayor!$C:$C, Q$3, Libro_Diario_Mayor!$B:$B, "&gt;="&amp;DATE(2026, MONTH(1&amp;$A13), 1), Libro_Diario_Mayor!$B:$B, "&lt;"&amp;DATE(2026, MONTH(1&amp;$A13)+1, 1))</f>
        <v>0</v>
      </c>
      <c r="T13" s="12">
        <f t="shared" si="3"/>
        <v>0</v>
      </c>
      <c r="W13" s="12">
        <f>SUMIFS(Libro_Diario_Mayor!$F:$F, Libro_Diario_Mayor!$C:$C, V$3, Libro_Diario_Mayor!$B:$B, "&gt;="&amp;DATE(2026, MONTH(1&amp;$A13), 1), Libro_Diario_Mayor!$B:$B, "&lt;"&amp;DATE(2026, MONTH(1&amp;$A13)+1, 1))</f>
        <v>0</v>
      </c>
      <c r="X13" s="12">
        <f>SUMIFS(Libro_Diario_Mayor!$G:$G, Libro_Diario_Mayor!$C:$C, V$3, Libro_Diario_Mayor!$B:$B, "&gt;="&amp;DATE(2026, MONTH(1&amp;$A13), 1), Libro_Diario_Mayor!$B:$B, "&lt;"&amp;DATE(2026, MONTH(1&amp;$A13)+1, 1))</f>
        <v>0</v>
      </c>
      <c r="Y13" s="12">
        <f t="shared" si="4"/>
        <v>0</v>
      </c>
      <c r="AB13" s="12">
        <f>SUMIFS(Libro_Diario_Mayor!$F:$F, Libro_Diario_Mayor!$C:$C, AA$3, Libro_Diario_Mayor!$B:$B, "&gt;="&amp;DATE(2026, MONTH(1&amp;$A13), 1), Libro_Diario_Mayor!$B:$B, "&lt;"&amp;DATE(2026, MONTH(1&amp;$A13)+1, 1))</f>
        <v>0</v>
      </c>
      <c r="AC13" s="12">
        <f>SUMIFS(Libro_Diario_Mayor!$G:$G, Libro_Diario_Mayor!$C:$C, AA$3, Libro_Diario_Mayor!$B:$B, "&gt;="&amp;DATE(2026, MONTH(1&amp;$A13), 1), Libro_Diario_Mayor!$B:$B, "&lt;"&amp;DATE(2026, MONTH(1&amp;$A13)+1, 1))</f>
        <v>0</v>
      </c>
      <c r="AD13" s="12">
        <f t="shared" si="5"/>
        <v>0</v>
      </c>
    </row>
    <row r="14" spans="1:30" s="12" customFormat="1" x14ac:dyDescent="0.3">
      <c r="A14" s="12" t="s">
        <v>1909</v>
      </c>
      <c r="C14" s="12">
        <f>SUMIFS(Libro_Diario_Mayor!$F:$F, Libro_Diario_Mayor!$C:$C, B$3, Libro_Diario_Mayor!$B:$B, "&gt;="&amp;DATE(2026, MONTH(1&amp;$A14), 1), Libro_Diario_Mayor!$B:$B, "&lt;"&amp;DATE(2026, MONTH(1&amp;$A14)+1, 1))</f>
        <v>0</v>
      </c>
      <c r="D14" s="12">
        <f>SUMIFS(Libro_Diario_Mayor!$G:$G, Libro_Diario_Mayor!$C:$C, B$3, Libro_Diario_Mayor!$B:$B, "&gt;="&amp;DATE(2026, MONTH(1&amp;$A14), 1), Libro_Diario_Mayor!$B:$B, "&lt;"&amp;DATE(2026, MONTH(1&amp;$A14)+1, 1))</f>
        <v>0</v>
      </c>
      <c r="E14" s="12">
        <f t="shared" si="0"/>
        <v>0</v>
      </c>
      <c r="H14" s="12">
        <f>SUMIFS(Libro_Diario_Mayor!$F:$F, Libro_Diario_Mayor!$C:$C, G$3, Libro_Diario_Mayor!$B:$B, "&gt;="&amp;DATE(2026, MONTH(1&amp;$A14), 1), Libro_Diario_Mayor!$B:$B, "&lt;"&amp;DATE(2026, MONTH(1&amp;$A14)+1, 1))</f>
        <v>0</v>
      </c>
      <c r="I14" s="12">
        <f>SUMIFS(Libro_Diario_Mayor!$G:$G, Libro_Diario_Mayor!$C:$C, G$3, Libro_Diario_Mayor!$B:$B, "&gt;="&amp;DATE(2026, MONTH(1&amp;$A14), 1), Libro_Diario_Mayor!$B:$B, "&lt;"&amp;DATE(2026, MONTH(1&amp;$A14)+1, 1))</f>
        <v>0</v>
      </c>
      <c r="J14" s="12">
        <f t="shared" si="1"/>
        <v>0</v>
      </c>
      <c r="M14" s="12">
        <f>SUMIFS(Libro_Diario_Mayor!$F:$F, Libro_Diario_Mayor!$C:$C, L$3, Libro_Diario_Mayor!$B:$B, "&gt;="&amp;DATE(2026, MONTH(1&amp;$A14), 1), Libro_Diario_Mayor!$B:$B, "&lt;"&amp;DATE(2026, MONTH(1&amp;$A14)+1, 1))</f>
        <v>0</v>
      </c>
      <c r="N14" s="12">
        <f>SUMIFS(Libro_Diario_Mayor!$G:$G, Libro_Diario_Mayor!$C:$C, L$3, Libro_Diario_Mayor!$B:$B, "&gt;="&amp;DATE(2026, MONTH(1&amp;$A14), 1), Libro_Diario_Mayor!$B:$B, "&lt;"&amp;DATE(2026, MONTH(1&amp;$A14)+1, 1))</f>
        <v>0</v>
      </c>
      <c r="O14" s="12">
        <f t="shared" si="2"/>
        <v>0</v>
      </c>
      <c r="R14" s="12">
        <f>SUMIFS(Libro_Diario_Mayor!$F:$F, Libro_Diario_Mayor!$C:$C, Q$3, Libro_Diario_Mayor!$B:$B, "&gt;="&amp;DATE(2026, MONTH(1&amp;$A14), 1), Libro_Diario_Mayor!$B:$B, "&lt;"&amp;DATE(2026, MONTH(1&amp;$A14)+1, 1))</f>
        <v>0</v>
      </c>
      <c r="S14" s="12">
        <f>SUMIFS(Libro_Diario_Mayor!$G:$G, Libro_Diario_Mayor!$C:$C, Q$3, Libro_Diario_Mayor!$B:$B, "&gt;="&amp;DATE(2026, MONTH(1&amp;$A14), 1), Libro_Diario_Mayor!$B:$B, "&lt;"&amp;DATE(2026, MONTH(1&amp;$A14)+1, 1))</f>
        <v>0</v>
      </c>
      <c r="T14" s="12">
        <f t="shared" si="3"/>
        <v>0</v>
      </c>
      <c r="W14" s="12">
        <f>SUMIFS(Libro_Diario_Mayor!$F:$F, Libro_Diario_Mayor!$C:$C, V$3, Libro_Diario_Mayor!$B:$B, "&gt;="&amp;DATE(2026, MONTH(1&amp;$A14), 1), Libro_Diario_Mayor!$B:$B, "&lt;"&amp;DATE(2026, MONTH(1&amp;$A14)+1, 1))</f>
        <v>0</v>
      </c>
      <c r="X14" s="12">
        <f>SUMIFS(Libro_Diario_Mayor!$G:$G, Libro_Diario_Mayor!$C:$C, V$3, Libro_Diario_Mayor!$B:$B, "&gt;="&amp;DATE(2026, MONTH(1&amp;$A14), 1), Libro_Diario_Mayor!$B:$B, "&lt;"&amp;DATE(2026, MONTH(1&amp;$A14)+1, 1))</f>
        <v>0</v>
      </c>
      <c r="Y14" s="12">
        <f t="shared" si="4"/>
        <v>0</v>
      </c>
      <c r="AB14" s="12">
        <f>SUMIFS(Libro_Diario_Mayor!$F:$F, Libro_Diario_Mayor!$C:$C, AA$3, Libro_Diario_Mayor!$B:$B, "&gt;="&amp;DATE(2026, MONTH(1&amp;$A14), 1), Libro_Diario_Mayor!$B:$B, "&lt;"&amp;DATE(2026, MONTH(1&amp;$A14)+1, 1))</f>
        <v>0</v>
      </c>
      <c r="AC14" s="12">
        <f>SUMIFS(Libro_Diario_Mayor!$G:$G, Libro_Diario_Mayor!$C:$C, AA$3, Libro_Diario_Mayor!$B:$B, "&gt;="&amp;DATE(2026, MONTH(1&amp;$A14), 1), Libro_Diario_Mayor!$B:$B, "&lt;"&amp;DATE(2026, MONTH(1&amp;$A14)+1, 1))</f>
        <v>0</v>
      </c>
      <c r="AD14" s="12">
        <f t="shared" si="5"/>
        <v>0</v>
      </c>
    </row>
    <row r="15" spans="1:30" s="12" customFormat="1" x14ac:dyDescent="0.3">
      <c r="A15" s="12" t="s">
        <v>1910</v>
      </c>
      <c r="C15" s="12">
        <f>SUMIFS(Libro_Diario_Mayor!$F:$F, Libro_Diario_Mayor!$C:$C, B$3, Libro_Diario_Mayor!$B:$B, "&gt;="&amp;DATE(2026, MONTH(1&amp;$A15), 1), Libro_Diario_Mayor!$B:$B, "&lt;"&amp;DATE(2026, MONTH(1&amp;$A15)+1, 1))</f>
        <v>0</v>
      </c>
      <c r="D15" s="12">
        <f>SUMIFS(Libro_Diario_Mayor!$G:$G, Libro_Diario_Mayor!$C:$C, B$3, Libro_Diario_Mayor!$B:$B, "&gt;="&amp;DATE(2026, MONTH(1&amp;$A15), 1), Libro_Diario_Mayor!$B:$B, "&lt;"&amp;DATE(2026, MONTH(1&amp;$A15)+1, 1))</f>
        <v>0</v>
      </c>
      <c r="E15" s="12">
        <f t="shared" si="0"/>
        <v>0</v>
      </c>
      <c r="H15" s="12">
        <f>SUMIFS(Libro_Diario_Mayor!$F:$F, Libro_Diario_Mayor!$C:$C, G$3, Libro_Diario_Mayor!$B:$B, "&gt;="&amp;DATE(2026, MONTH(1&amp;$A15), 1), Libro_Diario_Mayor!$B:$B, "&lt;"&amp;DATE(2026, MONTH(1&amp;$A15)+1, 1))</f>
        <v>0</v>
      </c>
      <c r="I15" s="12">
        <f>SUMIFS(Libro_Diario_Mayor!$G:$G, Libro_Diario_Mayor!$C:$C, G$3, Libro_Diario_Mayor!$B:$B, "&gt;="&amp;DATE(2026, MONTH(1&amp;$A15), 1), Libro_Diario_Mayor!$B:$B, "&lt;"&amp;DATE(2026, MONTH(1&amp;$A15)+1, 1))</f>
        <v>0</v>
      </c>
      <c r="J15" s="12">
        <f t="shared" si="1"/>
        <v>0</v>
      </c>
      <c r="M15" s="12">
        <f>SUMIFS(Libro_Diario_Mayor!$F:$F, Libro_Diario_Mayor!$C:$C, L$3, Libro_Diario_Mayor!$B:$B, "&gt;="&amp;DATE(2026, MONTH(1&amp;$A15), 1), Libro_Diario_Mayor!$B:$B, "&lt;"&amp;DATE(2026, MONTH(1&amp;$A15)+1, 1))</f>
        <v>0</v>
      </c>
      <c r="N15" s="12">
        <f>SUMIFS(Libro_Diario_Mayor!$G:$G, Libro_Diario_Mayor!$C:$C, L$3, Libro_Diario_Mayor!$B:$B, "&gt;="&amp;DATE(2026, MONTH(1&amp;$A15), 1), Libro_Diario_Mayor!$B:$B, "&lt;"&amp;DATE(2026, MONTH(1&amp;$A15)+1, 1))</f>
        <v>0</v>
      </c>
      <c r="O15" s="12">
        <f t="shared" si="2"/>
        <v>0</v>
      </c>
      <c r="R15" s="12">
        <f>SUMIFS(Libro_Diario_Mayor!$F:$F, Libro_Diario_Mayor!$C:$C, Q$3, Libro_Diario_Mayor!$B:$B, "&gt;="&amp;DATE(2026, MONTH(1&amp;$A15), 1), Libro_Diario_Mayor!$B:$B, "&lt;"&amp;DATE(2026, MONTH(1&amp;$A15)+1, 1))</f>
        <v>0</v>
      </c>
      <c r="S15" s="12">
        <f>SUMIFS(Libro_Diario_Mayor!$G:$G, Libro_Diario_Mayor!$C:$C, Q$3, Libro_Diario_Mayor!$B:$B, "&gt;="&amp;DATE(2026, MONTH(1&amp;$A15), 1), Libro_Diario_Mayor!$B:$B, "&lt;"&amp;DATE(2026, MONTH(1&amp;$A15)+1, 1))</f>
        <v>0</v>
      </c>
      <c r="T15" s="12">
        <f t="shared" si="3"/>
        <v>0</v>
      </c>
      <c r="W15" s="12">
        <f>SUMIFS(Libro_Diario_Mayor!$F:$F, Libro_Diario_Mayor!$C:$C, V$3, Libro_Diario_Mayor!$B:$B, "&gt;="&amp;DATE(2026, MONTH(1&amp;$A15), 1), Libro_Diario_Mayor!$B:$B, "&lt;"&amp;DATE(2026, MONTH(1&amp;$A15)+1, 1))</f>
        <v>0</v>
      </c>
      <c r="X15" s="12">
        <f>SUMIFS(Libro_Diario_Mayor!$G:$G, Libro_Diario_Mayor!$C:$C, V$3, Libro_Diario_Mayor!$B:$B, "&gt;="&amp;DATE(2026, MONTH(1&amp;$A15), 1), Libro_Diario_Mayor!$B:$B, "&lt;"&amp;DATE(2026, MONTH(1&amp;$A15)+1, 1))</f>
        <v>0</v>
      </c>
      <c r="Y15" s="12">
        <f t="shared" si="4"/>
        <v>0</v>
      </c>
      <c r="AB15" s="12">
        <f>SUMIFS(Libro_Diario_Mayor!$F:$F, Libro_Diario_Mayor!$C:$C, AA$3, Libro_Diario_Mayor!$B:$B, "&gt;="&amp;DATE(2026, MONTH(1&amp;$A15), 1), Libro_Diario_Mayor!$B:$B, "&lt;"&amp;DATE(2026, MONTH(1&amp;$A15)+1, 1))</f>
        <v>0</v>
      </c>
      <c r="AC15" s="12">
        <f>SUMIFS(Libro_Diario_Mayor!$G:$G, Libro_Diario_Mayor!$C:$C, AA$3, Libro_Diario_Mayor!$B:$B, "&gt;="&amp;DATE(2026, MONTH(1&amp;$A15), 1), Libro_Diario_Mayor!$B:$B, "&lt;"&amp;DATE(2026, MONTH(1&amp;$A15)+1, 1))</f>
        <v>0</v>
      </c>
      <c r="AD15" s="12">
        <f t="shared" si="5"/>
        <v>0</v>
      </c>
    </row>
    <row r="16" spans="1:30" s="12" customFormat="1" x14ac:dyDescent="0.3">
      <c r="A16" s="12" t="s">
        <v>1911</v>
      </c>
      <c r="C16" s="12">
        <f>SUMIFS(Libro_Diario_Mayor!$F:$F, Libro_Diario_Mayor!$C:$C, B$3, Libro_Diario_Mayor!$B:$B, "&gt;="&amp;DATE(2026, MONTH(1&amp;$A16), 1), Libro_Diario_Mayor!$B:$B, "&lt;"&amp;DATE(2026, MONTH(1&amp;$A16)+1, 1))</f>
        <v>0</v>
      </c>
      <c r="D16" s="12">
        <f>SUMIFS(Libro_Diario_Mayor!$G:$G, Libro_Diario_Mayor!$C:$C, B$3, Libro_Diario_Mayor!$B:$B, "&gt;="&amp;DATE(2026, MONTH(1&amp;$A16), 1), Libro_Diario_Mayor!$B:$B, "&lt;"&amp;DATE(2026, MONTH(1&amp;$A16)+1, 1))</f>
        <v>0</v>
      </c>
      <c r="E16" s="12">
        <f t="shared" si="0"/>
        <v>0</v>
      </c>
      <c r="H16" s="12">
        <f>SUMIFS(Libro_Diario_Mayor!$F:$F, Libro_Diario_Mayor!$C:$C, G$3, Libro_Diario_Mayor!$B:$B, "&gt;="&amp;DATE(2026, MONTH(1&amp;$A16), 1), Libro_Diario_Mayor!$B:$B, "&lt;"&amp;DATE(2026, MONTH(1&amp;$A16)+1, 1))</f>
        <v>0</v>
      </c>
      <c r="I16" s="12">
        <f>SUMIFS(Libro_Diario_Mayor!$G:$G, Libro_Diario_Mayor!$C:$C, G$3, Libro_Diario_Mayor!$B:$B, "&gt;="&amp;DATE(2026, MONTH(1&amp;$A16), 1), Libro_Diario_Mayor!$B:$B, "&lt;"&amp;DATE(2026, MONTH(1&amp;$A16)+1, 1))</f>
        <v>0</v>
      </c>
      <c r="J16" s="12">
        <f t="shared" si="1"/>
        <v>0</v>
      </c>
      <c r="M16" s="12">
        <f>SUMIFS(Libro_Diario_Mayor!$F:$F, Libro_Diario_Mayor!$C:$C, L$3, Libro_Diario_Mayor!$B:$B, "&gt;="&amp;DATE(2026, MONTH(1&amp;$A16), 1), Libro_Diario_Mayor!$B:$B, "&lt;"&amp;DATE(2026, MONTH(1&amp;$A16)+1, 1))</f>
        <v>0</v>
      </c>
      <c r="N16" s="12">
        <f>SUMIFS(Libro_Diario_Mayor!$G:$G, Libro_Diario_Mayor!$C:$C, L$3, Libro_Diario_Mayor!$B:$B, "&gt;="&amp;DATE(2026, MONTH(1&amp;$A16), 1), Libro_Diario_Mayor!$B:$B, "&lt;"&amp;DATE(2026, MONTH(1&amp;$A16)+1, 1))</f>
        <v>0</v>
      </c>
      <c r="O16" s="12">
        <f t="shared" si="2"/>
        <v>0</v>
      </c>
      <c r="R16" s="12">
        <f>SUMIFS(Libro_Diario_Mayor!$F:$F, Libro_Diario_Mayor!$C:$C, Q$3, Libro_Diario_Mayor!$B:$B, "&gt;="&amp;DATE(2026, MONTH(1&amp;$A16), 1), Libro_Diario_Mayor!$B:$B, "&lt;"&amp;DATE(2026, MONTH(1&amp;$A16)+1, 1))</f>
        <v>0</v>
      </c>
      <c r="S16" s="12">
        <f>SUMIFS(Libro_Diario_Mayor!$G:$G, Libro_Diario_Mayor!$C:$C, Q$3, Libro_Diario_Mayor!$B:$B, "&gt;="&amp;DATE(2026, MONTH(1&amp;$A16), 1), Libro_Diario_Mayor!$B:$B, "&lt;"&amp;DATE(2026, MONTH(1&amp;$A16)+1, 1))</f>
        <v>0</v>
      </c>
      <c r="T16" s="12">
        <f t="shared" si="3"/>
        <v>0</v>
      </c>
      <c r="W16" s="12">
        <f>SUMIFS(Libro_Diario_Mayor!$F:$F, Libro_Diario_Mayor!$C:$C, V$3, Libro_Diario_Mayor!$B:$B, "&gt;="&amp;DATE(2026, MONTH(1&amp;$A16), 1), Libro_Diario_Mayor!$B:$B, "&lt;"&amp;DATE(2026, MONTH(1&amp;$A16)+1, 1))</f>
        <v>0</v>
      </c>
      <c r="X16" s="12">
        <f>SUMIFS(Libro_Diario_Mayor!$G:$G, Libro_Diario_Mayor!$C:$C, V$3, Libro_Diario_Mayor!$B:$B, "&gt;="&amp;DATE(2026, MONTH(1&amp;$A16), 1), Libro_Diario_Mayor!$B:$B, "&lt;"&amp;DATE(2026, MONTH(1&amp;$A16)+1, 1))</f>
        <v>0</v>
      </c>
      <c r="Y16" s="12">
        <f t="shared" si="4"/>
        <v>0</v>
      </c>
      <c r="AB16" s="12">
        <f>SUMIFS(Libro_Diario_Mayor!$F:$F, Libro_Diario_Mayor!$C:$C, AA$3, Libro_Diario_Mayor!$B:$B, "&gt;="&amp;DATE(2026, MONTH(1&amp;$A16), 1), Libro_Diario_Mayor!$B:$B, "&lt;"&amp;DATE(2026, MONTH(1&amp;$A16)+1, 1))</f>
        <v>0</v>
      </c>
      <c r="AC16" s="12">
        <f>SUMIFS(Libro_Diario_Mayor!$G:$G, Libro_Diario_Mayor!$C:$C, AA$3, Libro_Diario_Mayor!$B:$B, "&gt;="&amp;DATE(2026, MONTH(1&amp;$A16), 1), Libro_Diario_Mayor!$B:$B, "&lt;"&amp;DATE(2026, MONTH(1&amp;$A16)+1, 1))</f>
        <v>0</v>
      </c>
      <c r="AD16" s="12">
        <f t="shared" si="5"/>
        <v>0</v>
      </c>
    </row>
    <row r="17" spans="1:30" s="12" customFormat="1" x14ac:dyDescent="0.3">
      <c r="A17" s="12" t="s">
        <v>1912</v>
      </c>
      <c r="C17" s="12">
        <f>SUM(C5:C16)</f>
        <v>7059568.2300000004</v>
      </c>
      <c r="D17" s="12">
        <f>SUM(D5:D16)</f>
        <v>5957565</v>
      </c>
      <c r="E17" s="12">
        <f>SUM(E5:E16)</f>
        <v>1102003.23</v>
      </c>
      <c r="H17" s="12">
        <f>SUM(H5:H16)</f>
        <v>3406415</v>
      </c>
      <c r="I17" s="12">
        <f>SUM(I5:I16)</f>
        <v>244821.62950095237</v>
      </c>
      <c r="J17" s="12">
        <f>SUM(J5:J16)</f>
        <v>3161593.3704990475</v>
      </c>
      <c r="M17" s="12">
        <f>SUM(M5:M16)</f>
        <v>175424.72360190476</v>
      </c>
      <c r="N17" s="12">
        <f>SUM(N5:N16)</f>
        <v>199993.09873428571</v>
      </c>
      <c r="O17" s="12">
        <f>SUM(O5:O16)</f>
        <v>-24568.375132380941</v>
      </c>
      <c r="R17" s="12">
        <f>SUM(R5:R16)</f>
        <v>4227065</v>
      </c>
      <c r="S17" s="12">
        <f>SUM(S5:S16)</f>
        <v>0</v>
      </c>
      <c r="T17" s="12">
        <f>SUM(T5:T16)</f>
        <v>4227065</v>
      </c>
      <c r="W17" s="12">
        <f>SUM(W5:W16)</f>
        <v>0</v>
      </c>
      <c r="X17" s="12">
        <f>SUM(X5:X16)</f>
        <v>3560843.5830032378</v>
      </c>
      <c r="Y17" s="12">
        <f>SUM(Y5:Y16)</f>
        <v>-3560843.5830032378</v>
      </c>
      <c r="AB17" s="12">
        <f>SUM(AB5:AB16)</f>
        <v>0</v>
      </c>
      <c r="AC17" s="12">
        <f>SUM(AC5:AC16)</f>
        <v>24609.772570095236</v>
      </c>
      <c r="AD17" s="12">
        <f>SUM(AD5:AD16)</f>
        <v>-24609.772570095236</v>
      </c>
    </row>
    <row r="19" spans="1:30" x14ac:dyDescent="0.3">
      <c r="B19" s="358">
        <v>3115</v>
      </c>
      <c r="C19" s="443" t="s">
        <v>1415</v>
      </c>
      <c r="D19" s="443"/>
      <c r="E19" s="443"/>
      <c r="G19" s="358">
        <v>4120</v>
      </c>
      <c r="H19" s="443" t="s">
        <v>1361</v>
      </c>
      <c r="I19" s="443"/>
      <c r="J19" s="443"/>
      <c r="L19" s="358">
        <v>4210</v>
      </c>
      <c r="M19" s="443" t="s">
        <v>1366</v>
      </c>
      <c r="N19" s="443"/>
      <c r="O19" s="443"/>
      <c r="Q19" s="358">
        <v>5120</v>
      </c>
      <c r="R19" s="443" t="s">
        <v>1324</v>
      </c>
      <c r="S19" s="443"/>
      <c r="T19" s="443"/>
      <c r="V19" s="358">
        <v>5135</v>
      </c>
      <c r="W19" s="443" t="s">
        <v>1364</v>
      </c>
      <c r="X19" s="443"/>
      <c r="Y19" s="443"/>
      <c r="AA19" s="358">
        <v>5145</v>
      </c>
      <c r="AB19" s="443" t="s">
        <v>1326</v>
      </c>
      <c r="AC19" s="443"/>
      <c r="AD19" s="443"/>
    </row>
    <row r="20" spans="1:30" x14ac:dyDescent="0.3">
      <c r="B20">
        <v>311505</v>
      </c>
      <c r="G20">
        <v>412005</v>
      </c>
      <c r="L20">
        <v>421005</v>
      </c>
      <c r="Q20">
        <v>512010</v>
      </c>
      <c r="V20">
        <v>513501</v>
      </c>
      <c r="AA20">
        <v>514505</v>
      </c>
    </row>
    <row r="21" spans="1:30" x14ac:dyDescent="0.3">
      <c r="C21" t="s">
        <v>645</v>
      </c>
      <c r="D21" t="s">
        <v>646</v>
      </c>
      <c r="E21" t="s">
        <v>1912</v>
      </c>
      <c r="H21" t="s">
        <v>645</v>
      </c>
      <c r="I21" t="s">
        <v>646</v>
      </c>
      <c r="J21" t="s">
        <v>1912</v>
      </c>
      <c r="M21" t="s">
        <v>645</v>
      </c>
      <c r="N21" t="s">
        <v>646</v>
      </c>
      <c r="O21" t="s">
        <v>1912</v>
      </c>
      <c r="R21" t="s">
        <v>645</v>
      </c>
      <c r="S21" t="s">
        <v>646</v>
      </c>
      <c r="T21" t="s">
        <v>1912</v>
      </c>
      <c r="W21" t="s">
        <v>645</v>
      </c>
      <c r="X21" t="s">
        <v>646</v>
      </c>
      <c r="Y21" t="s">
        <v>1912</v>
      </c>
      <c r="AB21" t="s">
        <v>645</v>
      </c>
      <c r="AC21" t="s">
        <v>646</v>
      </c>
      <c r="AD21" t="s">
        <v>1912</v>
      </c>
    </row>
    <row r="22" spans="1:30" s="12" customFormat="1" x14ac:dyDescent="0.3">
      <c r="A22" s="12" t="s">
        <v>1900</v>
      </c>
      <c r="C22" s="12">
        <f>SUMIFS(Libro_Diario_Mayor!$F:$F, Libro_Diario_Mayor!$C:$C, B$20, Libro_Diario_Mayor!$B:$B, "&gt;="&amp;DATE(2026, MONTH(1&amp;$A22), 1), Libro_Diario_Mayor!$B:$B, "&lt;"&amp;DATE(2026, MONTH(1&amp;$A22)+1, 1))</f>
        <v>0</v>
      </c>
      <c r="D22" s="12">
        <f>SUMIFS(Libro_Diario_Mayor!$G:$G, Libro_Diario_Mayor!$C:$C, B$20, Libro_Diario_Mayor!$B:$B, "&gt;="&amp;DATE(2026, MONTH(1&amp;$A22), 1), Libro_Diario_Mayor!$B:$B, "&lt;"&amp;DATE(2026, MONTH(1&amp;$A22)+1, 1))</f>
        <v>0</v>
      </c>
      <c r="E22" s="12">
        <f>+C22-D22</f>
        <v>0</v>
      </c>
      <c r="H22" s="12">
        <f>SUMIFS(Libro_Diario_Mayor!$F:$F, Libro_Diario_Mayor!$C:$C, G$20, Libro_Diario_Mayor!$B:$B, "&gt;="&amp;DATE(2026, MONTH(1&amp;$A22), 1), Libro_Diario_Mayor!$B:$B, "&lt;"&amp;DATE(2026, MONTH(1&amp;$A22)+1, 1))</f>
        <v>0</v>
      </c>
      <c r="I22" s="12">
        <f>SUMIFS(Libro_Diario_Mayor!$G:$G, Libro_Diario_Mayor!$C:$C, G$20, Libro_Diario_Mayor!$B:$B, "&gt;="&amp;DATE(2026, MONTH(1&amp;$A22), 1), Libro_Diario_Mayor!$B:$B, "&lt;"&amp;DATE(2026, MONTH(1&amp;$A22)+1, 1))</f>
        <v>0</v>
      </c>
      <c r="J22" s="12">
        <f>+H22-I22</f>
        <v>0</v>
      </c>
      <c r="M22" s="12">
        <f>SUMIFS(Libro_Diario_Mayor!$F:$F, Libro_Diario_Mayor!$C:$C, L$20, Libro_Diario_Mayor!$B:$B, "&gt;="&amp;DATE(2026, MONTH(1&amp;$A22), 1), Libro_Diario_Mayor!$B:$B, "&lt;"&amp;DATE(2026, MONTH(1&amp;$A22)+1, 1))</f>
        <v>0</v>
      </c>
      <c r="N22" s="12">
        <f>SUMIFS(Libro_Diario_Mayor!$G:$G, Libro_Diario_Mayor!$C:$C, L$20, Libro_Diario_Mayor!$B:$B, "&gt;="&amp;DATE(2026, MONTH(1&amp;$A22), 1), Libro_Diario_Mayor!$B:$B, "&lt;"&amp;DATE(2026, MONTH(1&amp;$A22)+1, 1))</f>
        <v>0</v>
      </c>
      <c r="O22" s="12">
        <f>+M22-N22</f>
        <v>0</v>
      </c>
      <c r="R22" s="12">
        <f>SUMIFS(Libro_Diario_Mayor!$F:$F, Libro_Diario_Mayor!$C:$C, Q$20, Libro_Diario_Mayor!$B:$B, "&gt;="&amp;DATE(2026, MONTH(1&amp;$A22), 1), Libro_Diario_Mayor!$B:$B, "&lt;"&amp;DATE(2026, MONTH(1&amp;$A22)+1, 1))</f>
        <v>0</v>
      </c>
      <c r="S22" s="12">
        <f>SUMIFS(Libro_Diario_Mayor!$G:$G, Libro_Diario_Mayor!$C:$C, Q$20, Libro_Diario_Mayor!$B:$B, "&gt;="&amp;DATE(2026, MONTH(1&amp;$A22), 1), Libro_Diario_Mayor!$B:$B, "&lt;"&amp;DATE(2026, MONTH(1&amp;$A22)+1, 1))</f>
        <v>0</v>
      </c>
      <c r="T22" s="12">
        <f>+R22-S22</f>
        <v>0</v>
      </c>
      <c r="W22" s="12">
        <f>SUMIFS(Libro_Diario_Mayor!$F:$F, Libro_Diario_Mayor!$C:$C, V$20, Libro_Diario_Mayor!$B:$B, "&gt;="&amp;DATE(2026, MONTH(1&amp;$A22), 1), Libro_Diario_Mayor!$B:$B, "&lt;"&amp;DATE(2026, MONTH(1&amp;$A22)+1, 1))</f>
        <v>0</v>
      </c>
      <c r="X22" s="12">
        <f>SUMIFS(Libro_Diario_Mayor!$G:$G, Libro_Diario_Mayor!$C:$C, V$20, Libro_Diario_Mayor!$B:$B, "&gt;="&amp;DATE(2026, MONTH(1&amp;$A22), 1), Libro_Diario_Mayor!$B:$B, "&lt;"&amp;DATE(2026, MONTH(1&amp;$A22)+1, 1))</f>
        <v>0</v>
      </c>
      <c r="Y22" s="12">
        <f>+W22-X22</f>
        <v>0</v>
      </c>
      <c r="AB22" s="12">
        <f>SUMIFS(Libro_Diario_Mayor!$F:$F, Libro_Diario_Mayor!$C:$C, AA$20, Libro_Diario_Mayor!$B:$B, "&gt;="&amp;DATE(2026, MONTH(1&amp;$A22), 1), Libro_Diario_Mayor!$B:$B, "&lt;"&amp;DATE(2026, MONTH(1&amp;$A22)+1, 1))</f>
        <v>0</v>
      </c>
      <c r="AC22" s="12">
        <f>SUMIFS(Libro_Diario_Mayor!$G:$G, Libro_Diario_Mayor!$C:$C, AA$20, Libro_Diario_Mayor!$B:$B, "&gt;="&amp;DATE(2026, MONTH(1&amp;$A22), 1), Libro_Diario_Mayor!$B:$B, "&lt;"&amp;DATE(2026, MONTH(1&amp;$A22)+1, 1))</f>
        <v>0</v>
      </c>
      <c r="AD22" s="12">
        <f>+AB22-AC22</f>
        <v>0</v>
      </c>
    </row>
    <row r="23" spans="1:30" s="12" customFormat="1" x14ac:dyDescent="0.3">
      <c r="A23" s="12" t="s">
        <v>1901</v>
      </c>
      <c r="C23" s="12">
        <f>SUMIFS(Libro_Diario_Mayor!$F:$F, Libro_Diario_Mayor!$C:$C, B$20, Libro_Diario_Mayor!$B:$B, "&gt;="&amp;DATE(2026, MONTH(1&amp;$A23), 1), Libro_Diario_Mayor!$B:$B, "&lt;"&amp;DATE(2026, MONTH(1&amp;$A23)+1, 1))</f>
        <v>0</v>
      </c>
      <c r="D23" s="12">
        <f>SUMIFS(Libro_Diario_Mayor!$G:$G, Libro_Diario_Mayor!$C:$C, B$20, Libro_Diario_Mayor!$B:$B, "&gt;="&amp;DATE(2026, MONTH(1&amp;$A23), 1), Libro_Diario_Mayor!$B:$B, "&lt;"&amp;DATE(2026, MONTH(1&amp;$A23)+1, 1))</f>
        <v>0</v>
      </c>
      <c r="E23" s="12">
        <f t="shared" ref="E23:E33" si="6">+C23-D23</f>
        <v>0</v>
      </c>
      <c r="H23" s="12">
        <f>SUMIFS(Libro_Diario_Mayor!$F:$F, Libro_Diario_Mayor!$C:$C, G$20, Libro_Diario_Mayor!$B:$B, "&gt;="&amp;DATE(2026, MONTH(1&amp;$A23), 1), Libro_Diario_Mayor!$B:$B, "&lt;"&amp;DATE(2026, MONTH(1&amp;$A23)+1, 1))</f>
        <v>0</v>
      </c>
      <c r="I23" s="12">
        <f>SUMIFS(Libro_Diario_Mayor!$G:$G, Libro_Diario_Mayor!$C:$C, G$20, Libro_Diario_Mayor!$B:$B, "&gt;="&amp;DATE(2026, MONTH(1&amp;$A23), 1), Libro_Diario_Mayor!$B:$B, "&lt;"&amp;DATE(2026, MONTH(1&amp;$A23)+1, 1))</f>
        <v>0</v>
      </c>
      <c r="J23" s="12">
        <f t="shared" ref="J23:J33" si="7">+H23-I23</f>
        <v>0</v>
      </c>
      <c r="M23" s="12">
        <f>SUMIFS(Libro_Diario_Mayor!$F:$F, Libro_Diario_Mayor!$C:$C, L$20, Libro_Diario_Mayor!$B:$B, "&gt;="&amp;DATE(2026, MONTH(1&amp;$A23), 1), Libro_Diario_Mayor!$B:$B, "&lt;"&amp;DATE(2026, MONTH(1&amp;$A23)+1, 1))</f>
        <v>0</v>
      </c>
      <c r="N23" s="12">
        <f>SUMIFS(Libro_Diario_Mayor!$G:$G, Libro_Diario_Mayor!$C:$C, L$20, Libro_Diario_Mayor!$B:$B, "&gt;="&amp;DATE(2026, MONTH(1&amp;$A23), 1), Libro_Diario_Mayor!$B:$B, "&lt;"&amp;DATE(2026, MONTH(1&amp;$A23)+1, 1))</f>
        <v>0</v>
      </c>
      <c r="O23" s="12">
        <f t="shared" ref="O23:O33" si="8">+M23-N23</f>
        <v>0</v>
      </c>
      <c r="R23" s="12">
        <f>SUMIFS(Libro_Diario_Mayor!$F:$F, Libro_Diario_Mayor!$C:$C, Q$20, Libro_Diario_Mayor!$B:$B, "&gt;="&amp;DATE(2026, MONTH(1&amp;$A23), 1), Libro_Diario_Mayor!$B:$B, "&lt;"&amp;DATE(2026, MONTH(1&amp;$A23)+1, 1))</f>
        <v>0</v>
      </c>
      <c r="S23" s="12">
        <f>SUMIFS(Libro_Diario_Mayor!$G:$G, Libro_Diario_Mayor!$C:$C, Q$20, Libro_Diario_Mayor!$B:$B, "&gt;="&amp;DATE(2026, MONTH(1&amp;$A23), 1), Libro_Diario_Mayor!$B:$B, "&lt;"&amp;DATE(2026, MONTH(1&amp;$A23)+1, 1))</f>
        <v>0</v>
      </c>
      <c r="T23" s="12">
        <f t="shared" ref="T23:T33" si="9">+R23-S23</f>
        <v>0</v>
      </c>
      <c r="W23" s="12">
        <f>SUMIFS(Libro_Diario_Mayor!$F:$F, Libro_Diario_Mayor!$C:$C, V$20, Libro_Diario_Mayor!$B:$B, "&gt;="&amp;DATE(2026, MONTH(1&amp;$A23), 1), Libro_Diario_Mayor!$B:$B, "&lt;"&amp;DATE(2026, MONTH(1&amp;$A23)+1, 1))</f>
        <v>0</v>
      </c>
      <c r="X23" s="12">
        <f>SUMIFS(Libro_Diario_Mayor!$G:$G, Libro_Diario_Mayor!$C:$C, V$20, Libro_Diario_Mayor!$B:$B, "&gt;="&amp;DATE(2026, MONTH(1&amp;$A23), 1), Libro_Diario_Mayor!$B:$B, "&lt;"&amp;DATE(2026, MONTH(1&amp;$A23)+1, 1))</f>
        <v>0</v>
      </c>
      <c r="Y23" s="12">
        <f t="shared" ref="Y23:Y33" si="10">+W23-X23</f>
        <v>0</v>
      </c>
      <c r="AB23" s="12">
        <f>SUMIFS(Libro_Diario_Mayor!$F:$F, Libro_Diario_Mayor!$C:$C, AA$20, Libro_Diario_Mayor!$B:$B, "&gt;="&amp;DATE(2026, MONTH(1&amp;$A23), 1), Libro_Diario_Mayor!$B:$B, "&lt;"&amp;DATE(2026, MONTH(1&amp;$A23)+1, 1))</f>
        <v>0</v>
      </c>
      <c r="AC23" s="12">
        <f>SUMIFS(Libro_Diario_Mayor!$G:$G, Libro_Diario_Mayor!$C:$C, AA$20, Libro_Diario_Mayor!$B:$B, "&gt;="&amp;DATE(2026, MONTH(1&amp;$A23), 1), Libro_Diario_Mayor!$B:$B, "&lt;"&amp;DATE(2026, MONTH(1&amp;$A23)+1, 1))</f>
        <v>0</v>
      </c>
      <c r="AD23" s="12">
        <f t="shared" ref="AD23:AD33" si="11">+AB23-AC23</f>
        <v>0</v>
      </c>
    </row>
    <row r="24" spans="1:30" s="12" customFormat="1" x14ac:dyDescent="0.3">
      <c r="A24" s="12" t="s">
        <v>1902</v>
      </c>
      <c r="C24" s="12">
        <f>SUMIFS(Libro_Diario_Mayor!$F:$F, Libro_Diario_Mayor!$C:$C, B$20, Libro_Diario_Mayor!$B:$B, "&gt;="&amp;DATE(2026, MONTH(1&amp;$A24), 1), Libro_Diario_Mayor!$B:$B, "&lt;"&amp;DATE(2026, MONTH(1&amp;$A24)+1, 1))</f>
        <v>0</v>
      </c>
      <c r="D24" s="12">
        <f>SUMIFS(Libro_Diario_Mayor!$G:$G, Libro_Diario_Mayor!$C:$C, B$20, Libro_Diario_Mayor!$B:$B, "&gt;="&amp;DATE(2026, MONTH(1&amp;$A24), 1), Libro_Diario_Mayor!$B:$B, "&lt;"&amp;DATE(2026, MONTH(1&amp;$A24)+1, 1))</f>
        <v>0</v>
      </c>
      <c r="E24" s="12">
        <f t="shared" si="6"/>
        <v>0</v>
      </c>
      <c r="H24" s="12">
        <f>SUMIFS(Libro_Diario_Mayor!$F:$F, Libro_Diario_Mayor!$C:$C, G$20, Libro_Diario_Mayor!$B:$B, "&gt;="&amp;DATE(2026, MONTH(1&amp;$A24), 1), Libro_Diario_Mayor!$B:$B, "&lt;"&amp;DATE(2026, MONTH(1&amp;$A24)+1, 1))</f>
        <v>0</v>
      </c>
      <c r="I24" s="12">
        <f>SUMIFS(Libro_Diario_Mayor!$G:$G, Libro_Diario_Mayor!$C:$C, G$20, Libro_Diario_Mayor!$B:$B, "&gt;="&amp;DATE(2026, MONTH(1&amp;$A24), 1), Libro_Diario_Mayor!$B:$B, "&lt;"&amp;DATE(2026, MONTH(1&amp;$A24)+1, 1))</f>
        <v>0</v>
      </c>
      <c r="J24" s="12">
        <f t="shared" si="7"/>
        <v>0</v>
      </c>
      <c r="M24" s="12">
        <f>SUMIFS(Libro_Diario_Mayor!$F:$F, Libro_Diario_Mayor!$C:$C, L$20, Libro_Diario_Mayor!$B:$B, "&gt;="&amp;DATE(2026, MONTH(1&amp;$A24), 1), Libro_Diario_Mayor!$B:$B, "&lt;"&amp;DATE(2026, MONTH(1&amp;$A24)+1, 1))</f>
        <v>0</v>
      </c>
      <c r="N24" s="12">
        <f>SUMIFS(Libro_Diario_Mayor!$G:$G, Libro_Diario_Mayor!$C:$C, L$20, Libro_Diario_Mayor!$B:$B, "&gt;="&amp;DATE(2026, MONTH(1&amp;$A24), 1), Libro_Diario_Mayor!$B:$B, "&lt;"&amp;DATE(2026, MONTH(1&amp;$A24)+1, 1))</f>
        <v>0</v>
      </c>
      <c r="O24" s="12">
        <f t="shared" si="8"/>
        <v>0</v>
      </c>
      <c r="R24" s="12">
        <f>SUMIFS(Libro_Diario_Mayor!$F:$F, Libro_Diario_Mayor!$C:$C, Q$20, Libro_Diario_Mayor!$B:$B, "&gt;="&amp;DATE(2026, MONTH(1&amp;$A24), 1), Libro_Diario_Mayor!$B:$B, "&lt;"&amp;DATE(2026, MONTH(1&amp;$A24)+1, 1))</f>
        <v>0</v>
      </c>
      <c r="S24" s="12">
        <f>SUMIFS(Libro_Diario_Mayor!$G:$G, Libro_Diario_Mayor!$C:$C, Q$20, Libro_Diario_Mayor!$B:$B, "&gt;="&amp;DATE(2026, MONTH(1&amp;$A24), 1), Libro_Diario_Mayor!$B:$B, "&lt;"&amp;DATE(2026, MONTH(1&amp;$A24)+1, 1))</f>
        <v>0</v>
      </c>
      <c r="T24" s="12">
        <f t="shared" si="9"/>
        <v>0</v>
      </c>
      <c r="W24" s="12">
        <f>SUMIFS(Libro_Diario_Mayor!$F:$F, Libro_Diario_Mayor!$C:$C, V$20, Libro_Diario_Mayor!$B:$B, "&gt;="&amp;DATE(2026, MONTH(1&amp;$A24), 1), Libro_Diario_Mayor!$B:$B, "&lt;"&amp;DATE(2026, MONTH(1&amp;$A24)+1, 1))</f>
        <v>0</v>
      </c>
      <c r="X24" s="12">
        <f>SUMIFS(Libro_Diario_Mayor!$G:$G, Libro_Diario_Mayor!$C:$C, V$20, Libro_Diario_Mayor!$B:$B, "&gt;="&amp;DATE(2026, MONTH(1&amp;$A24), 1), Libro_Diario_Mayor!$B:$B, "&lt;"&amp;DATE(2026, MONTH(1&amp;$A24)+1, 1))</f>
        <v>0</v>
      </c>
      <c r="Y24" s="12">
        <f t="shared" si="10"/>
        <v>0</v>
      </c>
      <c r="AB24" s="12">
        <f>SUMIFS(Libro_Diario_Mayor!$F:$F, Libro_Diario_Mayor!$C:$C, AA$20, Libro_Diario_Mayor!$B:$B, "&gt;="&amp;DATE(2026, MONTH(1&amp;$A24), 1), Libro_Diario_Mayor!$B:$B, "&lt;"&amp;DATE(2026, MONTH(1&amp;$A24)+1, 1))</f>
        <v>0</v>
      </c>
      <c r="AC24" s="12">
        <f>SUMIFS(Libro_Diario_Mayor!$G:$G, Libro_Diario_Mayor!$C:$C, AA$20, Libro_Diario_Mayor!$B:$B, "&gt;="&amp;DATE(2026, MONTH(1&amp;$A24), 1), Libro_Diario_Mayor!$B:$B, "&lt;"&amp;DATE(2026, MONTH(1&amp;$A24)+1, 1))</f>
        <v>0</v>
      </c>
      <c r="AD24" s="12">
        <f t="shared" si="11"/>
        <v>0</v>
      </c>
    </row>
    <row r="25" spans="1:30" s="12" customFormat="1" x14ac:dyDescent="0.3">
      <c r="A25" s="12" t="s">
        <v>1903</v>
      </c>
      <c r="C25" s="12">
        <f>SUMIFS(Libro_Diario_Mayor!$F:$F, Libro_Diario_Mayor!$C:$C, B$20, Libro_Diario_Mayor!$B:$B, "&gt;="&amp;DATE(2026, MONTH(1&amp;$A25), 1), Libro_Diario_Mayor!$B:$B, "&lt;"&amp;DATE(2026, MONTH(1&amp;$A25)+1, 1))</f>
        <v>0</v>
      </c>
      <c r="D25" s="12">
        <f>SUMIFS(Libro_Diario_Mayor!$G:$G, Libro_Diario_Mayor!$C:$C, B$20, Libro_Diario_Mayor!$B:$B, "&gt;="&amp;DATE(2026, MONTH(1&amp;$A25), 1), Libro_Diario_Mayor!$B:$B, "&lt;"&amp;DATE(2026, MONTH(1&amp;$A25)+1, 1))</f>
        <v>6465225</v>
      </c>
      <c r="E25" s="12">
        <f t="shared" si="6"/>
        <v>-6465225</v>
      </c>
      <c r="H25" s="12">
        <f>SUMIFS(Libro_Diario_Mayor!$F:$F, Libro_Diario_Mayor!$C:$C, G$20, Libro_Diario_Mayor!$B:$B, "&gt;="&amp;DATE(2026, MONTH(1&amp;$A25), 1), Libro_Diario_Mayor!$B:$B, "&lt;"&amp;DATE(2026, MONTH(1&amp;$A25)+1, 1))</f>
        <v>0</v>
      </c>
      <c r="I25" s="12">
        <f>SUMIFS(Libro_Diario_Mayor!$G:$G, Libro_Diario_Mayor!$C:$C, G$20, Libro_Diario_Mayor!$B:$B, "&gt;="&amp;DATE(2026, MONTH(1&amp;$A25), 1), Libro_Diario_Mayor!$B:$B, "&lt;"&amp;DATE(2026, MONTH(1&amp;$A25)+1, 1))</f>
        <v>0</v>
      </c>
      <c r="J25" s="12">
        <f t="shared" si="7"/>
        <v>0</v>
      </c>
      <c r="M25" s="12">
        <f>SUMIFS(Libro_Diario_Mayor!$F:$F, Libro_Diario_Mayor!$C:$C, L$20, Libro_Diario_Mayor!$B:$B, "&gt;="&amp;DATE(2026, MONTH(1&amp;$A25), 1), Libro_Diario_Mayor!$B:$B, "&lt;"&amp;DATE(2026, MONTH(1&amp;$A25)+1, 1))</f>
        <v>0</v>
      </c>
      <c r="N25" s="12">
        <f>SUMIFS(Libro_Diario_Mayor!$G:$G, Libro_Diario_Mayor!$C:$C, L$20, Libro_Diario_Mayor!$B:$B, "&gt;="&amp;DATE(2026, MONTH(1&amp;$A25), 1), Libro_Diario_Mayor!$B:$B, "&lt;"&amp;DATE(2026, MONTH(1&amp;$A25)+1, 1))</f>
        <v>0</v>
      </c>
      <c r="O25" s="12">
        <f t="shared" si="8"/>
        <v>0</v>
      </c>
      <c r="R25" s="12">
        <f>SUMIFS(Libro_Diario_Mayor!$F:$F, Libro_Diario_Mayor!$C:$C, Q$20, Libro_Diario_Mayor!$B:$B, "&gt;="&amp;DATE(2026, MONTH(1&amp;$A25), 1), Libro_Diario_Mayor!$B:$B, "&lt;"&amp;DATE(2026, MONTH(1&amp;$A25)+1, 1))</f>
        <v>0</v>
      </c>
      <c r="S25" s="12">
        <f>SUMIFS(Libro_Diario_Mayor!$G:$G, Libro_Diario_Mayor!$C:$C, Q$20, Libro_Diario_Mayor!$B:$B, "&gt;="&amp;DATE(2026, MONTH(1&amp;$A25), 1), Libro_Diario_Mayor!$B:$B, "&lt;"&amp;DATE(2026, MONTH(1&amp;$A25)+1, 1))</f>
        <v>0</v>
      </c>
      <c r="T25" s="12">
        <f t="shared" si="9"/>
        <v>0</v>
      </c>
      <c r="W25" s="12">
        <f>SUMIFS(Libro_Diario_Mayor!$F:$F, Libro_Diario_Mayor!$C:$C, V$20, Libro_Diario_Mayor!$B:$B, "&gt;="&amp;DATE(2026, MONTH(1&amp;$A25), 1), Libro_Diario_Mayor!$B:$B, "&lt;"&amp;DATE(2026, MONTH(1&amp;$A25)+1, 1))</f>
        <v>32000</v>
      </c>
      <c r="X25" s="12">
        <f>SUMIFS(Libro_Diario_Mayor!$G:$G, Libro_Diario_Mayor!$C:$C, V$20, Libro_Diario_Mayor!$B:$B, "&gt;="&amp;DATE(2026, MONTH(1&amp;$A25), 1), Libro_Diario_Mayor!$B:$B, "&lt;"&amp;DATE(2026, MONTH(1&amp;$A25)+1, 1))</f>
        <v>0</v>
      </c>
      <c r="Y25" s="12">
        <f t="shared" si="10"/>
        <v>32000</v>
      </c>
      <c r="AB25" s="12">
        <f>SUMIFS(Libro_Diario_Mayor!$F:$F, Libro_Diario_Mayor!$C:$C, AA$20, Libro_Diario_Mayor!$B:$B, "&gt;="&amp;DATE(2026, MONTH(1&amp;$A25), 1), Libro_Diario_Mayor!$B:$B, "&lt;"&amp;DATE(2026, MONTH(1&amp;$A25)+1, 1))</f>
        <v>80000</v>
      </c>
      <c r="AC25" s="12">
        <f>SUMIFS(Libro_Diario_Mayor!$G:$G, Libro_Diario_Mayor!$C:$C, AA$20, Libro_Diario_Mayor!$B:$B, "&gt;="&amp;DATE(2026, MONTH(1&amp;$A25), 1), Libro_Diario_Mayor!$B:$B, "&lt;"&amp;DATE(2026, MONTH(1&amp;$A25)+1, 1))</f>
        <v>0</v>
      </c>
      <c r="AD25" s="12">
        <f t="shared" si="11"/>
        <v>80000</v>
      </c>
    </row>
    <row r="26" spans="1:30" s="12" customFormat="1" x14ac:dyDescent="0.3">
      <c r="A26" s="12" t="s">
        <v>1904</v>
      </c>
      <c r="C26" s="12">
        <f>SUMIFS(Libro_Diario_Mayor!$F:$F, Libro_Diario_Mayor!$C:$C, B$20, Libro_Diario_Mayor!$B:$B, "&gt;="&amp;DATE(2026, MONTH(1&amp;$A26), 1), Libro_Diario_Mayor!$B:$B, "&lt;"&amp;DATE(2026, MONTH(1&amp;$A26)+1, 1))</f>
        <v>0</v>
      </c>
      <c r="D26" s="12">
        <f>SUMIFS(Libro_Diario_Mayor!$G:$G, Libro_Diario_Mayor!$C:$C, B$20, Libro_Diario_Mayor!$B:$B, "&gt;="&amp;DATE(2026, MONTH(1&amp;$A26), 1), Libro_Diario_Mayor!$B:$B, "&lt;"&amp;DATE(2026, MONTH(1&amp;$A26)+1, 1))</f>
        <v>0</v>
      </c>
      <c r="E26" s="12">
        <f t="shared" si="6"/>
        <v>0</v>
      </c>
      <c r="H26" s="12">
        <f>SUMIFS(Libro_Diario_Mayor!$F:$F, Libro_Diario_Mayor!$C:$C, G$20, Libro_Diario_Mayor!$B:$B, "&gt;="&amp;DATE(2026, MONTH(1&amp;$A26), 1), Libro_Diario_Mayor!$B:$B, "&lt;"&amp;DATE(2026, MONTH(1&amp;$A26)+1, 1))</f>
        <v>0</v>
      </c>
      <c r="I26" s="12">
        <f>SUMIFS(Libro_Diario_Mayor!$G:$G, Libro_Diario_Mayor!$C:$C, G$20, Libro_Diario_Mayor!$B:$B, "&gt;="&amp;DATE(2026, MONTH(1&amp;$A26), 1), Libro_Diario_Mayor!$B:$B, "&lt;"&amp;DATE(2026, MONTH(1&amp;$A26)+1, 1))</f>
        <v>572002</v>
      </c>
      <c r="J26" s="12">
        <f t="shared" si="7"/>
        <v>-572002</v>
      </c>
      <c r="M26" s="12">
        <f>SUMIFS(Libro_Diario_Mayor!$F:$F, Libro_Diario_Mayor!$C:$C, L$20, Libro_Diario_Mayor!$B:$B, "&gt;="&amp;DATE(2026, MONTH(1&amp;$A26), 1), Libro_Diario_Mayor!$B:$B, "&lt;"&amp;DATE(2026, MONTH(1&amp;$A26)+1, 1))</f>
        <v>0</v>
      </c>
      <c r="N26" s="12">
        <f>SUMIFS(Libro_Diario_Mayor!$G:$G, Libro_Diario_Mayor!$C:$C, L$20, Libro_Diario_Mayor!$B:$B, "&gt;="&amp;DATE(2026, MONTH(1&amp;$A26), 1), Libro_Diario_Mayor!$B:$B, "&lt;"&amp;DATE(2026, MONTH(1&amp;$A26)+1, 1))</f>
        <v>2341.23</v>
      </c>
      <c r="O26" s="12">
        <f t="shared" si="8"/>
        <v>-2341.23</v>
      </c>
      <c r="R26" s="12">
        <f>SUMIFS(Libro_Diario_Mayor!$F:$F, Libro_Diario_Mayor!$C:$C, Q$20, Libro_Diario_Mayor!$B:$B, "&gt;="&amp;DATE(2026, MONTH(1&amp;$A26), 1), Libro_Diario_Mayor!$B:$B, "&lt;"&amp;DATE(2026, MONTH(1&amp;$A26)+1, 1))</f>
        <v>300000</v>
      </c>
      <c r="S26" s="12">
        <f>SUMIFS(Libro_Diario_Mayor!$G:$G, Libro_Diario_Mayor!$C:$C, Q$20, Libro_Diario_Mayor!$B:$B, "&gt;="&amp;DATE(2026, MONTH(1&amp;$A26), 1), Libro_Diario_Mayor!$B:$B, "&lt;"&amp;DATE(2026, MONTH(1&amp;$A26)+1, 1))</f>
        <v>0</v>
      </c>
      <c r="T26" s="12">
        <f t="shared" si="9"/>
        <v>300000</v>
      </c>
      <c r="W26" s="12">
        <f>SUMIFS(Libro_Diario_Mayor!$F:$F, Libro_Diario_Mayor!$C:$C, V$20, Libro_Diario_Mayor!$B:$B, "&gt;="&amp;DATE(2026, MONTH(1&amp;$A26), 1), Libro_Diario_Mayor!$B:$B, "&lt;"&amp;DATE(2026, MONTH(1&amp;$A26)+1, 1))</f>
        <v>0</v>
      </c>
      <c r="X26" s="12">
        <f>SUMIFS(Libro_Diario_Mayor!$G:$G, Libro_Diario_Mayor!$C:$C, V$20, Libro_Diario_Mayor!$B:$B, "&gt;="&amp;DATE(2026, MONTH(1&amp;$A26), 1), Libro_Diario_Mayor!$B:$B, "&lt;"&amp;DATE(2026, MONTH(1&amp;$A26)+1, 1))</f>
        <v>0</v>
      </c>
      <c r="Y26" s="12">
        <f t="shared" si="10"/>
        <v>0</v>
      </c>
      <c r="AB26" s="12">
        <f>SUMIFS(Libro_Diario_Mayor!$F:$F, Libro_Diario_Mayor!$C:$C, AA$20, Libro_Diario_Mayor!$B:$B, "&gt;="&amp;DATE(2026, MONTH(1&amp;$A26), 1), Libro_Diario_Mayor!$B:$B, "&lt;"&amp;DATE(2026, MONTH(1&amp;$A26)+1, 1))</f>
        <v>0</v>
      </c>
      <c r="AC26" s="12">
        <f>SUMIFS(Libro_Diario_Mayor!$G:$G, Libro_Diario_Mayor!$C:$C, AA$20, Libro_Diario_Mayor!$B:$B, "&gt;="&amp;DATE(2026, MONTH(1&amp;$A26), 1), Libro_Diario_Mayor!$B:$B, "&lt;"&amp;DATE(2026, MONTH(1&amp;$A26)+1, 1))</f>
        <v>0</v>
      </c>
      <c r="AD26" s="12">
        <f t="shared" si="11"/>
        <v>0</v>
      </c>
    </row>
    <row r="27" spans="1:30" s="12" customFormat="1" x14ac:dyDescent="0.3">
      <c r="A27" s="12" t="s">
        <v>1905</v>
      </c>
      <c r="C27" s="12">
        <f>SUMIFS(Libro_Diario_Mayor!$F:$F, Libro_Diario_Mayor!$C:$C, B$20, Libro_Diario_Mayor!$B:$B, "&gt;="&amp;DATE(2026, MONTH(1&amp;$A27), 1), Libro_Diario_Mayor!$B:$B, "&lt;"&amp;DATE(2026, MONTH(1&amp;$A27)+1, 1))</f>
        <v>0</v>
      </c>
      <c r="D27" s="12">
        <f>SUMIFS(Libro_Diario_Mayor!$G:$G, Libro_Diario_Mayor!$C:$C, B$20, Libro_Diario_Mayor!$B:$B, "&gt;="&amp;DATE(2026, MONTH(1&amp;$A27), 1), Libro_Diario_Mayor!$B:$B, "&lt;"&amp;DATE(2026, MONTH(1&amp;$A27)+1, 1))</f>
        <v>0</v>
      </c>
      <c r="E27" s="12">
        <f t="shared" si="6"/>
        <v>0</v>
      </c>
      <c r="H27" s="12">
        <f>SUMIFS(Libro_Diario_Mayor!$F:$F, Libro_Diario_Mayor!$C:$C, G$20, Libro_Diario_Mayor!$B:$B, "&gt;="&amp;DATE(2026, MONTH(1&amp;$A27), 1), Libro_Diario_Mayor!$B:$B, "&lt;"&amp;DATE(2026, MONTH(1&amp;$A27)+1, 1))</f>
        <v>0</v>
      </c>
      <c r="I27" s="12">
        <f>SUMIFS(Libro_Diario_Mayor!$G:$G, Libro_Diario_Mayor!$C:$C, G$20, Libro_Diario_Mayor!$B:$B, "&gt;="&amp;DATE(2026, MONTH(1&amp;$A27), 1), Libro_Diario_Mayor!$B:$B, "&lt;"&amp;DATE(2026, MONTH(1&amp;$A27)+1, 1))</f>
        <v>0</v>
      </c>
      <c r="J27" s="12">
        <f t="shared" si="7"/>
        <v>0</v>
      </c>
      <c r="M27" s="12">
        <f>SUMIFS(Libro_Diario_Mayor!$F:$F, Libro_Diario_Mayor!$C:$C, L$20, Libro_Diario_Mayor!$B:$B, "&gt;="&amp;DATE(2026, MONTH(1&amp;$A27), 1), Libro_Diario_Mayor!$B:$B, "&lt;"&amp;DATE(2026, MONTH(1&amp;$A27)+1, 1))</f>
        <v>0</v>
      </c>
      <c r="N27" s="12">
        <f>SUMIFS(Libro_Diario_Mayor!$G:$G, Libro_Diario_Mayor!$C:$C, L$20, Libro_Diario_Mayor!$B:$B, "&gt;="&amp;DATE(2026, MONTH(1&amp;$A27), 1), Libro_Diario_Mayor!$B:$B, "&lt;"&amp;DATE(2026, MONTH(1&amp;$A27)+1, 1))</f>
        <v>0</v>
      </c>
      <c r="O27" s="12">
        <f t="shared" si="8"/>
        <v>0</v>
      </c>
      <c r="R27" s="12">
        <f>SUMIFS(Libro_Diario_Mayor!$F:$F, Libro_Diario_Mayor!$C:$C, Q$20, Libro_Diario_Mayor!$B:$B, "&gt;="&amp;DATE(2026, MONTH(1&amp;$A27), 1), Libro_Diario_Mayor!$B:$B, "&lt;"&amp;DATE(2026, MONTH(1&amp;$A27)+1, 1))</f>
        <v>0</v>
      </c>
      <c r="S27" s="12">
        <f>SUMIFS(Libro_Diario_Mayor!$G:$G, Libro_Diario_Mayor!$C:$C, Q$20, Libro_Diario_Mayor!$B:$B, "&gt;="&amp;DATE(2026, MONTH(1&amp;$A27), 1), Libro_Diario_Mayor!$B:$B, "&lt;"&amp;DATE(2026, MONTH(1&amp;$A27)+1, 1))</f>
        <v>0</v>
      </c>
      <c r="T27" s="12">
        <f t="shared" si="9"/>
        <v>0</v>
      </c>
      <c r="W27" s="12">
        <f>SUMIFS(Libro_Diario_Mayor!$F:$F, Libro_Diario_Mayor!$C:$C, V$20, Libro_Diario_Mayor!$B:$B, "&gt;="&amp;DATE(2026, MONTH(1&amp;$A27), 1), Libro_Diario_Mayor!$B:$B, "&lt;"&amp;DATE(2026, MONTH(1&amp;$A27)+1, 1))</f>
        <v>0</v>
      </c>
      <c r="X27" s="12">
        <f>SUMIFS(Libro_Diario_Mayor!$G:$G, Libro_Diario_Mayor!$C:$C, V$20, Libro_Diario_Mayor!$B:$B, "&gt;="&amp;DATE(2026, MONTH(1&amp;$A27), 1), Libro_Diario_Mayor!$B:$B, "&lt;"&amp;DATE(2026, MONTH(1&amp;$A27)+1, 1))</f>
        <v>0</v>
      </c>
      <c r="Y27" s="12">
        <f t="shared" si="10"/>
        <v>0</v>
      </c>
      <c r="AB27" s="12">
        <f>SUMIFS(Libro_Diario_Mayor!$F:$F, Libro_Diario_Mayor!$C:$C, AA$20, Libro_Diario_Mayor!$B:$B, "&gt;="&amp;DATE(2026, MONTH(1&amp;$A27), 1), Libro_Diario_Mayor!$B:$B, "&lt;"&amp;DATE(2026, MONTH(1&amp;$A27)+1, 1))</f>
        <v>0</v>
      </c>
      <c r="AC27" s="12">
        <f>SUMIFS(Libro_Diario_Mayor!$G:$G, Libro_Diario_Mayor!$C:$C, AA$20, Libro_Diario_Mayor!$B:$B, "&gt;="&amp;DATE(2026, MONTH(1&amp;$A27), 1), Libro_Diario_Mayor!$B:$B, "&lt;"&amp;DATE(2026, MONTH(1&amp;$A27)+1, 1))</f>
        <v>0</v>
      </c>
      <c r="AD27" s="12">
        <f t="shared" si="11"/>
        <v>0</v>
      </c>
    </row>
    <row r="28" spans="1:30" s="12" customFormat="1" x14ac:dyDescent="0.3">
      <c r="A28" s="12" t="s">
        <v>1906</v>
      </c>
      <c r="C28" s="12">
        <f>SUMIFS(Libro_Diario_Mayor!$F:$F, Libro_Diario_Mayor!$C:$C, B$20, Libro_Diario_Mayor!$B:$B, "&gt;="&amp;DATE(2026, MONTH(1&amp;$A28), 1), Libro_Diario_Mayor!$B:$B, "&lt;"&amp;DATE(2026, MONTH(1&amp;$A28)+1, 1))</f>
        <v>0</v>
      </c>
      <c r="D28" s="12">
        <f>SUMIFS(Libro_Diario_Mayor!$G:$G, Libro_Diario_Mayor!$C:$C, B$20, Libro_Diario_Mayor!$B:$B, "&gt;="&amp;DATE(2026, MONTH(1&amp;$A28), 1), Libro_Diario_Mayor!$B:$B, "&lt;"&amp;DATE(2026, MONTH(1&amp;$A28)+1, 1))</f>
        <v>0</v>
      </c>
      <c r="E28" s="12">
        <f t="shared" si="6"/>
        <v>0</v>
      </c>
      <c r="H28" s="12">
        <f>SUMIFS(Libro_Diario_Mayor!$F:$F, Libro_Diario_Mayor!$C:$C, G$20, Libro_Diario_Mayor!$B:$B, "&gt;="&amp;DATE(2026, MONTH(1&amp;$A28), 1), Libro_Diario_Mayor!$B:$B, "&lt;"&amp;DATE(2026, MONTH(1&amp;$A28)+1, 1))</f>
        <v>0</v>
      </c>
      <c r="I28" s="12">
        <f>SUMIFS(Libro_Diario_Mayor!$G:$G, Libro_Diario_Mayor!$C:$C, G$20, Libro_Diario_Mayor!$B:$B, "&gt;="&amp;DATE(2026, MONTH(1&amp;$A28), 1), Libro_Diario_Mayor!$B:$B, "&lt;"&amp;DATE(2026, MONTH(1&amp;$A28)+1, 1))</f>
        <v>0</v>
      </c>
      <c r="J28" s="12">
        <f t="shared" si="7"/>
        <v>0</v>
      </c>
      <c r="M28" s="12">
        <f>SUMIFS(Libro_Diario_Mayor!$F:$F, Libro_Diario_Mayor!$C:$C, L$20, Libro_Diario_Mayor!$B:$B, "&gt;="&amp;DATE(2026, MONTH(1&amp;$A28), 1), Libro_Diario_Mayor!$B:$B, "&lt;"&amp;DATE(2026, MONTH(1&amp;$A28)+1, 1))</f>
        <v>0</v>
      </c>
      <c r="N28" s="12">
        <f>SUMIFS(Libro_Diario_Mayor!$G:$G, Libro_Diario_Mayor!$C:$C, L$20, Libro_Diario_Mayor!$B:$B, "&gt;="&amp;DATE(2026, MONTH(1&amp;$A28), 1), Libro_Diario_Mayor!$B:$B, "&lt;"&amp;DATE(2026, MONTH(1&amp;$A28)+1, 1))</f>
        <v>0</v>
      </c>
      <c r="O28" s="12">
        <f t="shared" si="8"/>
        <v>0</v>
      </c>
      <c r="R28" s="12">
        <f>SUMIFS(Libro_Diario_Mayor!$F:$F, Libro_Diario_Mayor!$C:$C, Q$20, Libro_Diario_Mayor!$B:$B, "&gt;="&amp;DATE(2026, MONTH(1&amp;$A28), 1), Libro_Diario_Mayor!$B:$B, "&lt;"&amp;DATE(2026, MONTH(1&amp;$A28)+1, 1))</f>
        <v>0</v>
      </c>
      <c r="S28" s="12">
        <f>SUMIFS(Libro_Diario_Mayor!$G:$G, Libro_Diario_Mayor!$C:$C, Q$20, Libro_Diario_Mayor!$B:$B, "&gt;="&amp;DATE(2026, MONTH(1&amp;$A28), 1), Libro_Diario_Mayor!$B:$B, "&lt;"&amp;DATE(2026, MONTH(1&amp;$A28)+1, 1))</f>
        <v>0</v>
      </c>
      <c r="T28" s="12">
        <f t="shared" si="9"/>
        <v>0</v>
      </c>
      <c r="W28" s="12">
        <f>SUMIFS(Libro_Diario_Mayor!$F:$F, Libro_Diario_Mayor!$C:$C, V$20, Libro_Diario_Mayor!$B:$B, "&gt;="&amp;DATE(2026, MONTH(1&amp;$A28), 1), Libro_Diario_Mayor!$B:$B, "&lt;"&amp;DATE(2026, MONTH(1&amp;$A28)+1, 1))</f>
        <v>0</v>
      </c>
      <c r="X28" s="12">
        <f>SUMIFS(Libro_Diario_Mayor!$G:$G, Libro_Diario_Mayor!$C:$C, V$20, Libro_Diario_Mayor!$B:$B, "&gt;="&amp;DATE(2026, MONTH(1&amp;$A28), 1), Libro_Diario_Mayor!$B:$B, "&lt;"&amp;DATE(2026, MONTH(1&amp;$A28)+1, 1))</f>
        <v>0</v>
      </c>
      <c r="Y28" s="12">
        <f t="shared" si="10"/>
        <v>0</v>
      </c>
      <c r="AB28" s="12">
        <f>SUMIFS(Libro_Diario_Mayor!$F:$F, Libro_Diario_Mayor!$C:$C, AA$20, Libro_Diario_Mayor!$B:$B, "&gt;="&amp;DATE(2026, MONTH(1&amp;$A28), 1), Libro_Diario_Mayor!$B:$B, "&lt;"&amp;DATE(2026, MONTH(1&amp;$A28)+1, 1))</f>
        <v>0</v>
      </c>
      <c r="AC28" s="12">
        <f>SUMIFS(Libro_Diario_Mayor!$G:$G, Libro_Diario_Mayor!$C:$C, AA$20, Libro_Diario_Mayor!$B:$B, "&gt;="&amp;DATE(2026, MONTH(1&amp;$A28), 1), Libro_Diario_Mayor!$B:$B, "&lt;"&amp;DATE(2026, MONTH(1&amp;$A28)+1, 1))</f>
        <v>0</v>
      </c>
      <c r="AD28" s="12">
        <f t="shared" si="11"/>
        <v>0</v>
      </c>
    </row>
    <row r="29" spans="1:30" s="12" customFormat="1" x14ac:dyDescent="0.3">
      <c r="A29" s="12" t="s">
        <v>1907</v>
      </c>
      <c r="C29" s="12">
        <f>SUMIFS(Libro_Diario_Mayor!$F:$F, Libro_Diario_Mayor!$C:$C, B$20, Libro_Diario_Mayor!$B:$B, "&gt;="&amp;DATE(2026, MONTH(1&amp;$A29), 1), Libro_Diario_Mayor!$B:$B, "&lt;"&amp;DATE(2026, MONTH(1&amp;$A29)+1, 1))</f>
        <v>0</v>
      </c>
      <c r="D29" s="12">
        <f>SUMIFS(Libro_Diario_Mayor!$G:$G, Libro_Diario_Mayor!$C:$C, B$20, Libro_Diario_Mayor!$B:$B, "&gt;="&amp;DATE(2026, MONTH(1&amp;$A29), 1), Libro_Diario_Mayor!$B:$B, "&lt;"&amp;DATE(2026, MONTH(1&amp;$A29)+1, 1))</f>
        <v>0</v>
      </c>
      <c r="E29" s="12">
        <f t="shared" si="6"/>
        <v>0</v>
      </c>
      <c r="H29" s="12">
        <f>SUMIFS(Libro_Diario_Mayor!$F:$F, Libro_Diario_Mayor!$C:$C, G$20, Libro_Diario_Mayor!$B:$B, "&gt;="&amp;DATE(2026, MONTH(1&amp;$A29), 1), Libro_Diario_Mayor!$B:$B, "&lt;"&amp;DATE(2026, MONTH(1&amp;$A29)+1, 1))</f>
        <v>0</v>
      </c>
      <c r="I29" s="12">
        <f>SUMIFS(Libro_Diario_Mayor!$G:$G, Libro_Diario_Mayor!$C:$C, G$20, Libro_Diario_Mayor!$B:$B, "&gt;="&amp;DATE(2026, MONTH(1&amp;$A29), 1), Libro_Diario_Mayor!$B:$B, "&lt;"&amp;DATE(2026, MONTH(1&amp;$A29)+1, 1))</f>
        <v>20000</v>
      </c>
      <c r="J29" s="12">
        <f t="shared" si="7"/>
        <v>-20000</v>
      </c>
      <c r="M29" s="12">
        <f>SUMIFS(Libro_Diario_Mayor!$F:$F, Libro_Diario_Mayor!$C:$C, L$20, Libro_Diario_Mayor!$B:$B, "&gt;="&amp;DATE(2026, MONTH(1&amp;$A29), 1), Libro_Diario_Mayor!$B:$B, "&lt;"&amp;DATE(2026, MONTH(1&amp;$A29)+1, 1))</f>
        <v>0</v>
      </c>
      <c r="N29" s="12">
        <f>SUMIFS(Libro_Diario_Mayor!$G:$G, Libro_Diario_Mayor!$C:$C, L$20, Libro_Diario_Mayor!$B:$B, "&gt;="&amp;DATE(2026, MONTH(1&amp;$A29), 1), Libro_Diario_Mayor!$B:$B, "&lt;"&amp;DATE(2026, MONTH(1&amp;$A29)+1, 1))</f>
        <v>0</v>
      </c>
      <c r="O29" s="12">
        <f t="shared" si="8"/>
        <v>0</v>
      </c>
      <c r="R29" s="12">
        <f>SUMIFS(Libro_Diario_Mayor!$F:$F, Libro_Diario_Mayor!$C:$C, Q$20, Libro_Diario_Mayor!$B:$B, "&gt;="&amp;DATE(2026, MONTH(1&amp;$A29), 1), Libro_Diario_Mayor!$B:$B, "&lt;"&amp;DATE(2026, MONTH(1&amp;$A29)+1, 1))</f>
        <v>0</v>
      </c>
      <c r="S29" s="12">
        <f>SUMIFS(Libro_Diario_Mayor!$G:$G, Libro_Diario_Mayor!$C:$C, Q$20, Libro_Diario_Mayor!$B:$B, "&gt;="&amp;DATE(2026, MONTH(1&amp;$A29), 1), Libro_Diario_Mayor!$B:$B, "&lt;"&amp;DATE(2026, MONTH(1&amp;$A29)+1, 1))</f>
        <v>0</v>
      </c>
      <c r="T29" s="12">
        <f t="shared" si="9"/>
        <v>0</v>
      </c>
      <c r="W29" s="12">
        <f>SUMIFS(Libro_Diario_Mayor!$F:$F, Libro_Diario_Mayor!$C:$C, V$20, Libro_Diario_Mayor!$B:$B, "&gt;="&amp;DATE(2026, MONTH(1&amp;$A29), 1), Libro_Diario_Mayor!$B:$B, "&lt;"&amp;DATE(2026, MONTH(1&amp;$A29)+1, 1))</f>
        <v>0</v>
      </c>
      <c r="X29" s="12">
        <f>SUMIFS(Libro_Diario_Mayor!$G:$G, Libro_Diario_Mayor!$C:$C, V$20, Libro_Diario_Mayor!$B:$B, "&gt;="&amp;DATE(2026, MONTH(1&amp;$A29), 1), Libro_Diario_Mayor!$B:$B, "&lt;"&amp;DATE(2026, MONTH(1&amp;$A29)+1, 1))</f>
        <v>0</v>
      </c>
      <c r="Y29" s="12">
        <f t="shared" si="10"/>
        <v>0</v>
      </c>
      <c r="AB29" s="12">
        <f>SUMIFS(Libro_Diario_Mayor!$F:$F, Libro_Diario_Mayor!$C:$C, AA$20, Libro_Diario_Mayor!$B:$B, "&gt;="&amp;DATE(2026, MONTH(1&amp;$A29), 1), Libro_Diario_Mayor!$B:$B, "&lt;"&amp;DATE(2026, MONTH(1&amp;$A29)+1, 1))</f>
        <v>0</v>
      </c>
      <c r="AC29" s="12">
        <f>SUMIFS(Libro_Diario_Mayor!$G:$G, Libro_Diario_Mayor!$C:$C, AA$20, Libro_Diario_Mayor!$B:$B, "&gt;="&amp;DATE(2026, MONTH(1&amp;$A29), 1), Libro_Diario_Mayor!$B:$B, "&lt;"&amp;DATE(2026, MONTH(1&amp;$A29)+1, 1))</f>
        <v>0</v>
      </c>
      <c r="AD29" s="12">
        <f t="shared" si="11"/>
        <v>0</v>
      </c>
    </row>
    <row r="30" spans="1:30" s="12" customFormat="1" x14ac:dyDescent="0.3">
      <c r="A30" s="12" t="s">
        <v>1908</v>
      </c>
      <c r="C30" s="12">
        <f>SUMIFS(Libro_Diario_Mayor!$F:$F, Libro_Diario_Mayor!$C:$C, B$20, Libro_Diario_Mayor!$B:$B, "&gt;="&amp;DATE(2026, MONTH(1&amp;$A30), 1), Libro_Diario_Mayor!$B:$B, "&lt;"&amp;DATE(2026, MONTH(1&amp;$A30)+1, 1))</f>
        <v>0</v>
      </c>
      <c r="D30" s="12">
        <f>SUMIFS(Libro_Diario_Mayor!$G:$G, Libro_Diario_Mayor!$C:$C, B$20, Libro_Diario_Mayor!$B:$B, "&gt;="&amp;DATE(2026, MONTH(1&amp;$A30), 1), Libro_Diario_Mayor!$B:$B, "&lt;"&amp;DATE(2026, MONTH(1&amp;$A30)+1, 1))</f>
        <v>0</v>
      </c>
      <c r="E30" s="12">
        <f t="shared" si="6"/>
        <v>0</v>
      </c>
      <c r="H30" s="12">
        <f>SUMIFS(Libro_Diario_Mayor!$F:$F, Libro_Diario_Mayor!$C:$C, G$20, Libro_Diario_Mayor!$B:$B, "&gt;="&amp;DATE(2026, MONTH(1&amp;$A30), 1), Libro_Diario_Mayor!$B:$B, "&lt;"&amp;DATE(2026, MONTH(1&amp;$A30)+1, 1))</f>
        <v>0</v>
      </c>
      <c r="I30" s="12">
        <f>SUMIFS(Libro_Diario_Mayor!$G:$G, Libro_Diario_Mayor!$C:$C, G$20, Libro_Diario_Mayor!$B:$B, "&gt;="&amp;DATE(2026, MONTH(1&amp;$A30), 1), Libro_Diario_Mayor!$B:$B, "&lt;"&amp;DATE(2026, MONTH(1&amp;$A30)+1, 1))</f>
        <v>0</v>
      </c>
      <c r="J30" s="12">
        <f t="shared" si="7"/>
        <v>0</v>
      </c>
      <c r="M30" s="12">
        <f>SUMIFS(Libro_Diario_Mayor!$F:$F, Libro_Diario_Mayor!$C:$C, L$20, Libro_Diario_Mayor!$B:$B, "&gt;="&amp;DATE(2026, MONTH(1&amp;$A30), 1), Libro_Diario_Mayor!$B:$B, "&lt;"&amp;DATE(2026, MONTH(1&amp;$A30)+1, 1))</f>
        <v>0</v>
      </c>
      <c r="N30" s="12">
        <f>SUMIFS(Libro_Diario_Mayor!$G:$G, Libro_Diario_Mayor!$C:$C, L$20, Libro_Diario_Mayor!$B:$B, "&gt;="&amp;DATE(2026, MONTH(1&amp;$A30), 1), Libro_Diario_Mayor!$B:$B, "&lt;"&amp;DATE(2026, MONTH(1&amp;$A30)+1, 1))</f>
        <v>0</v>
      </c>
      <c r="O30" s="12">
        <f t="shared" si="8"/>
        <v>0</v>
      </c>
      <c r="R30" s="12">
        <f>SUMIFS(Libro_Diario_Mayor!$F:$F, Libro_Diario_Mayor!$C:$C, Q$20, Libro_Diario_Mayor!$B:$B, "&gt;="&amp;DATE(2026, MONTH(1&amp;$A30), 1), Libro_Diario_Mayor!$B:$B, "&lt;"&amp;DATE(2026, MONTH(1&amp;$A30)+1, 1))</f>
        <v>0</v>
      </c>
      <c r="S30" s="12">
        <f>SUMIFS(Libro_Diario_Mayor!$G:$G, Libro_Diario_Mayor!$C:$C, Q$20, Libro_Diario_Mayor!$B:$B, "&gt;="&amp;DATE(2026, MONTH(1&amp;$A30), 1), Libro_Diario_Mayor!$B:$B, "&lt;"&amp;DATE(2026, MONTH(1&amp;$A30)+1, 1))</f>
        <v>0</v>
      </c>
      <c r="T30" s="12">
        <f t="shared" si="9"/>
        <v>0</v>
      </c>
      <c r="W30" s="12">
        <f>SUMIFS(Libro_Diario_Mayor!$F:$F, Libro_Diario_Mayor!$C:$C, V$20, Libro_Diario_Mayor!$B:$B, "&gt;="&amp;DATE(2026, MONTH(1&amp;$A30), 1), Libro_Diario_Mayor!$B:$B, "&lt;"&amp;DATE(2026, MONTH(1&amp;$A30)+1, 1))</f>
        <v>0</v>
      </c>
      <c r="X30" s="12">
        <f>SUMIFS(Libro_Diario_Mayor!$G:$G, Libro_Diario_Mayor!$C:$C, V$20, Libro_Diario_Mayor!$B:$B, "&gt;="&amp;DATE(2026, MONTH(1&amp;$A30), 1), Libro_Diario_Mayor!$B:$B, "&lt;"&amp;DATE(2026, MONTH(1&amp;$A30)+1, 1))</f>
        <v>0</v>
      </c>
      <c r="Y30" s="12">
        <f t="shared" si="10"/>
        <v>0</v>
      </c>
      <c r="AB30" s="12">
        <f>SUMIFS(Libro_Diario_Mayor!$F:$F, Libro_Diario_Mayor!$C:$C, AA$20, Libro_Diario_Mayor!$B:$B, "&gt;="&amp;DATE(2026, MONTH(1&amp;$A30), 1), Libro_Diario_Mayor!$B:$B, "&lt;"&amp;DATE(2026, MONTH(1&amp;$A30)+1, 1))</f>
        <v>0</v>
      </c>
      <c r="AC30" s="12">
        <f>SUMIFS(Libro_Diario_Mayor!$G:$G, Libro_Diario_Mayor!$C:$C, AA$20, Libro_Diario_Mayor!$B:$B, "&gt;="&amp;DATE(2026, MONTH(1&amp;$A30), 1), Libro_Diario_Mayor!$B:$B, "&lt;"&amp;DATE(2026, MONTH(1&amp;$A30)+1, 1))</f>
        <v>0</v>
      </c>
      <c r="AD30" s="12">
        <f t="shared" si="11"/>
        <v>0</v>
      </c>
    </row>
    <row r="31" spans="1:30" s="12" customFormat="1" x14ac:dyDescent="0.3">
      <c r="A31" s="12" t="s">
        <v>1909</v>
      </c>
      <c r="C31" s="12">
        <f>SUMIFS(Libro_Diario_Mayor!$F:$F, Libro_Diario_Mayor!$C:$C, B$20, Libro_Diario_Mayor!$B:$B, "&gt;="&amp;DATE(2026, MONTH(1&amp;$A31), 1), Libro_Diario_Mayor!$B:$B, "&lt;"&amp;DATE(2026, MONTH(1&amp;$A31)+1, 1))</f>
        <v>0</v>
      </c>
      <c r="D31" s="12">
        <f>SUMIFS(Libro_Diario_Mayor!$G:$G, Libro_Diario_Mayor!$C:$C, B$20, Libro_Diario_Mayor!$B:$B, "&gt;="&amp;DATE(2026, MONTH(1&amp;$A31), 1), Libro_Diario_Mayor!$B:$B, "&lt;"&amp;DATE(2026, MONTH(1&amp;$A31)+1, 1))</f>
        <v>0</v>
      </c>
      <c r="E31" s="12">
        <f t="shared" si="6"/>
        <v>0</v>
      </c>
      <c r="H31" s="12">
        <f>SUMIFS(Libro_Diario_Mayor!$F:$F, Libro_Diario_Mayor!$C:$C, G$20, Libro_Diario_Mayor!$B:$B, "&gt;="&amp;DATE(2026, MONTH(1&amp;$A31), 1), Libro_Diario_Mayor!$B:$B, "&lt;"&amp;DATE(2026, MONTH(1&amp;$A31)+1, 1))</f>
        <v>0</v>
      </c>
      <c r="I31" s="12">
        <f>SUMIFS(Libro_Diario_Mayor!$G:$G, Libro_Diario_Mayor!$C:$C, G$20, Libro_Diario_Mayor!$B:$B, "&gt;="&amp;DATE(2026, MONTH(1&amp;$A31), 1), Libro_Diario_Mayor!$B:$B, "&lt;"&amp;DATE(2026, MONTH(1&amp;$A31)+1, 1))</f>
        <v>0</v>
      </c>
      <c r="J31" s="12">
        <f t="shared" si="7"/>
        <v>0</v>
      </c>
      <c r="M31" s="12">
        <f>SUMIFS(Libro_Diario_Mayor!$F:$F, Libro_Diario_Mayor!$C:$C, L$20, Libro_Diario_Mayor!$B:$B, "&gt;="&amp;DATE(2026, MONTH(1&amp;$A31), 1), Libro_Diario_Mayor!$B:$B, "&lt;"&amp;DATE(2026, MONTH(1&amp;$A31)+1, 1))</f>
        <v>0</v>
      </c>
      <c r="N31" s="12">
        <f>SUMIFS(Libro_Diario_Mayor!$G:$G, Libro_Diario_Mayor!$C:$C, L$20, Libro_Diario_Mayor!$B:$B, "&gt;="&amp;DATE(2026, MONTH(1&amp;$A31), 1), Libro_Diario_Mayor!$B:$B, "&lt;"&amp;DATE(2026, MONTH(1&amp;$A31)+1, 1))</f>
        <v>0</v>
      </c>
      <c r="O31" s="12">
        <f t="shared" si="8"/>
        <v>0</v>
      </c>
      <c r="R31" s="12">
        <f>SUMIFS(Libro_Diario_Mayor!$F:$F, Libro_Diario_Mayor!$C:$C, Q$20, Libro_Diario_Mayor!$B:$B, "&gt;="&amp;DATE(2026, MONTH(1&amp;$A31), 1), Libro_Diario_Mayor!$B:$B, "&lt;"&amp;DATE(2026, MONTH(1&amp;$A31)+1, 1))</f>
        <v>0</v>
      </c>
      <c r="S31" s="12">
        <f>SUMIFS(Libro_Diario_Mayor!$G:$G, Libro_Diario_Mayor!$C:$C, Q$20, Libro_Diario_Mayor!$B:$B, "&gt;="&amp;DATE(2026, MONTH(1&amp;$A31), 1), Libro_Diario_Mayor!$B:$B, "&lt;"&amp;DATE(2026, MONTH(1&amp;$A31)+1, 1))</f>
        <v>0</v>
      </c>
      <c r="T31" s="12">
        <f t="shared" si="9"/>
        <v>0</v>
      </c>
      <c r="W31" s="12">
        <f>SUMIFS(Libro_Diario_Mayor!$F:$F, Libro_Diario_Mayor!$C:$C, V$20, Libro_Diario_Mayor!$B:$B, "&gt;="&amp;DATE(2026, MONTH(1&amp;$A31), 1), Libro_Diario_Mayor!$B:$B, "&lt;"&amp;DATE(2026, MONTH(1&amp;$A31)+1, 1))</f>
        <v>0</v>
      </c>
      <c r="X31" s="12">
        <f>SUMIFS(Libro_Diario_Mayor!$G:$G, Libro_Diario_Mayor!$C:$C, V$20, Libro_Diario_Mayor!$B:$B, "&gt;="&amp;DATE(2026, MONTH(1&amp;$A31), 1), Libro_Diario_Mayor!$B:$B, "&lt;"&amp;DATE(2026, MONTH(1&amp;$A31)+1, 1))</f>
        <v>0</v>
      </c>
      <c r="Y31" s="12">
        <f t="shared" si="10"/>
        <v>0</v>
      </c>
      <c r="AB31" s="12">
        <f>SUMIFS(Libro_Diario_Mayor!$F:$F, Libro_Diario_Mayor!$C:$C, AA$20, Libro_Diario_Mayor!$B:$B, "&gt;="&amp;DATE(2026, MONTH(1&amp;$A31), 1), Libro_Diario_Mayor!$B:$B, "&lt;"&amp;DATE(2026, MONTH(1&amp;$A31)+1, 1))</f>
        <v>0</v>
      </c>
      <c r="AC31" s="12">
        <f>SUMIFS(Libro_Diario_Mayor!$G:$G, Libro_Diario_Mayor!$C:$C, AA$20, Libro_Diario_Mayor!$B:$B, "&gt;="&amp;DATE(2026, MONTH(1&amp;$A31), 1), Libro_Diario_Mayor!$B:$B, "&lt;"&amp;DATE(2026, MONTH(1&amp;$A31)+1, 1))</f>
        <v>0</v>
      </c>
      <c r="AD31" s="12">
        <f t="shared" si="11"/>
        <v>0</v>
      </c>
    </row>
    <row r="32" spans="1:30" s="12" customFormat="1" x14ac:dyDescent="0.3">
      <c r="A32" s="12" t="s">
        <v>1910</v>
      </c>
      <c r="C32" s="12">
        <f>SUMIFS(Libro_Diario_Mayor!$F:$F, Libro_Diario_Mayor!$C:$C, B$20, Libro_Diario_Mayor!$B:$B, "&gt;="&amp;DATE(2026, MONTH(1&amp;$A32), 1), Libro_Diario_Mayor!$B:$B, "&lt;"&amp;DATE(2026, MONTH(1&amp;$A32)+1, 1))</f>
        <v>0</v>
      </c>
      <c r="D32" s="12">
        <f>SUMIFS(Libro_Diario_Mayor!$G:$G, Libro_Diario_Mayor!$C:$C, B$20, Libro_Diario_Mayor!$B:$B, "&gt;="&amp;DATE(2026, MONTH(1&amp;$A32), 1), Libro_Diario_Mayor!$B:$B, "&lt;"&amp;DATE(2026, MONTH(1&amp;$A32)+1, 1))</f>
        <v>0</v>
      </c>
      <c r="E32" s="12">
        <f t="shared" si="6"/>
        <v>0</v>
      </c>
      <c r="H32" s="12">
        <f>SUMIFS(Libro_Diario_Mayor!$F:$F, Libro_Diario_Mayor!$C:$C, G$20, Libro_Diario_Mayor!$B:$B, "&gt;="&amp;DATE(2026, MONTH(1&amp;$A32), 1), Libro_Diario_Mayor!$B:$B, "&lt;"&amp;DATE(2026, MONTH(1&amp;$A32)+1, 1))</f>
        <v>0</v>
      </c>
      <c r="I32" s="12">
        <f>SUMIFS(Libro_Diario_Mayor!$G:$G, Libro_Diario_Mayor!$C:$C, G$20, Libro_Diario_Mayor!$B:$B, "&gt;="&amp;DATE(2026, MONTH(1&amp;$A32), 1), Libro_Diario_Mayor!$B:$B, "&lt;"&amp;DATE(2026, MONTH(1&amp;$A32)+1, 1))</f>
        <v>0</v>
      </c>
      <c r="J32" s="12">
        <f t="shared" si="7"/>
        <v>0</v>
      </c>
      <c r="M32" s="12">
        <f>SUMIFS(Libro_Diario_Mayor!$F:$F, Libro_Diario_Mayor!$C:$C, L$20, Libro_Diario_Mayor!$B:$B, "&gt;="&amp;DATE(2026, MONTH(1&amp;$A32), 1), Libro_Diario_Mayor!$B:$B, "&lt;"&amp;DATE(2026, MONTH(1&amp;$A32)+1, 1))</f>
        <v>0</v>
      </c>
      <c r="N32" s="12">
        <f>SUMIFS(Libro_Diario_Mayor!$G:$G, Libro_Diario_Mayor!$C:$C, L$20, Libro_Diario_Mayor!$B:$B, "&gt;="&amp;DATE(2026, MONTH(1&amp;$A32), 1), Libro_Diario_Mayor!$B:$B, "&lt;"&amp;DATE(2026, MONTH(1&amp;$A32)+1, 1))</f>
        <v>0</v>
      </c>
      <c r="O32" s="12">
        <f t="shared" si="8"/>
        <v>0</v>
      </c>
      <c r="R32" s="12">
        <f>SUMIFS(Libro_Diario_Mayor!$F:$F, Libro_Diario_Mayor!$C:$C, Q$20, Libro_Diario_Mayor!$B:$B, "&gt;="&amp;DATE(2026, MONTH(1&amp;$A32), 1), Libro_Diario_Mayor!$B:$B, "&lt;"&amp;DATE(2026, MONTH(1&amp;$A32)+1, 1))</f>
        <v>0</v>
      </c>
      <c r="S32" s="12">
        <f>SUMIFS(Libro_Diario_Mayor!$G:$G, Libro_Diario_Mayor!$C:$C, Q$20, Libro_Diario_Mayor!$B:$B, "&gt;="&amp;DATE(2026, MONTH(1&amp;$A32), 1), Libro_Diario_Mayor!$B:$B, "&lt;"&amp;DATE(2026, MONTH(1&amp;$A32)+1, 1))</f>
        <v>0</v>
      </c>
      <c r="T32" s="12">
        <f t="shared" si="9"/>
        <v>0</v>
      </c>
      <c r="W32" s="12">
        <f>SUMIFS(Libro_Diario_Mayor!$F:$F, Libro_Diario_Mayor!$C:$C, V$20, Libro_Diario_Mayor!$B:$B, "&gt;="&amp;DATE(2026, MONTH(1&amp;$A32), 1), Libro_Diario_Mayor!$B:$B, "&lt;"&amp;DATE(2026, MONTH(1&amp;$A32)+1, 1))</f>
        <v>0</v>
      </c>
      <c r="X32" s="12">
        <f>SUMIFS(Libro_Diario_Mayor!$G:$G, Libro_Diario_Mayor!$C:$C, V$20, Libro_Diario_Mayor!$B:$B, "&gt;="&amp;DATE(2026, MONTH(1&amp;$A32), 1), Libro_Diario_Mayor!$B:$B, "&lt;"&amp;DATE(2026, MONTH(1&amp;$A32)+1, 1))</f>
        <v>0</v>
      </c>
      <c r="Y32" s="12">
        <f t="shared" si="10"/>
        <v>0</v>
      </c>
      <c r="AB32" s="12">
        <f>SUMIFS(Libro_Diario_Mayor!$F:$F, Libro_Diario_Mayor!$C:$C, AA$20, Libro_Diario_Mayor!$B:$B, "&gt;="&amp;DATE(2026, MONTH(1&amp;$A32), 1), Libro_Diario_Mayor!$B:$B, "&lt;"&amp;DATE(2026, MONTH(1&amp;$A32)+1, 1))</f>
        <v>0</v>
      </c>
      <c r="AC32" s="12">
        <f>SUMIFS(Libro_Diario_Mayor!$G:$G, Libro_Diario_Mayor!$C:$C, AA$20, Libro_Diario_Mayor!$B:$B, "&gt;="&amp;DATE(2026, MONTH(1&amp;$A32), 1), Libro_Diario_Mayor!$B:$B, "&lt;"&amp;DATE(2026, MONTH(1&amp;$A32)+1, 1))</f>
        <v>0</v>
      </c>
      <c r="AD32" s="12">
        <f t="shared" si="11"/>
        <v>0</v>
      </c>
    </row>
    <row r="33" spans="1:30" s="12" customFormat="1" x14ac:dyDescent="0.3">
      <c r="A33" s="12" t="s">
        <v>1911</v>
      </c>
      <c r="C33" s="12">
        <f>SUMIFS(Libro_Diario_Mayor!$F:$F, Libro_Diario_Mayor!$C:$C, B$20, Libro_Diario_Mayor!$B:$B, "&gt;="&amp;DATE(2026, MONTH(1&amp;$A33), 1), Libro_Diario_Mayor!$B:$B, "&lt;"&amp;DATE(2026, MONTH(1&amp;$A33)+1, 1))</f>
        <v>0</v>
      </c>
      <c r="D33" s="12">
        <f>SUMIFS(Libro_Diario_Mayor!$G:$G, Libro_Diario_Mayor!$C:$C, B$20, Libro_Diario_Mayor!$B:$B, "&gt;="&amp;DATE(2026, MONTH(1&amp;$A33), 1), Libro_Diario_Mayor!$B:$B, "&lt;"&amp;DATE(2026, MONTH(1&amp;$A33)+1, 1))</f>
        <v>0</v>
      </c>
      <c r="E33" s="12">
        <f t="shared" si="6"/>
        <v>0</v>
      </c>
      <c r="H33" s="12">
        <f>SUMIFS(Libro_Diario_Mayor!$F:$F, Libro_Diario_Mayor!$C:$C, G$20, Libro_Diario_Mayor!$B:$B, "&gt;="&amp;DATE(2026, MONTH(1&amp;$A33), 1), Libro_Diario_Mayor!$B:$B, "&lt;"&amp;DATE(2026, MONTH(1&amp;$A33)+1, 1))</f>
        <v>0</v>
      </c>
      <c r="I33" s="12">
        <f>SUMIFS(Libro_Diario_Mayor!$G:$G, Libro_Diario_Mayor!$C:$C, G$20, Libro_Diario_Mayor!$B:$B, "&gt;="&amp;DATE(2026, MONTH(1&amp;$A33), 1), Libro_Diario_Mayor!$B:$B, "&lt;"&amp;DATE(2026, MONTH(1&amp;$A33)+1, 1))</f>
        <v>0</v>
      </c>
      <c r="J33" s="12">
        <f t="shared" si="7"/>
        <v>0</v>
      </c>
      <c r="M33" s="12">
        <f>SUMIFS(Libro_Diario_Mayor!$F:$F, Libro_Diario_Mayor!$C:$C, L$20, Libro_Diario_Mayor!$B:$B, "&gt;="&amp;DATE(2026, MONTH(1&amp;$A33), 1), Libro_Diario_Mayor!$B:$B, "&lt;"&amp;DATE(2026, MONTH(1&amp;$A33)+1, 1))</f>
        <v>0</v>
      </c>
      <c r="N33" s="12">
        <f>SUMIFS(Libro_Diario_Mayor!$G:$G, Libro_Diario_Mayor!$C:$C, L$20, Libro_Diario_Mayor!$B:$B, "&gt;="&amp;DATE(2026, MONTH(1&amp;$A33), 1), Libro_Diario_Mayor!$B:$B, "&lt;"&amp;DATE(2026, MONTH(1&amp;$A33)+1, 1))</f>
        <v>0</v>
      </c>
      <c r="O33" s="12">
        <f t="shared" si="8"/>
        <v>0</v>
      </c>
      <c r="R33" s="12">
        <f>SUMIFS(Libro_Diario_Mayor!$F:$F, Libro_Diario_Mayor!$C:$C, Q$20, Libro_Diario_Mayor!$B:$B, "&gt;="&amp;DATE(2026, MONTH(1&amp;$A33), 1), Libro_Diario_Mayor!$B:$B, "&lt;"&amp;DATE(2026, MONTH(1&amp;$A33)+1, 1))</f>
        <v>0</v>
      </c>
      <c r="S33" s="12">
        <f>SUMIFS(Libro_Diario_Mayor!$G:$G, Libro_Diario_Mayor!$C:$C, Q$20, Libro_Diario_Mayor!$B:$B, "&gt;="&amp;DATE(2026, MONTH(1&amp;$A33), 1), Libro_Diario_Mayor!$B:$B, "&lt;"&amp;DATE(2026, MONTH(1&amp;$A33)+1, 1))</f>
        <v>0</v>
      </c>
      <c r="T33" s="12">
        <f t="shared" si="9"/>
        <v>0</v>
      </c>
      <c r="W33" s="12">
        <f>SUMIFS(Libro_Diario_Mayor!$F:$F, Libro_Diario_Mayor!$C:$C, V$20, Libro_Diario_Mayor!$B:$B, "&gt;="&amp;DATE(2026, MONTH(1&amp;$A33), 1), Libro_Diario_Mayor!$B:$B, "&lt;"&amp;DATE(2026, MONTH(1&amp;$A33)+1, 1))</f>
        <v>0</v>
      </c>
      <c r="X33" s="12">
        <f>SUMIFS(Libro_Diario_Mayor!$G:$G, Libro_Diario_Mayor!$C:$C, V$20, Libro_Diario_Mayor!$B:$B, "&gt;="&amp;DATE(2026, MONTH(1&amp;$A33), 1), Libro_Diario_Mayor!$B:$B, "&lt;"&amp;DATE(2026, MONTH(1&amp;$A33)+1, 1))</f>
        <v>0</v>
      </c>
      <c r="Y33" s="12">
        <f t="shared" si="10"/>
        <v>0</v>
      </c>
      <c r="AB33" s="12">
        <f>SUMIFS(Libro_Diario_Mayor!$F:$F, Libro_Diario_Mayor!$C:$C, AA$20, Libro_Diario_Mayor!$B:$B, "&gt;="&amp;DATE(2026, MONTH(1&amp;$A33), 1), Libro_Diario_Mayor!$B:$B, "&lt;"&amp;DATE(2026, MONTH(1&amp;$A33)+1, 1))</f>
        <v>0</v>
      </c>
      <c r="AC33" s="12">
        <f>SUMIFS(Libro_Diario_Mayor!$G:$G, Libro_Diario_Mayor!$C:$C, AA$20, Libro_Diario_Mayor!$B:$B, "&gt;="&amp;DATE(2026, MONTH(1&amp;$A33), 1), Libro_Diario_Mayor!$B:$B, "&lt;"&amp;DATE(2026, MONTH(1&amp;$A33)+1, 1))</f>
        <v>0</v>
      </c>
      <c r="AD33" s="12">
        <f t="shared" si="11"/>
        <v>0</v>
      </c>
    </row>
    <row r="34" spans="1:30" s="12" customFormat="1" x14ac:dyDescent="0.3">
      <c r="A34" s="12" t="s">
        <v>1912</v>
      </c>
      <c r="C34" s="12">
        <f>SUM(C22:C33)</f>
        <v>0</v>
      </c>
      <c r="D34" s="12">
        <f>SUM(D22:D33)</f>
        <v>6465225</v>
      </c>
      <c r="E34" s="12">
        <f>SUM(E22:E33)</f>
        <v>-6465225</v>
      </c>
      <c r="H34" s="12">
        <f>SUM(H22:H33)</f>
        <v>0</v>
      </c>
      <c r="I34" s="12">
        <f>SUM(I22:I33)</f>
        <v>592002</v>
      </c>
      <c r="J34" s="12">
        <f>SUM(J22:J33)</f>
        <v>-592002</v>
      </c>
      <c r="M34" s="12">
        <f>SUM(M22:M33)</f>
        <v>0</v>
      </c>
      <c r="N34" s="12">
        <f>SUM(N22:N33)</f>
        <v>2341.23</v>
      </c>
      <c r="O34" s="12">
        <f>SUM(O22:O33)</f>
        <v>-2341.23</v>
      </c>
      <c r="R34" s="12">
        <f>SUM(R22:R33)</f>
        <v>300000</v>
      </c>
      <c r="S34" s="12">
        <f>SUM(S22:S33)</f>
        <v>0</v>
      </c>
      <c r="T34" s="12">
        <f>SUM(T22:T33)</f>
        <v>300000</v>
      </c>
      <c r="W34" s="12">
        <f>SUM(W22:W33)</f>
        <v>32000</v>
      </c>
      <c r="X34" s="12">
        <f>SUM(X22:X33)</f>
        <v>0</v>
      </c>
      <c r="Y34" s="12">
        <f>SUM(Y22:Y33)</f>
        <v>32000</v>
      </c>
      <c r="AB34" s="12">
        <f>SUM(AB22:AB33)</f>
        <v>80000</v>
      </c>
      <c r="AC34" s="12">
        <f>SUM(AC22:AC33)</f>
        <v>0</v>
      </c>
      <c r="AD34" s="12">
        <f>SUM(AD22:AD33)</f>
        <v>80000</v>
      </c>
    </row>
    <row r="36" spans="1:30" x14ac:dyDescent="0.3">
      <c r="B36" s="358">
        <v>5195</v>
      </c>
      <c r="C36" s="443" t="s">
        <v>1367</v>
      </c>
      <c r="D36" s="443"/>
      <c r="E36" s="443"/>
      <c r="G36" s="358">
        <v>5195</v>
      </c>
      <c r="H36" s="443" t="s">
        <v>1362</v>
      </c>
      <c r="I36" s="443"/>
      <c r="J36" s="443"/>
      <c r="L36" s="358">
        <v>6120</v>
      </c>
      <c r="M36" s="443" t="s">
        <v>1362</v>
      </c>
      <c r="N36" s="443"/>
      <c r="O36" s="443"/>
      <c r="Q36" s="358">
        <v>6120</v>
      </c>
      <c r="R36" s="443" t="s">
        <v>1362</v>
      </c>
      <c r="S36" s="443"/>
      <c r="T36" s="443"/>
      <c r="V36" s="358">
        <v>7105</v>
      </c>
      <c r="W36" s="443" t="s">
        <v>1374</v>
      </c>
      <c r="X36" s="443"/>
      <c r="Y36" s="443"/>
      <c r="AA36" s="358">
        <v>7305</v>
      </c>
      <c r="AB36" s="443" t="s">
        <v>1365</v>
      </c>
      <c r="AC36" s="443"/>
      <c r="AD36" s="443"/>
    </row>
    <row r="37" spans="1:30" x14ac:dyDescent="0.3">
      <c r="B37">
        <v>519525</v>
      </c>
      <c r="G37">
        <v>519530</v>
      </c>
      <c r="L37">
        <v>612005</v>
      </c>
      <c r="M37" s="359" t="s">
        <v>1369</v>
      </c>
      <c r="Q37">
        <v>612099</v>
      </c>
      <c r="R37" s="359" t="s">
        <v>1352</v>
      </c>
      <c r="V37">
        <v>710505</v>
      </c>
      <c r="AA37">
        <v>730501</v>
      </c>
    </row>
    <row r="38" spans="1:30" x14ac:dyDescent="0.3">
      <c r="C38" t="s">
        <v>645</v>
      </c>
      <c r="D38" t="s">
        <v>646</v>
      </c>
      <c r="E38" t="s">
        <v>1912</v>
      </c>
      <c r="H38" t="s">
        <v>645</v>
      </c>
      <c r="I38" t="s">
        <v>646</v>
      </c>
      <c r="J38" t="s">
        <v>1912</v>
      </c>
      <c r="M38" t="s">
        <v>645</v>
      </c>
      <c r="N38" t="s">
        <v>646</v>
      </c>
      <c r="O38" t="s">
        <v>1912</v>
      </c>
      <c r="R38" t="s">
        <v>645</v>
      </c>
      <c r="S38" t="s">
        <v>646</v>
      </c>
      <c r="T38" t="s">
        <v>1912</v>
      </c>
      <c r="W38" t="s">
        <v>645</v>
      </c>
      <c r="X38" t="s">
        <v>646</v>
      </c>
      <c r="Y38" t="s">
        <v>1912</v>
      </c>
      <c r="AB38" t="s">
        <v>645</v>
      </c>
      <c r="AC38" t="s">
        <v>646</v>
      </c>
      <c r="AD38" t="s">
        <v>1912</v>
      </c>
    </row>
    <row r="39" spans="1:30" s="12" customFormat="1" x14ac:dyDescent="0.3">
      <c r="A39" s="12" t="s">
        <v>1900</v>
      </c>
      <c r="C39" s="12">
        <f>SUMIFS(Libro_Diario_Mayor!$F:$F, Libro_Diario_Mayor!$C:$C, B$37, Libro_Diario_Mayor!$B:$B, "&gt;="&amp;DATE(2026, MONTH(1&amp;$A39), 1), Libro_Diario_Mayor!$B:$B, "&lt;"&amp;DATE(2026, MONTH(1&amp;$A39)+1, 1))</f>
        <v>0</v>
      </c>
      <c r="D39" s="12">
        <f>SUMIFS(Libro_Diario_Mayor!$G:$G, Libro_Diario_Mayor!$C:$C, B$37, Libro_Diario_Mayor!$B:$B, "&gt;="&amp;DATE(2026, MONTH(1&amp;$A39), 1), Libro_Diario_Mayor!$B:$B, "&lt;"&amp;DATE(2026, MONTH(1&amp;$A39)+1, 1))</f>
        <v>0</v>
      </c>
      <c r="E39" s="12">
        <f>+C39-D39</f>
        <v>0</v>
      </c>
      <c r="H39" s="12">
        <f>SUMIFS(Libro_Diario_Mayor!$F:$F, Libro_Diario_Mayor!$C:$C, G$37, Libro_Diario_Mayor!$B:$B, "&gt;="&amp;DATE(2026, MONTH(1&amp;$A39), 1), Libro_Diario_Mayor!$B:$B, "&lt;"&amp;DATE(2026, MONTH(1&amp;$A39)+1, 1))</f>
        <v>0</v>
      </c>
      <c r="I39" s="12">
        <f>SUMIFS(Libro_Diario_Mayor!$G:$G, Libro_Diario_Mayor!$C:$C, G$37, Libro_Diario_Mayor!$B:$B, "&gt;="&amp;DATE(2026, MONTH(1&amp;$A39), 1), Libro_Diario_Mayor!$B:$B, "&lt;"&amp;DATE(2026, MONTH(1&amp;$A39)+1, 1))</f>
        <v>0</v>
      </c>
      <c r="J39" s="12">
        <f>+H39-I39</f>
        <v>0</v>
      </c>
      <c r="M39" s="12">
        <f>SUMIFS(Libro_Diario_Mayor!$F:$F, Libro_Diario_Mayor!$C:$C, L$37, Libro_Diario_Mayor!$B:$B, "&gt;="&amp;DATE(2026, MONTH(1&amp;$A39), 1), Libro_Diario_Mayor!$B:$B, "&lt;"&amp;DATE(2026, MONTH(1&amp;$A39)+1, 1))</f>
        <v>0</v>
      </c>
      <c r="N39" s="12">
        <f>SUMIFS(Libro_Diario_Mayor!$G:$G, Libro_Diario_Mayor!$C:$C, L$37, Libro_Diario_Mayor!$B:$B, "&gt;="&amp;DATE(2026, MONTH(1&amp;$A39), 1), Libro_Diario_Mayor!$B:$B, "&lt;"&amp;DATE(2026, MONTH(1&amp;$A39)+1, 1))</f>
        <v>0</v>
      </c>
      <c r="O39" s="12">
        <f>+M39-N39</f>
        <v>0</v>
      </c>
      <c r="R39" s="12">
        <f>SUMIFS(Libro_Diario_Mayor!$F:$F, Libro_Diario_Mayor!$C:$C, Q$37, Libro_Diario_Mayor!$B:$B, "&gt;="&amp;DATE(2026, MONTH(1&amp;$A39), 1), Libro_Diario_Mayor!$B:$B, "&lt;"&amp;DATE(2026, MONTH(1&amp;$A39)+1, 1))</f>
        <v>0</v>
      </c>
      <c r="S39" s="12">
        <f>SUMIFS(Libro_Diario_Mayor!$G:$G, Libro_Diario_Mayor!$C:$C, Q$37, Libro_Diario_Mayor!$B:$B, "&gt;="&amp;DATE(2026, MONTH(1&amp;$A39), 1), Libro_Diario_Mayor!$B:$B, "&lt;"&amp;DATE(2026, MONTH(1&amp;$A39)+1, 1))</f>
        <v>0</v>
      </c>
      <c r="T39" s="12">
        <f>+R39-S39</f>
        <v>0</v>
      </c>
      <c r="W39" s="12">
        <f>SUMIFS(Libro_Diario_Mayor!$F:$F, Libro_Diario_Mayor!$C:$C, V$37, Libro_Diario_Mayor!$B:$B, "&gt;="&amp;DATE(2026, MONTH(1&amp;$A39), 1), Libro_Diario_Mayor!$B:$B, "&lt;"&amp;DATE(2026, MONTH(1&amp;$A39)+1, 1))</f>
        <v>0</v>
      </c>
      <c r="X39" s="12">
        <f>SUMIFS(Libro_Diario_Mayor!$G:$G, Libro_Diario_Mayor!$C:$C, V$37, Libro_Diario_Mayor!$B:$B, "&gt;="&amp;DATE(2026, MONTH(1&amp;$A39), 1), Libro_Diario_Mayor!$B:$B, "&lt;"&amp;DATE(2026, MONTH(1&amp;$A39)+1, 1))</f>
        <v>0</v>
      </c>
      <c r="Y39" s="12">
        <f>+W39-X39</f>
        <v>0</v>
      </c>
      <c r="AB39" s="12">
        <f>SUMIFS(Libro_Diario_Mayor!$F:$F, Libro_Diario_Mayor!$C:$C, AA$37, Libro_Diario_Mayor!$B:$B, "&gt;="&amp;DATE(2026, MONTH(1&amp;$A39), 1), Libro_Diario_Mayor!$B:$B, "&lt;"&amp;DATE(2026, MONTH(1&amp;$A39)+1, 1))</f>
        <v>0</v>
      </c>
      <c r="AC39" s="12">
        <f>SUMIFS(Libro_Diario_Mayor!$G:$G, Libro_Diario_Mayor!$C:$C, AA$37, Libro_Diario_Mayor!$B:$B, "&gt;="&amp;DATE(2026, MONTH(1&amp;$A39), 1), Libro_Diario_Mayor!$B:$B, "&lt;"&amp;DATE(2026, MONTH(1&amp;$A39)+1, 1))</f>
        <v>0</v>
      </c>
      <c r="AD39" s="12">
        <f>+AB39-AC39</f>
        <v>0</v>
      </c>
    </row>
    <row r="40" spans="1:30" s="12" customFormat="1" x14ac:dyDescent="0.3">
      <c r="A40" s="12" t="s">
        <v>1901</v>
      </c>
      <c r="C40" s="12">
        <f>SUMIFS(Libro_Diario_Mayor!$F:$F, Libro_Diario_Mayor!$C:$C, B$37, Libro_Diario_Mayor!$B:$B, "&gt;="&amp;DATE(2026, MONTH(1&amp;$A40), 1), Libro_Diario_Mayor!$B:$B, "&lt;"&amp;DATE(2026, MONTH(1&amp;$A40)+1, 1))</f>
        <v>0</v>
      </c>
      <c r="D40" s="12">
        <f>SUMIFS(Libro_Diario_Mayor!$G:$G, Libro_Diario_Mayor!$C:$C, B$37, Libro_Diario_Mayor!$B:$B, "&gt;="&amp;DATE(2026, MONTH(1&amp;$A40), 1), Libro_Diario_Mayor!$B:$B, "&lt;"&amp;DATE(2026, MONTH(1&amp;$A40)+1, 1))</f>
        <v>0</v>
      </c>
      <c r="E40" s="12">
        <f t="shared" ref="E40:E50" si="12">+C40-D40</f>
        <v>0</v>
      </c>
      <c r="H40" s="12">
        <f>SUMIFS(Libro_Diario_Mayor!$F:$F, Libro_Diario_Mayor!$C:$C, G$37, Libro_Diario_Mayor!$B:$B, "&gt;="&amp;DATE(2026, MONTH(1&amp;$A40), 1), Libro_Diario_Mayor!$B:$B, "&lt;"&amp;DATE(2026, MONTH(1&amp;$A40)+1, 1))</f>
        <v>0</v>
      </c>
      <c r="I40" s="12">
        <f>SUMIFS(Libro_Diario_Mayor!$G:$G, Libro_Diario_Mayor!$C:$C, G$37, Libro_Diario_Mayor!$B:$B, "&gt;="&amp;DATE(2026, MONTH(1&amp;$A40), 1), Libro_Diario_Mayor!$B:$B, "&lt;"&amp;DATE(2026, MONTH(1&amp;$A40)+1, 1))</f>
        <v>0</v>
      </c>
      <c r="J40" s="12">
        <f t="shared" ref="J40:J50" si="13">+H40-I40</f>
        <v>0</v>
      </c>
      <c r="M40" s="12">
        <f>SUMIFS(Libro_Diario_Mayor!$F:$F, Libro_Diario_Mayor!$C:$C, L$37, Libro_Diario_Mayor!$B:$B, "&gt;="&amp;DATE(2026, MONTH(1&amp;$A40), 1), Libro_Diario_Mayor!$B:$B, "&lt;"&amp;DATE(2026, MONTH(1&amp;$A40)+1, 1))</f>
        <v>0</v>
      </c>
      <c r="N40" s="12">
        <f>SUMIFS(Libro_Diario_Mayor!$G:$G, Libro_Diario_Mayor!$C:$C, L$37, Libro_Diario_Mayor!$B:$B, "&gt;="&amp;DATE(2026, MONTH(1&amp;$A40), 1), Libro_Diario_Mayor!$B:$B, "&lt;"&amp;DATE(2026, MONTH(1&amp;$A40)+1, 1))</f>
        <v>0</v>
      </c>
      <c r="O40" s="12">
        <f t="shared" ref="O40:O50" si="14">+M40-N40</f>
        <v>0</v>
      </c>
      <c r="R40" s="12">
        <f>SUMIFS(Libro_Diario_Mayor!$F:$F, Libro_Diario_Mayor!$C:$C, Q$37, Libro_Diario_Mayor!$B:$B, "&gt;="&amp;DATE(2026, MONTH(1&amp;$A40), 1), Libro_Diario_Mayor!$B:$B, "&lt;"&amp;DATE(2026, MONTH(1&amp;$A40)+1, 1))</f>
        <v>0</v>
      </c>
      <c r="S40" s="12">
        <f>SUMIFS(Libro_Diario_Mayor!$G:$G, Libro_Diario_Mayor!$C:$C, Q$37, Libro_Diario_Mayor!$B:$B, "&gt;="&amp;DATE(2026, MONTH(1&amp;$A40), 1), Libro_Diario_Mayor!$B:$B, "&lt;"&amp;DATE(2026, MONTH(1&amp;$A40)+1, 1))</f>
        <v>0</v>
      </c>
      <c r="T40" s="12">
        <f t="shared" ref="T40:T50" si="15">+R40-S40</f>
        <v>0</v>
      </c>
      <c r="W40" s="12">
        <f>SUMIFS(Libro_Diario_Mayor!$F:$F, Libro_Diario_Mayor!$C:$C, V$37, Libro_Diario_Mayor!$B:$B, "&gt;="&amp;DATE(2026, MONTH(1&amp;$A40), 1), Libro_Diario_Mayor!$B:$B, "&lt;"&amp;DATE(2026, MONTH(1&amp;$A40)+1, 1))</f>
        <v>0</v>
      </c>
      <c r="X40" s="12">
        <f>SUMIFS(Libro_Diario_Mayor!$G:$G, Libro_Diario_Mayor!$C:$C, V$37, Libro_Diario_Mayor!$B:$B, "&gt;="&amp;DATE(2026, MONTH(1&amp;$A40), 1), Libro_Diario_Mayor!$B:$B, "&lt;"&amp;DATE(2026, MONTH(1&amp;$A40)+1, 1))</f>
        <v>0</v>
      </c>
      <c r="Y40" s="12">
        <f t="shared" ref="Y40:Y50" si="16">+W40-X40</f>
        <v>0</v>
      </c>
      <c r="AB40" s="12">
        <f>SUMIFS(Libro_Diario_Mayor!$F:$F, Libro_Diario_Mayor!$C:$C, AA$37, Libro_Diario_Mayor!$B:$B, "&gt;="&amp;DATE(2026, MONTH(1&amp;$A40), 1), Libro_Diario_Mayor!$B:$B, "&lt;"&amp;DATE(2026, MONTH(1&amp;$A40)+1, 1))</f>
        <v>0</v>
      </c>
      <c r="AC40" s="12">
        <f>SUMIFS(Libro_Diario_Mayor!$G:$G, Libro_Diario_Mayor!$C:$C, AA$37, Libro_Diario_Mayor!$B:$B, "&gt;="&amp;DATE(2026, MONTH(1&amp;$A40), 1), Libro_Diario_Mayor!$B:$B, "&lt;"&amp;DATE(2026, MONTH(1&amp;$A40)+1, 1))</f>
        <v>0</v>
      </c>
      <c r="AD40" s="12">
        <f t="shared" ref="AD40:AD50" si="17">+AB40-AC40</f>
        <v>0</v>
      </c>
    </row>
    <row r="41" spans="1:30" s="12" customFormat="1" x14ac:dyDescent="0.3">
      <c r="A41" s="12" t="s">
        <v>1902</v>
      </c>
      <c r="C41" s="12">
        <f>SUMIFS(Libro_Diario_Mayor!$F:$F, Libro_Diario_Mayor!$C:$C, B$37, Libro_Diario_Mayor!$B:$B, "&gt;="&amp;DATE(2026, MONTH(1&amp;$A41), 1), Libro_Diario_Mayor!$B:$B, "&lt;"&amp;DATE(2026, MONTH(1&amp;$A41)+1, 1))</f>
        <v>0</v>
      </c>
      <c r="D41" s="12">
        <f>SUMIFS(Libro_Diario_Mayor!$G:$G, Libro_Diario_Mayor!$C:$C, B$37, Libro_Diario_Mayor!$B:$B, "&gt;="&amp;DATE(2026, MONTH(1&amp;$A41), 1), Libro_Diario_Mayor!$B:$B, "&lt;"&amp;DATE(2026, MONTH(1&amp;$A41)+1, 1))</f>
        <v>0</v>
      </c>
      <c r="E41" s="12">
        <f t="shared" si="12"/>
        <v>0</v>
      </c>
      <c r="H41" s="12">
        <f>SUMIFS(Libro_Diario_Mayor!$F:$F, Libro_Diario_Mayor!$C:$C, G$37, Libro_Diario_Mayor!$B:$B, "&gt;="&amp;DATE(2026, MONTH(1&amp;$A41), 1), Libro_Diario_Mayor!$B:$B, "&lt;"&amp;DATE(2026, MONTH(1&amp;$A41)+1, 1))</f>
        <v>0</v>
      </c>
      <c r="I41" s="12">
        <f>SUMIFS(Libro_Diario_Mayor!$G:$G, Libro_Diario_Mayor!$C:$C, G$37, Libro_Diario_Mayor!$B:$B, "&gt;="&amp;DATE(2026, MONTH(1&amp;$A41), 1), Libro_Diario_Mayor!$B:$B, "&lt;"&amp;DATE(2026, MONTH(1&amp;$A41)+1, 1))</f>
        <v>0</v>
      </c>
      <c r="J41" s="12">
        <f t="shared" si="13"/>
        <v>0</v>
      </c>
      <c r="M41" s="12">
        <f>SUMIFS(Libro_Diario_Mayor!$F:$F, Libro_Diario_Mayor!$C:$C, L$37, Libro_Diario_Mayor!$B:$B, "&gt;="&amp;DATE(2026, MONTH(1&amp;$A41), 1), Libro_Diario_Mayor!$B:$B, "&lt;"&amp;DATE(2026, MONTH(1&amp;$A41)+1, 1))</f>
        <v>0</v>
      </c>
      <c r="N41" s="12">
        <f>SUMIFS(Libro_Diario_Mayor!$G:$G, Libro_Diario_Mayor!$C:$C, L$37, Libro_Diario_Mayor!$B:$B, "&gt;="&amp;DATE(2026, MONTH(1&amp;$A41), 1), Libro_Diario_Mayor!$B:$B, "&lt;"&amp;DATE(2026, MONTH(1&amp;$A41)+1, 1))</f>
        <v>0</v>
      </c>
      <c r="O41" s="12">
        <f t="shared" si="14"/>
        <v>0</v>
      </c>
      <c r="R41" s="12">
        <f>SUMIFS(Libro_Diario_Mayor!$F:$F, Libro_Diario_Mayor!$C:$C, Q$37, Libro_Diario_Mayor!$B:$B, "&gt;="&amp;DATE(2026, MONTH(1&amp;$A41), 1), Libro_Diario_Mayor!$B:$B, "&lt;"&amp;DATE(2026, MONTH(1&amp;$A41)+1, 1))</f>
        <v>0</v>
      </c>
      <c r="S41" s="12">
        <f>SUMIFS(Libro_Diario_Mayor!$G:$G, Libro_Diario_Mayor!$C:$C, Q$37, Libro_Diario_Mayor!$B:$B, "&gt;="&amp;DATE(2026, MONTH(1&amp;$A41), 1), Libro_Diario_Mayor!$B:$B, "&lt;"&amp;DATE(2026, MONTH(1&amp;$A41)+1, 1))</f>
        <v>0</v>
      </c>
      <c r="T41" s="12">
        <f t="shared" si="15"/>
        <v>0</v>
      </c>
      <c r="W41" s="12">
        <f>SUMIFS(Libro_Diario_Mayor!$F:$F, Libro_Diario_Mayor!$C:$C, V$37, Libro_Diario_Mayor!$B:$B, "&gt;="&amp;DATE(2026, MONTH(1&amp;$A41), 1), Libro_Diario_Mayor!$B:$B, "&lt;"&amp;DATE(2026, MONTH(1&amp;$A41)+1, 1))</f>
        <v>0</v>
      </c>
      <c r="X41" s="12">
        <f>SUMIFS(Libro_Diario_Mayor!$G:$G, Libro_Diario_Mayor!$C:$C, V$37, Libro_Diario_Mayor!$B:$B, "&gt;="&amp;DATE(2026, MONTH(1&amp;$A41), 1), Libro_Diario_Mayor!$B:$B, "&lt;"&amp;DATE(2026, MONTH(1&amp;$A41)+1, 1))</f>
        <v>0</v>
      </c>
      <c r="Y41" s="12">
        <f t="shared" si="16"/>
        <v>0</v>
      </c>
      <c r="AB41" s="12">
        <f>SUMIFS(Libro_Diario_Mayor!$F:$F, Libro_Diario_Mayor!$C:$C, AA$37, Libro_Diario_Mayor!$B:$B, "&gt;="&amp;DATE(2026, MONTH(1&amp;$A41), 1), Libro_Diario_Mayor!$B:$B, "&lt;"&amp;DATE(2026, MONTH(1&amp;$A41)+1, 1))</f>
        <v>0</v>
      </c>
      <c r="AC41" s="12">
        <f>SUMIFS(Libro_Diario_Mayor!$G:$G, Libro_Diario_Mayor!$C:$C, AA$37, Libro_Diario_Mayor!$B:$B, "&gt;="&amp;DATE(2026, MONTH(1&amp;$A41), 1), Libro_Diario_Mayor!$B:$B, "&lt;"&amp;DATE(2026, MONTH(1&amp;$A41)+1, 1))</f>
        <v>0</v>
      </c>
      <c r="AD41" s="12">
        <f t="shared" si="17"/>
        <v>0</v>
      </c>
    </row>
    <row r="42" spans="1:30" s="12" customFormat="1" x14ac:dyDescent="0.3">
      <c r="A42" s="12" t="s">
        <v>1903</v>
      </c>
      <c r="C42" s="12">
        <f>SUMIFS(Libro_Diario_Mayor!$F:$F, Libro_Diario_Mayor!$C:$C, B$37, Libro_Diario_Mayor!$B:$B, "&gt;="&amp;DATE(2026, MONTH(1&amp;$A42), 1), Libro_Diario_Mayor!$B:$B, "&lt;"&amp;DATE(2026, MONTH(1&amp;$A42)+1, 1))</f>
        <v>0</v>
      </c>
      <c r="D42" s="12">
        <f>SUMIFS(Libro_Diario_Mayor!$G:$G, Libro_Diario_Mayor!$C:$C, B$37, Libro_Diario_Mayor!$B:$B, "&gt;="&amp;DATE(2026, MONTH(1&amp;$A42), 1), Libro_Diario_Mayor!$B:$B, "&lt;"&amp;DATE(2026, MONTH(1&amp;$A42)+1, 1))</f>
        <v>0</v>
      </c>
      <c r="E42" s="12">
        <f t="shared" si="12"/>
        <v>0</v>
      </c>
      <c r="H42" s="12">
        <f>SUMIFS(Libro_Diario_Mayor!$F:$F, Libro_Diario_Mayor!$C:$C, G$37, Libro_Diario_Mayor!$B:$B, "&gt;="&amp;DATE(2026, MONTH(1&amp;$A42), 1), Libro_Diario_Mayor!$B:$B, "&lt;"&amp;DATE(2026, MONTH(1&amp;$A42)+1, 1))</f>
        <v>0</v>
      </c>
      <c r="I42" s="12">
        <f>SUMIFS(Libro_Diario_Mayor!$G:$G, Libro_Diario_Mayor!$C:$C, G$37, Libro_Diario_Mayor!$B:$B, "&gt;="&amp;DATE(2026, MONTH(1&amp;$A42), 1), Libro_Diario_Mayor!$B:$B, "&lt;"&amp;DATE(2026, MONTH(1&amp;$A42)+1, 1))</f>
        <v>0</v>
      </c>
      <c r="J42" s="12">
        <f t="shared" si="13"/>
        <v>0</v>
      </c>
      <c r="M42" s="12">
        <f>SUMIFS(Libro_Diario_Mayor!$F:$F, Libro_Diario_Mayor!$C:$C, L$37, Libro_Diario_Mayor!$B:$B, "&gt;="&amp;DATE(2026, MONTH(1&amp;$A42), 1), Libro_Diario_Mayor!$B:$B, "&lt;"&amp;DATE(2026, MONTH(1&amp;$A42)+1, 1))</f>
        <v>0</v>
      </c>
      <c r="N42" s="12">
        <f>SUMIFS(Libro_Diario_Mayor!$G:$G, Libro_Diario_Mayor!$C:$C, L$37, Libro_Diario_Mayor!$B:$B, "&gt;="&amp;DATE(2026, MONTH(1&amp;$A42), 1), Libro_Diario_Mayor!$B:$B, "&lt;"&amp;DATE(2026, MONTH(1&amp;$A42)+1, 1))</f>
        <v>0</v>
      </c>
      <c r="O42" s="12">
        <f t="shared" si="14"/>
        <v>0</v>
      </c>
      <c r="R42" s="12">
        <f>SUMIFS(Libro_Diario_Mayor!$F:$F, Libro_Diario_Mayor!$C:$C, Q$37, Libro_Diario_Mayor!$B:$B, "&gt;="&amp;DATE(2026, MONTH(1&amp;$A42), 1), Libro_Diario_Mayor!$B:$B, "&lt;"&amp;DATE(2026, MONTH(1&amp;$A42)+1, 1))</f>
        <v>0</v>
      </c>
      <c r="S42" s="12">
        <f>SUMIFS(Libro_Diario_Mayor!$G:$G, Libro_Diario_Mayor!$C:$C, Q$37, Libro_Diario_Mayor!$B:$B, "&gt;="&amp;DATE(2026, MONTH(1&amp;$A42), 1), Libro_Diario_Mayor!$B:$B, "&lt;"&amp;DATE(2026, MONTH(1&amp;$A42)+1, 1))</f>
        <v>0</v>
      </c>
      <c r="T42" s="12">
        <f t="shared" si="15"/>
        <v>0</v>
      </c>
      <c r="W42" s="12">
        <f>SUMIFS(Libro_Diario_Mayor!$F:$F, Libro_Diario_Mayor!$C:$C, V$37, Libro_Diario_Mayor!$B:$B, "&gt;="&amp;DATE(2026, MONTH(1&amp;$A42), 1), Libro_Diario_Mayor!$B:$B, "&lt;"&amp;DATE(2026, MONTH(1&amp;$A42)+1, 1))</f>
        <v>0</v>
      </c>
      <c r="X42" s="12">
        <f>SUMIFS(Libro_Diario_Mayor!$G:$G, Libro_Diario_Mayor!$C:$C, V$37, Libro_Diario_Mayor!$B:$B, "&gt;="&amp;DATE(2026, MONTH(1&amp;$A42), 1), Libro_Diario_Mayor!$B:$B, "&lt;"&amp;DATE(2026, MONTH(1&amp;$A42)+1, 1))</f>
        <v>0</v>
      </c>
      <c r="Y42" s="12">
        <f t="shared" si="16"/>
        <v>0</v>
      </c>
      <c r="AB42" s="12">
        <f>SUMIFS(Libro_Diario_Mayor!$F:$F, Libro_Diario_Mayor!$C:$C, AA$37, Libro_Diario_Mayor!$B:$B, "&gt;="&amp;DATE(2026, MONTH(1&amp;$A42), 1), Libro_Diario_Mayor!$B:$B, "&lt;"&amp;DATE(2026, MONTH(1&amp;$A42)+1, 1))</f>
        <v>1090000</v>
      </c>
      <c r="AC42" s="12">
        <f>SUMIFS(Libro_Diario_Mayor!$G:$G, Libro_Diario_Mayor!$C:$C, AA$37, Libro_Diario_Mayor!$B:$B, "&gt;="&amp;DATE(2026, MONTH(1&amp;$A42), 1), Libro_Diario_Mayor!$B:$B, "&lt;"&amp;DATE(2026, MONTH(1&amp;$A42)+1, 1))</f>
        <v>0</v>
      </c>
      <c r="AD42" s="12">
        <f t="shared" si="17"/>
        <v>1090000</v>
      </c>
    </row>
    <row r="43" spans="1:30" s="12" customFormat="1" x14ac:dyDescent="0.3">
      <c r="A43" s="12" t="s">
        <v>1904</v>
      </c>
      <c r="C43" s="12">
        <f>SUMIFS(Libro_Diario_Mayor!$F:$F, Libro_Diario_Mayor!$C:$C, B$37, Libro_Diario_Mayor!$B:$B, "&gt;="&amp;DATE(2026, MONTH(1&amp;$A43), 1), Libro_Diario_Mayor!$B:$B, "&lt;"&amp;DATE(2026, MONTH(1&amp;$A43)+1, 1))</f>
        <v>25000</v>
      </c>
      <c r="D43" s="12">
        <f>SUMIFS(Libro_Diario_Mayor!$G:$G, Libro_Diario_Mayor!$C:$C, B$37, Libro_Diario_Mayor!$B:$B, "&gt;="&amp;DATE(2026, MONTH(1&amp;$A43), 1), Libro_Diario_Mayor!$B:$B, "&lt;"&amp;DATE(2026, MONTH(1&amp;$A43)+1, 1))</f>
        <v>0</v>
      </c>
      <c r="E43" s="12">
        <f t="shared" si="12"/>
        <v>25000</v>
      </c>
      <c r="H43" s="12">
        <f>SUMIFS(Libro_Diario_Mayor!$F:$F, Libro_Diario_Mayor!$C:$C, G$37, Libro_Diario_Mayor!$B:$B, "&gt;="&amp;DATE(2026, MONTH(1&amp;$A43), 1), Libro_Diario_Mayor!$B:$B, "&lt;"&amp;DATE(2026, MONTH(1&amp;$A43)+1, 1))</f>
        <v>23500</v>
      </c>
      <c r="I43" s="12">
        <f>SUMIFS(Libro_Diario_Mayor!$G:$G, Libro_Diario_Mayor!$C:$C, G$37, Libro_Diario_Mayor!$B:$B, "&gt;="&amp;DATE(2026, MONTH(1&amp;$A43), 1), Libro_Diario_Mayor!$B:$B, "&lt;"&amp;DATE(2026, MONTH(1&amp;$A43)+1, 1))</f>
        <v>0</v>
      </c>
      <c r="J43" s="12">
        <f t="shared" si="13"/>
        <v>23500</v>
      </c>
      <c r="M43" s="12">
        <f>SUMIFS(Libro_Diario_Mayor!$F:$F, Libro_Diario_Mayor!$C:$C, L$37, Libro_Diario_Mayor!$B:$B, "&gt;="&amp;DATE(2026, MONTH(1&amp;$A43), 1), Libro_Diario_Mayor!$B:$B, "&lt;"&amp;DATE(2026, MONTH(1&amp;$A43)+1, 1))</f>
        <v>197909.6211342857</v>
      </c>
      <c r="N43" s="12">
        <f>SUMIFS(Libro_Diario_Mayor!$G:$G, Libro_Diario_Mayor!$C:$C, L$37, Libro_Diario_Mayor!$B:$B, "&gt;="&amp;DATE(2026, MONTH(1&amp;$A43), 1), Libro_Diario_Mayor!$B:$B, "&lt;"&amp;DATE(2026, MONTH(1&amp;$A43)+1, 1))</f>
        <v>0</v>
      </c>
      <c r="O43" s="12">
        <f t="shared" si="14"/>
        <v>197909.6211342857</v>
      </c>
      <c r="R43" s="12">
        <f>SUMIFS(Libro_Diario_Mayor!$F:$F, Libro_Diario_Mayor!$C:$C, Q$37, Libro_Diario_Mayor!$B:$B, "&gt;="&amp;DATE(2026, MONTH(1&amp;$A43), 1), Libro_Diario_Mayor!$B:$B, "&lt;"&amp;DATE(2026, MONTH(1&amp;$A43)+1, 1))</f>
        <v>130934.65595619049</v>
      </c>
      <c r="S43" s="12">
        <f>SUMIFS(Libro_Diario_Mayor!$G:$G, Libro_Diario_Mayor!$C:$C, Q$37, Libro_Diario_Mayor!$B:$B, "&gt;="&amp;DATE(2026, MONTH(1&amp;$A43), 1), Libro_Diario_Mayor!$B:$B, "&lt;"&amp;DATE(2026, MONTH(1&amp;$A43)+1, 1))</f>
        <v>0</v>
      </c>
      <c r="T43" s="12">
        <f t="shared" si="15"/>
        <v>130934.65595619049</v>
      </c>
      <c r="W43" s="12">
        <f>SUMIFS(Libro_Diario_Mayor!$F:$F, Libro_Diario_Mayor!$C:$C, V$37, Libro_Diario_Mayor!$B:$B, "&gt;="&amp;DATE(2026, MONTH(1&amp;$A43), 1), Libro_Diario_Mayor!$B:$B, "&lt;"&amp;DATE(2026, MONTH(1&amp;$A43)+1, 1))</f>
        <v>174148.62740190481</v>
      </c>
      <c r="X43" s="12">
        <f>SUMIFS(Libro_Diario_Mayor!$G:$G, Libro_Diario_Mayor!$C:$C, V$37, Libro_Diario_Mayor!$B:$B, "&gt;="&amp;DATE(2026, MONTH(1&amp;$A43), 1), Libro_Diario_Mayor!$B:$B, "&lt;"&amp;DATE(2026, MONTH(1&amp;$A43)+1, 1))</f>
        <v>175424.72360190476</v>
      </c>
      <c r="Y43" s="12">
        <f t="shared" si="16"/>
        <v>-1276.0961999999417</v>
      </c>
      <c r="AB43" s="12">
        <f>SUMIFS(Libro_Diario_Mayor!$F:$F, Libro_Diario_Mayor!$C:$C, AA$37, Libro_Diario_Mayor!$B:$B, "&gt;="&amp;DATE(2026, MONTH(1&amp;$A43), 1), Libro_Diario_Mayor!$B:$B, "&lt;"&amp;DATE(2026, MONTH(1&amp;$A43)+1, 1))</f>
        <v>180000</v>
      </c>
      <c r="AC43" s="12">
        <f>SUMIFS(Libro_Diario_Mayor!$G:$G, Libro_Diario_Mayor!$C:$C, AA$37, Libro_Diario_Mayor!$B:$B, "&gt;="&amp;DATE(2026, MONTH(1&amp;$A43), 1), Libro_Diario_Mayor!$B:$B, "&lt;"&amp;DATE(2026, MONTH(1&amp;$A43)+1, 1))</f>
        <v>0</v>
      </c>
      <c r="AD43" s="12">
        <f t="shared" si="17"/>
        <v>180000</v>
      </c>
    </row>
    <row r="44" spans="1:30" s="12" customFormat="1" x14ac:dyDescent="0.3">
      <c r="A44" s="12" t="s">
        <v>1905</v>
      </c>
      <c r="C44" s="12">
        <f>SUMIFS(Libro_Diario_Mayor!$F:$F, Libro_Diario_Mayor!$C:$C, B$37, Libro_Diario_Mayor!$B:$B, "&gt;="&amp;DATE(2026, MONTH(1&amp;$A44), 1), Libro_Diario_Mayor!$B:$B, "&lt;"&amp;DATE(2026, MONTH(1&amp;$A44)+1, 1))</f>
        <v>0</v>
      </c>
      <c r="D44" s="12">
        <f>SUMIFS(Libro_Diario_Mayor!$G:$G, Libro_Diario_Mayor!$C:$C, B$37, Libro_Diario_Mayor!$B:$B, "&gt;="&amp;DATE(2026, MONTH(1&amp;$A44), 1), Libro_Diario_Mayor!$B:$B, "&lt;"&amp;DATE(2026, MONTH(1&amp;$A44)+1, 1))</f>
        <v>0</v>
      </c>
      <c r="E44" s="12">
        <f t="shared" si="12"/>
        <v>0</v>
      </c>
      <c r="H44" s="12">
        <f>SUMIFS(Libro_Diario_Mayor!$F:$F, Libro_Diario_Mayor!$C:$C, G$37, Libro_Diario_Mayor!$B:$B, "&gt;="&amp;DATE(2026, MONTH(1&amp;$A44), 1), Libro_Diario_Mayor!$B:$B, "&lt;"&amp;DATE(2026, MONTH(1&amp;$A44)+1, 1))</f>
        <v>0</v>
      </c>
      <c r="I44" s="12">
        <f>SUMIFS(Libro_Diario_Mayor!$G:$G, Libro_Diario_Mayor!$C:$C, G$37, Libro_Diario_Mayor!$B:$B, "&gt;="&amp;DATE(2026, MONTH(1&amp;$A44), 1), Libro_Diario_Mayor!$B:$B, "&lt;"&amp;DATE(2026, MONTH(1&amp;$A44)+1, 1))</f>
        <v>0</v>
      </c>
      <c r="J44" s="12">
        <f t="shared" si="13"/>
        <v>0</v>
      </c>
      <c r="M44" s="12">
        <f>SUMIFS(Libro_Diario_Mayor!$F:$F, Libro_Diario_Mayor!$C:$C, L$37, Libro_Diario_Mayor!$B:$B, "&gt;="&amp;DATE(2026, MONTH(1&amp;$A44), 1), Libro_Diario_Mayor!$B:$B, "&lt;"&amp;DATE(2026, MONTH(1&amp;$A44)+1, 1))</f>
        <v>0</v>
      </c>
      <c r="N44" s="12">
        <f>SUMIFS(Libro_Diario_Mayor!$G:$G, Libro_Diario_Mayor!$C:$C, L$37, Libro_Diario_Mayor!$B:$B, "&gt;="&amp;DATE(2026, MONTH(1&amp;$A44), 1), Libro_Diario_Mayor!$B:$B, "&lt;"&amp;DATE(2026, MONTH(1&amp;$A44)+1, 1))</f>
        <v>0</v>
      </c>
      <c r="O44" s="12">
        <f t="shared" si="14"/>
        <v>0</v>
      </c>
      <c r="R44" s="12">
        <f>SUMIFS(Libro_Diario_Mayor!$F:$F, Libro_Diario_Mayor!$C:$C, Q$37, Libro_Diario_Mayor!$B:$B, "&gt;="&amp;DATE(2026, MONTH(1&amp;$A44), 1), Libro_Diario_Mayor!$B:$B, "&lt;"&amp;DATE(2026, MONTH(1&amp;$A44)+1, 1))</f>
        <v>0</v>
      </c>
      <c r="S44" s="12">
        <f>SUMIFS(Libro_Diario_Mayor!$G:$G, Libro_Diario_Mayor!$C:$C, Q$37, Libro_Diario_Mayor!$B:$B, "&gt;="&amp;DATE(2026, MONTH(1&amp;$A44), 1), Libro_Diario_Mayor!$B:$B, "&lt;"&amp;DATE(2026, MONTH(1&amp;$A44)+1, 1))</f>
        <v>0</v>
      </c>
      <c r="T44" s="12">
        <f t="shared" si="15"/>
        <v>0</v>
      </c>
      <c r="W44" s="12">
        <f>SUMIFS(Libro_Diario_Mayor!$F:$F, Libro_Diario_Mayor!$C:$C, V$37, Libro_Diario_Mayor!$B:$B, "&gt;="&amp;DATE(2026, MONTH(1&amp;$A44), 1), Libro_Diario_Mayor!$B:$B, "&lt;"&amp;DATE(2026, MONTH(1&amp;$A44)+1, 1))</f>
        <v>0</v>
      </c>
      <c r="X44" s="12">
        <f>SUMIFS(Libro_Diario_Mayor!$G:$G, Libro_Diario_Mayor!$C:$C, V$37, Libro_Diario_Mayor!$B:$B, "&gt;="&amp;DATE(2026, MONTH(1&amp;$A44), 1), Libro_Diario_Mayor!$B:$B, "&lt;"&amp;DATE(2026, MONTH(1&amp;$A44)+1, 1))</f>
        <v>0</v>
      </c>
      <c r="Y44" s="12">
        <f t="shared" si="16"/>
        <v>0</v>
      </c>
      <c r="AB44" s="12">
        <f>SUMIFS(Libro_Diario_Mayor!$F:$F, Libro_Diario_Mayor!$C:$C, AA$37, Libro_Diario_Mayor!$B:$B, "&gt;="&amp;DATE(2026, MONTH(1&amp;$A44), 1), Libro_Diario_Mayor!$B:$B, "&lt;"&amp;DATE(2026, MONTH(1&amp;$A44)+1, 1))</f>
        <v>0</v>
      </c>
      <c r="AC44" s="12">
        <f>SUMIFS(Libro_Diario_Mayor!$G:$G, Libro_Diario_Mayor!$C:$C, AA$37, Libro_Diario_Mayor!$B:$B, "&gt;="&amp;DATE(2026, MONTH(1&amp;$A44), 1), Libro_Diario_Mayor!$B:$B, "&lt;"&amp;DATE(2026, MONTH(1&amp;$A44)+1, 1))</f>
        <v>0</v>
      </c>
      <c r="AD44" s="12">
        <f t="shared" si="17"/>
        <v>0</v>
      </c>
    </row>
    <row r="45" spans="1:30" s="12" customFormat="1" x14ac:dyDescent="0.3">
      <c r="A45" s="12" t="s">
        <v>1906</v>
      </c>
      <c r="C45" s="12">
        <f>SUMIFS(Libro_Diario_Mayor!$F:$F, Libro_Diario_Mayor!$C:$C, B$37, Libro_Diario_Mayor!$B:$B, "&gt;="&amp;DATE(2026, MONTH(1&amp;$A45), 1), Libro_Diario_Mayor!$B:$B, "&lt;"&amp;DATE(2026, MONTH(1&amp;$A45)+1, 1))</f>
        <v>0</v>
      </c>
      <c r="D45" s="12">
        <f>SUMIFS(Libro_Diario_Mayor!$G:$G, Libro_Diario_Mayor!$C:$C, B$37, Libro_Diario_Mayor!$B:$B, "&gt;="&amp;DATE(2026, MONTH(1&amp;$A45), 1), Libro_Diario_Mayor!$B:$B, "&lt;"&amp;DATE(2026, MONTH(1&amp;$A45)+1, 1))</f>
        <v>0</v>
      </c>
      <c r="E45" s="12">
        <f t="shared" si="12"/>
        <v>0</v>
      </c>
      <c r="H45" s="12">
        <f>SUMIFS(Libro_Diario_Mayor!$F:$F, Libro_Diario_Mayor!$C:$C, G$37, Libro_Diario_Mayor!$B:$B, "&gt;="&amp;DATE(2026, MONTH(1&amp;$A45), 1), Libro_Diario_Mayor!$B:$B, "&lt;"&amp;DATE(2026, MONTH(1&amp;$A45)+1, 1))</f>
        <v>0</v>
      </c>
      <c r="I45" s="12">
        <f>SUMIFS(Libro_Diario_Mayor!$G:$G, Libro_Diario_Mayor!$C:$C, G$37, Libro_Diario_Mayor!$B:$B, "&gt;="&amp;DATE(2026, MONTH(1&amp;$A45), 1), Libro_Diario_Mayor!$B:$B, "&lt;"&amp;DATE(2026, MONTH(1&amp;$A45)+1, 1))</f>
        <v>0</v>
      </c>
      <c r="J45" s="12">
        <f t="shared" si="13"/>
        <v>0</v>
      </c>
      <c r="M45" s="12">
        <f>SUMIFS(Libro_Diario_Mayor!$F:$F, Libro_Diario_Mayor!$C:$C, L$37, Libro_Diario_Mayor!$B:$B, "&gt;="&amp;DATE(2026, MONTH(1&amp;$A45), 1), Libro_Diario_Mayor!$B:$B, "&lt;"&amp;DATE(2026, MONTH(1&amp;$A45)+1, 1))</f>
        <v>0</v>
      </c>
      <c r="N45" s="12">
        <f>SUMIFS(Libro_Diario_Mayor!$G:$G, Libro_Diario_Mayor!$C:$C, L$37, Libro_Diario_Mayor!$B:$B, "&gt;="&amp;DATE(2026, MONTH(1&amp;$A45), 1), Libro_Diario_Mayor!$B:$B, "&lt;"&amp;DATE(2026, MONTH(1&amp;$A45)+1, 1))</f>
        <v>0</v>
      </c>
      <c r="O45" s="12">
        <f t="shared" si="14"/>
        <v>0</v>
      </c>
      <c r="R45" s="12">
        <f>SUMIFS(Libro_Diario_Mayor!$F:$F, Libro_Diario_Mayor!$C:$C, Q$37, Libro_Diario_Mayor!$B:$B, "&gt;="&amp;DATE(2026, MONTH(1&amp;$A45), 1), Libro_Diario_Mayor!$B:$B, "&lt;"&amp;DATE(2026, MONTH(1&amp;$A45)+1, 1))</f>
        <v>0</v>
      </c>
      <c r="S45" s="12">
        <f>SUMIFS(Libro_Diario_Mayor!$G:$G, Libro_Diario_Mayor!$C:$C, Q$37, Libro_Diario_Mayor!$B:$B, "&gt;="&amp;DATE(2026, MONTH(1&amp;$A45), 1), Libro_Diario_Mayor!$B:$B, "&lt;"&amp;DATE(2026, MONTH(1&amp;$A45)+1, 1))</f>
        <v>0</v>
      </c>
      <c r="T45" s="12">
        <f t="shared" si="15"/>
        <v>0</v>
      </c>
      <c r="W45" s="12">
        <f>SUMIFS(Libro_Diario_Mayor!$F:$F, Libro_Diario_Mayor!$C:$C, V$37, Libro_Diario_Mayor!$B:$B, "&gt;="&amp;DATE(2026, MONTH(1&amp;$A45), 1), Libro_Diario_Mayor!$B:$B, "&lt;"&amp;DATE(2026, MONTH(1&amp;$A45)+1, 1))</f>
        <v>0</v>
      </c>
      <c r="X45" s="12">
        <f>SUMIFS(Libro_Diario_Mayor!$G:$G, Libro_Diario_Mayor!$C:$C, V$37, Libro_Diario_Mayor!$B:$B, "&gt;="&amp;DATE(2026, MONTH(1&amp;$A45), 1), Libro_Diario_Mayor!$B:$B, "&lt;"&amp;DATE(2026, MONTH(1&amp;$A45)+1, 1))</f>
        <v>0</v>
      </c>
      <c r="Y45" s="12">
        <f t="shared" si="16"/>
        <v>0</v>
      </c>
      <c r="AB45" s="12">
        <f>SUMIFS(Libro_Diario_Mayor!$F:$F, Libro_Diario_Mayor!$C:$C, AA$37, Libro_Diario_Mayor!$B:$B, "&gt;="&amp;DATE(2026, MONTH(1&amp;$A45), 1), Libro_Diario_Mayor!$B:$B, "&lt;"&amp;DATE(2026, MONTH(1&amp;$A45)+1, 1))</f>
        <v>0</v>
      </c>
      <c r="AC45" s="12">
        <f>SUMIFS(Libro_Diario_Mayor!$G:$G, Libro_Diario_Mayor!$C:$C, AA$37, Libro_Diario_Mayor!$B:$B, "&gt;="&amp;DATE(2026, MONTH(1&amp;$A45), 1), Libro_Diario_Mayor!$B:$B, "&lt;"&amp;DATE(2026, MONTH(1&amp;$A45)+1, 1))</f>
        <v>0</v>
      </c>
      <c r="AD45" s="12">
        <f t="shared" si="17"/>
        <v>0</v>
      </c>
    </row>
    <row r="46" spans="1:30" s="12" customFormat="1" x14ac:dyDescent="0.3">
      <c r="A46" s="12" t="s">
        <v>1907</v>
      </c>
      <c r="C46" s="12">
        <f>SUMIFS(Libro_Diario_Mayor!$F:$F, Libro_Diario_Mayor!$C:$C, B$37, Libro_Diario_Mayor!$B:$B, "&gt;="&amp;DATE(2026, MONTH(1&amp;$A46), 1), Libro_Diario_Mayor!$B:$B, "&lt;"&amp;DATE(2026, MONTH(1&amp;$A46)+1, 1))</f>
        <v>0</v>
      </c>
      <c r="D46" s="12">
        <f>SUMIFS(Libro_Diario_Mayor!$G:$G, Libro_Diario_Mayor!$C:$C, B$37, Libro_Diario_Mayor!$B:$B, "&gt;="&amp;DATE(2026, MONTH(1&amp;$A46), 1), Libro_Diario_Mayor!$B:$B, "&lt;"&amp;DATE(2026, MONTH(1&amp;$A46)+1, 1))</f>
        <v>0</v>
      </c>
      <c r="E46" s="12">
        <f t="shared" si="12"/>
        <v>0</v>
      </c>
      <c r="H46" s="12">
        <f>SUMIFS(Libro_Diario_Mayor!$F:$F, Libro_Diario_Mayor!$C:$C, G$37, Libro_Diario_Mayor!$B:$B, "&gt;="&amp;DATE(2026, MONTH(1&amp;$A46), 1), Libro_Diario_Mayor!$B:$B, "&lt;"&amp;DATE(2026, MONTH(1&amp;$A46)+1, 1))</f>
        <v>0</v>
      </c>
      <c r="I46" s="12">
        <f>SUMIFS(Libro_Diario_Mayor!$G:$G, Libro_Diario_Mayor!$C:$C, G$37, Libro_Diario_Mayor!$B:$B, "&gt;="&amp;DATE(2026, MONTH(1&amp;$A46), 1), Libro_Diario_Mayor!$B:$B, "&lt;"&amp;DATE(2026, MONTH(1&amp;$A46)+1, 1))</f>
        <v>0</v>
      </c>
      <c r="J46" s="12">
        <f t="shared" si="13"/>
        <v>0</v>
      </c>
      <c r="M46" s="12">
        <f>SUMIFS(Libro_Diario_Mayor!$F:$F, Libro_Diario_Mayor!$C:$C, L$37, Libro_Diario_Mayor!$B:$B, "&gt;="&amp;DATE(2026, MONTH(1&amp;$A46), 1), Libro_Diario_Mayor!$B:$B, "&lt;"&amp;DATE(2026, MONTH(1&amp;$A46)+1, 1))</f>
        <v>2083.4776000000002</v>
      </c>
      <c r="N46" s="12">
        <f>SUMIFS(Libro_Diario_Mayor!$G:$G, Libro_Diario_Mayor!$C:$C, L$37, Libro_Diario_Mayor!$B:$B, "&gt;="&amp;DATE(2026, MONTH(1&amp;$A46), 1), Libro_Diario_Mayor!$B:$B, "&lt;"&amp;DATE(2026, MONTH(1&amp;$A46)+1, 1))</f>
        <v>0</v>
      </c>
      <c r="O46" s="12">
        <f t="shared" si="14"/>
        <v>2083.4776000000002</v>
      </c>
      <c r="R46" s="12">
        <f>SUMIFS(Libro_Diario_Mayor!$F:$F, Libro_Diario_Mayor!$C:$C, Q$37, Libro_Diario_Mayor!$B:$B, "&gt;="&amp;DATE(2026, MONTH(1&amp;$A46), 1), Libro_Diario_Mayor!$B:$B, "&lt;"&amp;DATE(2026, MONTH(1&amp;$A46)+1, 1))</f>
        <v>118776.70171619048</v>
      </c>
      <c r="S46" s="12">
        <f>SUMIFS(Libro_Diario_Mayor!$G:$G, Libro_Diario_Mayor!$C:$C, Q$37, Libro_Diario_Mayor!$B:$B, "&gt;="&amp;DATE(2026, MONTH(1&amp;$A46), 1), Libro_Diario_Mayor!$B:$B, "&lt;"&amp;DATE(2026, MONTH(1&amp;$A46)+1, 1))</f>
        <v>0</v>
      </c>
      <c r="T46" s="12">
        <f t="shared" si="15"/>
        <v>118776.70171619048</v>
      </c>
      <c r="W46" s="12">
        <f>SUMIFS(Libro_Diario_Mayor!$F:$F, Libro_Diario_Mayor!$C:$C, V$37, Libro_Diario_Mayor!$B:$B, "&gt;="&amp;DATE(2026, MONTH(1&amp;$A46), 1), Libro_Diario_Mayor!$B:$B, "&lt;"&amp;DATE(2026, MONTH(1&amp;$A46)+1, 1))</f>
        <v>0</v>
      </c>
      <c r="X46" s="12">
        <f>SUMIFS(Libro_Diario_Mayor!$G:$G, Libro_Diario_Mayor!$C:$C, V$37, Libro_Diario_Mayor!$B:$B, "&gt;="&amp;DATE(2026, MONTH(1&amp;$A46), 1), Libro_Diario_Mayor!$B:$B, "&lt;"&amp;DATE(2026, MONTH(1&amp;$A46)+1, 1))</f>
        <v>0</v>
      </c>
      <c r="Y46" s="12">
        <f t="shared" si="16"/>
        <v>0</v>
      </c>
      <c r="AB46" s="12">
        <f>SUMIFS(Libro_Diario_Mayor!$F:$F, Libro_Diario_Mayor!$C:$C, AA$37, Libro_Diario_Mayor!$B:$B, "&gt;="&amp;DATE(2026, MONTH(1&amp;$A46), 1), Libro_Diario_Mayor!$B:$B, "&lt;"&amp;DATE(2026, MONTH(1&amp;$A46)+1, 1))</f>
        <v>0</v>
      </c>
      <c r="AC46" s="12">
        <f>SUMIFS(Libro_Diario_Mayor!$G:$G, Libro_Diario_Mayor!$C:$C, AA$37, Libro_Diario_Mayor!$B:$B, "&gt;="&amp;DATE(2026, MONTH(1&amp;$A46), 1), Libro_Diario_Mayor!$B:$B, "&lt;"&amp;DATE(2026, MONTH(1&amp;$A46)+1, 1))</f>
        <v>0</v>
      </c>
      <c r="AD46" s="12">
        <f t="shared" si="17"/>
        <v>0</v>
      </c>
    </row>
    <row r="47" spans="1:30" s="12" customFormat="1" x14ac:dyDescent="0.3">
      <c r="A47" s="12" t="s">
        <v>1908</v>
      </c>
      <c r="C47" s="12">
        <f>SUMIFS(Libro_Diario_Mayor!$F:$F, Libro_Diario_Mayor!$C:$C, B$37, Libro_Diario_Mayor!$B:$B, "&gt;="&amp;DATE(2026, MONTH(1&amp;$A47), 1), Libro_Diario_Mayor!$B:$B, "&lt;"&amp;DATE(2026, MONTH(1&amp;$A47)+1, 1))</f>
        <v>0</v>
      </c>
      <c r="D47" s="12">
        <f>SUMIFS(Libro_Diario_Mayor!$G:$G, Libro_Diario_Mayor!$C:$C, B$37, Libro_Diario_Mayor!$B:$B, "&gt;="&amp;DATE(2026, MONTH(1&amp;$A47), 1), Libro_Diario_Mayor!$B:$B, "&lt;"&amp;DATE(2026, MONTH(1&amp;$A47)+1, 1))</f>
        <v>0</v>
      </c>
      <c r="E47" s="12">
        <f t="shared" si="12"/>
        <v>0</v>
      </c>
      <c r="H47" s="12">
        <f>SUMIFS(Libro_Diario_Mayor!$F:$F, Libro_Diario_Mayor!$C:$C, G$37, Libro_Diario_Mayor!$B:$B, "&gt;="&amp;DATE(2026, MONTH(1&amp;$A47), 1), Libro_Diario_Mayor!$B:$B, "&lt;"&amp;DATE(2026, MONTH(1&amp;$A47)+1, 1))</f>
        <v>0</v>
      </c>
      <c r="I47" s="12">
        <f>SUMIFS(Libro_Diario_Mayor!$G:$G, Libro_Diario_Mayor!$C:$C, G$37, Libro_Diario_Mayor!$B:$B, "&gt;="&amp;DATE(2026, MONTH(1&amp;$A47), 1), Libro_Diario_Mayor!$B:$B, "&lt;"&amp;DATE(2026, MONTH(1&amp;$A47)+1, 1))</f>
        <v>0</v>
      </c>
      <c r="J47" s="12">
        <f t="shared" si="13"/>
        <v>0</v>
      </c>
      <c r="M47" s="12">
        <f>SUMIFS(Libro_Diario_Mayor!$F:$F, Libro_Diario_Mayor!$C:$C, L$37, Libro_Diario_Mayor!$B:$B, "&gt;="&amp;DATE(2026, MONTH(1&amp;$A47), 1), Libro_Diario_Mayor!$B:$B, "&lt;"&amp;DATE(2026, MONTH(1&amp;$A47)+1, 1))</f>
        <v>0</v>
      </c>
      <c r="N47" s="12">
        <f>SUMIFS(Libro_Diario_Mayor!$G:$G, Libro_Diario_Mayor!$C:$C, L$37, Libro_Diario_Mayor!$B:$B, "&gt;="&amp;DATE(2026, MONTH(1&amp;$A47), 1), Libro_Diario_Mayor!$B:$B, "&lt;"&amp;DATE(2026, MONTH(1&amp;$A47)+1, 1))</f>
        <v>0</v>
      </c>
      <c r="O47" s="12">
        <f t="shared" si="14"/>
        <v>0</v>
      </c>
      <c r="R47" s="12">
        <f>SUMIFS(Libro_Diario_Mayor!$F:$F, Libro_Diario_Mayor!$C:$C, Q$37, Libro_Diario_Mayor!$B:$B, "&gt;="&amp;DATE(2026, MONTH(1&amp;$A47), 1), Libro_Diario_Mayor!$B:$B, "&lt;"&amp;DATE(2026, MONTH(1&amp;$A47)+1, 1))</f>
        <v>0</v>
      </c>
      <c r="S47" s="12">
        <f>SUMIFS(Libro_Diario_Mayor!$G:$G, Libro_Diario_Mayor!$C:$C, Q$37, Libro_Diario_Mayor!$B:$B, "&gt;="&amp;DATE(2026, MONTH(1&amp;$A47), 1), Libro_Diario_Mayor!$B:$B, "&lt;"&amp;DATE(2026, MONTH(1&amp;$A47)+1, 1))</f>
        <v>0</v>
      </c>
      <c r="T47" s="12">
        <f t="shared" si="15"/>
        <v>0</v>
      </c>
      <c r="W47" s="12">
        <f>SUMIFS(Libro_Diario_Mayor!$F:$F, Libro_Diario_Mayor!$C:$C, V$37, Libro_Diario_Mayor!$B:$B, "&gt;="&amp;DATE(2026, MONTH(1&amp;$A47), 1), Libro_Diario_Mayor!$B:$B, "&lt;"&amp;DATE(2026, MONTH(1&amp;$A47)+1, 1))</f>
        <v>0</v>
      </c>
      <c r="X47" s="12">
        <f>SUMIFS(Libro_Diario_Mayor!$G:$G, Libro_Diario_Mayor!$C:$C, V$37, Libro_Diario_Mayor!$B:$B, "&gt;="&amp;DATE(2026, MONTH(1&amp;$A47), 1), Libro_Diario_Mayor!$B:$B, "&lt;"&amp;DATE(2026, MONTH(1&amp;$A47)+1, 1))</f>
        <v>0</v>
      </c>
      <c r="Y47" s="12">
        <f t="shared" si="16"/>
        <v>0</v>
      </c>
      <c r="AB47" s="12">
        <f>SUMIFS(Libro_Diario_Mayor!$F:$F, Libro_Diario_Mayor!$C:$C, AA$37, Libro_Diario_Mayor!$B:$B, "&gt;="&amp;DATE(2026, MONTH(1&amp;$A47), 1), Libro_Diario_Mayor!$B:$B, "&lt;"&amp;DATE(2026, MONTH(1&amp;$A47)+1, 1))</f>
        <v>0</v>
      </c>
      <c r="AC47" s="12">
        <f>SUMIFS(Libro_Diario_Mayor!$G:$G, Libro_Diario_Mayor!$C:$C, AA$37, Libro_Diario_Mayor!$B:$B, "&gt;="&amp;DATE(2026, MONTH(1&amp;$A47), 1), Libro_Diario_Mayor!$B:$B, "&lt;"&amp;DATE(2026, MONTH(1&amp;$A47)+1, 1))</f>
        <v>0</v>
      </c>
      <c r="AD47" s="12">
        <f t="shared" si="17"/>
        <v>0</v>
      </c>
    </row>
    <row r="48" spans="1:30" s="12" customFormat="1" x14ac:dyDescent="0.3">
      <c r="A48" s="12" t="s">
        <v>1909</v>
      </c>
      <c r="C48" s="12">
        <f>SUMIFS(Libro_Diario_Mayor!$F:$F, Libro_Diario_Mayor!$C:$C, B$37, Libro_Diario_Mayor!$B:$B, "&gt;="&amp;DATE(2026, MONTH(1&amp;$A48), 1), Libro_Diario_Mayor!$B:$B, "&lt;"&amp;DATE(2026, MONTH(1&amp;$A48)+1, 1))</f>
        <v>0</v>
      </c>
      <c r="D48" s="12">
        <f>SUMIFS(Libro_Diario_Mayor!$G:$G, Libro_Diario_Mayor!$C:$C, B$37, Libro_Diario_Mayor!$B:$B, "&gt;="&amp;DATE(2026, MONTH(1&amp;$A48), 1), Libro_Diario_Mayor!$B:$B, "&lt;"&amp;DATE(2026, MONTH(1&amp;$A48)+1, 1))</f>
        <v>0</v>
      </c>
      <c r="E48" s="12">
        <f t="shared" si="12"/>
        <v>0</v>
      </c>
      <c r="H48" s="12">
        <f>SUMIFS(Libro_Diario_Mayor!$F:$F, Libro_Diario_Mayor!$C:$C, G$37, Libro_Diario_Mayor!$B:$B, "&gt;="&amp;DATE(2026, MONTH(1&amp;$A48), 1), Libro_Diario_Mayor!$B:$B, "&lt;"&amp;DATE(2026, MONTH(1&amp;$A48)+1, 1))</f>
        <v>0</v>
      </c>
      <c r="I48" s="12">
        <f>SUMIFS(Libro_Diario_Mayor!$G:$G, Libro_Diario_Mayor!$C:$C, G$37, Libro_Diario_Mayor!$B:$B, "&gt;="&amp;DATE(2026, MONTH(1&amp;$A48), 1), Libro_Diario_Mayor!$B:$B, "&lt;"&amp;DATE(2026, MONTH(1&amp;$A48)+1, 1))</f>
        <v>0</v>
      </c>
      <c r="J48" s="12">
        <f t="shared" si="13"/>
        <v>0</v>
      </c>
      <c r="M48" s="12">
        <f>SUMIFS(Libro_Diario_Mayor!$F:$F, Libro_Diario_Mayor!$C:$C, L$37, Libro_Diario_Mayor!$B:$B, "&gt;="&amp;DATE(2026, MONTH(1&amp;$A48), 1), Libro_Diario_Mayor!$B:$B, "&lt;"&amp;DATE(2026, MONTH(1&amp;$A48)+1, 1))</f>
        <v>0</v>
      </c>
      <c r="N48" s="12">
        <f>SUMIFS(Libro_Diario_Mayor!$G:$G, Libro_Diario_Mayor!$C:$C, L$37, Libro_Diario_Mayor!$B:$B, "&gt;="&amp;DATE(2026, MONTH(1&amp;$A48), 1), Libro_Diario_Mayor!$B:$B, "&lt;"&amp;DATE(2026, MONTH(1&amp;$A48)+1, 1))</f>
        <v>0</v>
      </c>
      <c r="O48" s="12">
        <f t="shared" si="14"/>
        <v>0</v>
      </c>
      <c r="R48" s="12">
        <f>SUMIFS(Libro_Diario_Mayor!$F:$F, Libro_Diario_Mayor!$C:$C, Q$37, Libro_Diario_Mayor!$B:$B, "&gt;="&amp;DATE(2026, MONTH(1&amp;$A48), 1), Libro_Diario_Mayor!$B:$B, "&lt;"&amp;DATE(2026, MONTH(1&amp;$A48)+1, 1))</f>
        <v>0</v>
      </c>
      <c r="S48" s="12">
        <f>SUMIFS(Libro_Diario_Mayor!$G:$G, Libro_Diario_Mayor!$C:$C, Q$37, Libro_Diario_Mayor!$B:$B, "&gt;="&amp;DATE(2026, MONTH(1&amp;$A48), 1), Libro_Diario_Mayor!$B:$B, "&lt;"&amp;DATE(2026, MONTH(1&amp;$A48)+1, 1))</f>
        <v>0</v>
      </c>
      <c r="T48" s="12">
        <f t="shared" si="15"/>
        <v>0</v>
      </c>
      <c r="W48" s="12">
        <f>SUMIFS(Libro_Diario_Mayor!$F:$F, Libro_Diario_Mayor!$C:$C, V$37, Libro_Diario_Mayor!$B:$B, "&gt;="&amp;DATE(2026, MONTH(1&amp;$A48), 1), Libro_Diario_Mayor!$B:$B, "&lt;"&amp;DATE(2026, MONTH(1&amp;$A48)+1, 1))</f>
        <v>0</v>
      </c>
      <c r="X48" s="12">
        <f>SUMIFS(Libro_Diario_Mayor!$G:$G, Libro_Diario_Mayor!$C:$C, V$37, Libro_Diario_Mayor!$B:$B, "&gt;="&amp;DATE(2026, MONTH(1&amp;$A48), 1), Libro_Diario_Mayor!$B:$B, "&lt;"&amp;DATE(2026, MONTH(1&amp;$A48)+1, 1))</f>
        <v>0</v>
      </c>
      <c r="Y48" s="12">
        <f t="shared" si="16"/>
        <v>0</v>
      </c>
      <c r="AB48" s="12">
        <f>SUMIFS(Libro_Diario_Mayor!$F:$F, Libro_Diario_Mayor!$C:$C, AA$37, Libro_Diario_Mayor!$B:$B, "&gt;="&amp;DATE(2026, MONTH(1&amp;$A48), 1), Libro_Diario_Mayor!$B:$B, "&lt;"&amp;DATE(2026, MONTH(1&amp;$A48)+1, 1))</f>
        <v>0</v>
      </c>
      <c r="AC48" s="12">
        <f>SUMIFS(Libro_Diario_Mayor!$G:$G, Libro_Diario_Mayor!$C:$C, AA$37, Libro_Diario_Mayor!$B:$B, "&gt;="&amp;DATE(2026, MONTH(1&amp;$A48), 1), Libro_Diario_Mayor!$B:$B, "&lt;"&amp;DATE(2026, MONTH(1&amp;$A48)+1, 1))</f>
        <v>0</v>
      </c>
      <c r="AD48" s="12">
        <f t="shared" si="17"/>
        <v>0</v>
      </c>
    </row>
    <row r="49" spans="1:30" s="12" customFormat="1" x14ac:dyDescent="0.3">
      <c r="A49" s="12" t="s">
        <v>1910</v>
      </c>
      <c r="C49" s="12">
        <f>SUMIFS(Libro_Diario_Mayor!$F:$F, Libro_Diario_Mayor!$C:$C, B$37, Libro_Diario_Mayor!$B:$B, "&gt;="&amp;DATE(2026, MONTH(1&amp;$A49), 1), Libro_Diario_Mayor!$B:$B, "&lt;"&amp;DATE(2026, MONTH(1&amp;$A49)+1, 1))</f>
        <v>0</v>
      </c>
      <c r="D49" s="12">
        <f>SUMIFS(Libro_Diario_Mayor!$G:$G, Libro_Diario_Mayor!$C:$C, B$37, Libro_Diario_Mayor!$B:$B, "&gt;="&amp;DATE(2026, MONTH(1&amp;$A49), 1), Libro_Diario_Mayor!$B:$B, "&lt;"&amp;DATE(2026, MONTH(1&amp;$A49)+1, 1))</f>
        <v>0</v>
      </c>
      <c r="E49" s="12">
        <f t="shared" si="12"/>
        <v>0</v>
      </c>
      <c r="H49" s="12">
        <f>SUMIFS(Libro_Diario_Mayor!$F:$F, Libro_Diario_Mayor!$C:$C, G$37, Libro_Diario_Mayor!$B:$B, "&gt;="&amp;DATE(2026, MONTH(1&amp;$A49), 1), Libro_Diario_Mayor!$B:$B, "&lt;"&amp;DATE(2026, MONTH(1&amp;$A49)+1, 1))</f>
        <v>0</v>
      </c>
      <c r="I49" s="12">
        <f>SUMIFS(Libro_Diario_Mayor!$G:$G, Libro_Diario_Mayor!$C:$C, G$37, Libro_Diario_Mayor!$B:$B, "&gt;="&amp;DATE(2026, MONTH(1&amp;$A49), 1), Libro_Diario_Mayor!$B:$B, "&lt;"&amp;DATE(2026, MONTH(1&amp;$A49)+1, 1))</f>
        <v>0</v>
      </c>
      <c r="J49" s="12">
        <f t="shared" si="13"/>
        <v>0</v>
      </c>
      <c r="M49" s="12">
        <f>SUMIFS(Libro_Diario_Mayor!$F:$F, Libro_Diario_Mayor!$C:$C, L$37, Libro_Diario_Mayor!$B:$B, "&gt;="&amp;DATE(2026, MONTH(1&amp;$A49), 1), Libro_Diario_Mayor!$B:$B, "&lt;"&amp;DATE(2026, MONTH(1&amp;$A49)+1, 1))</f>
        <v>0</v>
      </c>
      <c r="N49" s="12">
        <f>SUMIFS(Libro_Diario_Mayor!$G:$G, Libro_Diario_Mayor!$C:$C, L$37, Libro_Diario_Mayor!$B:$B, "&gt;="&amp;DATE(2026, MONTH(1&amp;$A49), 1), Libro_Diario_Mayor!$B:$B, "&lt;"&amp;DATE(2026, MONTH(1&amp;$A49)+1, 1))</f>
        <v>0</v>
      </c>
      <c r="O49" s="12">
        <f t="shared" si="14"/>
        <v>0</v>
      </c>
      <c r="R49" s="12">
        <f>SUMIFS(Libro_Diario_Mayor!$F:$F, Libro_Diario_Mayor!$C:$C, Q$37, Libro_Diario_Mayor!$B:$B, "&gt;="&amp;DATE(2026, MONTH(1&amp;$A49), 1), Libro_Diario_Mayor!$B:$B, "&lt;"&amp;DATE(2026, MONTH(1&amp;$A49)+1, 1))</f>
        <v>0</v>
      </c>
      <c r="S49" s="12">
        <f>SUMIFS(Libro_Diario_Mayor!$G:$G, Libro_Diario_Mayor!$C:$C, Q$37, Libro_Diario_Mayor!$B:$B, "&gt;="&amp;DATE(2026, MONTH(1&amp;$A49), 1), Libro_Diario_Mayor!$B:$B, "&lt;"&amp;DATE(2026, MONTH(1&amp;$A49)+1, 1))</f>
        <v>0</v>
      </c>
      <c r="T49" s="12">
        <f t="shared" si="15"/>
        <v>0</v>
      </c>
      <c r="W49" s="12">
        <f>SUMIFS(Libro_Diario_Mayor!$F:$F, Libro_Diario_Mayor!$C:$C, V$37, Libro_Diario_Mayor!$B:$B, "&gt;="&amp;DATE(2026, MONTH(1&amp;$A49), 1), Libro_Diario_Mayor!$B:$B, "&lt;"&amp;DATE(2026, MONTH(1&amp;$A49)+1, 1))</f>
        <v>0</v>
      </c>
      <c r="X49" s="12">
        <f>SUMIFS(Libro_Diario_Mayor!$G:$G, Libro_Diario_Mayor!$C:$C, V$37, Libro_Diario_Mayor!$B:$B, "&gt;="&amp;DATE(2026, MONTH(1&amp;$A49), 1), Libro_Diario_Mayor!$B:$B, "&lt;"&amp;DATE(2026, MONTH(1&amp;$A49)+1, 1))</f>
        <v>0</v>
      </c>
      <c r="Y49" s="12">
        <f t="shared" si="16"/>
        <v>0</v>
      </c>
      <c r="AB49" s="12">
        <f>SUMIFS(Libro_Diario_Mayor!$F:$F, Libro_Diario_Mayor!$C:$C, AA$37, Libro_Diario_Mayor!$B:$B, "&gt;="&amp;DATE(2026, MONTH(1&amp;$A49), 1), Libro_Diario_Mayor!$B:$B, "&lt;"&amp;DATE(2026, MONTH(1&amp;$A49)+1, 1))</f>
        <v>0</v>
      </c>
      <c r="AC49" s="12">
        <f>SUMIFS(Libro_Diario_Mayor!$G:$G, Libro_Diario_Mayor!$C:$C, AA$37, Libro_Diario_Mayor!$B:$B, "&gt;="&amp;DATE(2026, MONTH(1&amp;$A49), 1), Libro_Diario_Mayor!$B:$B, "&lt;"&amp;DATE(2026, MONTH(1&amp;$A49)+1, 1))</f>
        <v>0</v>
      </c>
      <c r="AD49" s="12">
        <f t="shared" si="17"/>
        <v>0</v>
      </c>
    </row>
    <row r="50" spans="1:30" s="12" customFormat="1" x14ac:dyDescent="0.3">
      <c r="A50" s="12" t="s">
        <v>1911</v>
      </c>
      <c r="C50" s="12">
        <f>SUMIFS(Libro_Diario_Mayor!$F:$F, Libro_Diario_Mayor!$C:$C, B$37, Libro_Diario_Mayor!$B:$B, "&gt;="&amp;DATE(2026, MONTH(1&amp;$A50), 1), Libro_Diario_Mayor!$B:$B, "&lt;"&amp;DATE(2026, MONTH(1&amp;$A50)+1, 1))</f>
        <v>0</v>
      </c>
      <c r="D50" s="12">
        <f>SUMIFS(Libro_Diario_Mayor!$G:$G, Libro_Diario_Mayor!$C:$C, B$37, Libro_Diario_Mayor!$B:$B, "&gt;="&amp;DATE(2026, MONTH(1&amp;$A50), 1), Libro_Diario_Mayor!$B:$B, "&lt;"&amp;DATE(2026, MONTH(1&amp;$A50)+1, 1))</f>
        <v>0</v>
      </c>
      <c r="E50" s="12">
        <f t="shared" si="12"/>
        <v>0</v>
      </c>
      <c r="H50" s="12">
        <f>SUMIFS(Libro_Diario_Mayor!$F:$F, Libro_Diario_Mayor!$C:$C, G$37, Libro_Diario_Mayor!$B:$B, "&gt;="&amp;DATE(2026, MONTH(1&amp;$A50), 1), Libro_Diario_Mayor!$B:$B, "&lt;"&amp;DATE(2026, MONTH(1&amp;$A50)+1, 1))</f>
        <v>0</v>
      </c>
      <c r="I50" s="12">
        <f>SUMIFS(Libro_Diario_Mayor!$G:$G, Libro_Diario_Mayor!$C:$C, G$37, Libro_Diario_Mayor!$B:$B, "&gt;="&amp;DATE(2026, MONTH(1&amp;$A50), 1), Libro_Diario_Mayor!$B:$B, "&lt;"&amp;DATE(2026, MONTH(1&amp;$A50)+1, 1))</f>
        <v>0</v>
      </c>
      <c r="J50" s="12">
        <f t="shared" si="13"/>
        <v>0</v>
      </c>
      <c r="M50" s="12">
        <f>SUMIFS(Libro_Diario_Mayor!$F:$F, Libro_Diario_Mayor!$C:$C, L$37, Libro_Diario_Mayor!$B:$B, "&gt;="&amp;DATE(2026, MONTH(1&amp;$A50), 1), Libro_Diario_Mayor!$B:$B, "&lt;"&amp;DATE(2026, MONTH(1&amp;$A50)+1, 1))</f>
        <v>0</v>
      </c>
      <c r="N50" s="12">
        <f>SUMIFS(Libro_Diario_Mayor!$G:$G, Libro_Diario_Mayor!$C:$C, L$37, Libro_Diario_Mayor!$B:$B, "&gt;="&amp;DATE(2026, MONTH(1&amp;$A50), 1), Libro_Diario_Mayor!$B:$B, "&lt;"&amp;DATE(2026, MONTH(1&amp;$A50)+1, 1))</f>
        <v>0</v>
      </c>
      <c r="O50" s="12">
        <f t="shared" si="14"/>
        <v>0</v>
      </c>
      <c r="R50" s="12">
        <f>SUMIFS(Libro_Diario_Mayor!$F:$F, Libro_Diario_Mayor!$C:$C, Q$37, Libro_Diario_Mayor!$B:$B, "&gt;="&amp;DATE(2026, MONTH(1&amp;$A50), 1), Libro_Diario_Mayor!$B:$B, "&lt;"&amp;DATE(2026, MONTH(1&amp;$A50)+1, 1))</f>
        <v>0</v>
      </c>
      <c r="S50" s="12">
        <f>SUMIFS(Libro_Diario_Mayor!$G:$G, Libro_Diario_Mayor!$C:$C, Q$37, Libro_Diario_Mayor!$B:$B, "&gt;="&amp;DATE(2026, MONTH(1&amp;$A50), 1), Libro_Diario_Mayor!$B:$B, "&lt;"&amp;DATE(2026, MONTH(1&amp;$A50)+1, 1))</f>
        <v>0</v>
      </c>
      <c r="T50" s="12">
        <f t="shared" si="15"/>
        <v>0</v>
      </c>
      <c r="W50" s="12">
        <f>SUMIFS(Libro_Diario_Mayor!$F:$F, Libro_Diario_Mayor!$C:$C, V$37, Libro_Diario_Mayor!$B:$B, "&gt;="&amp;DATE(2026, MONTH(1&amp;$A50), 1), Libro_Diario_Mayor!$B:$B, "&lt;"&amp;DATE(2026, MONTH(1&amp;$A50)+1, 1))</f>
        <v>0</v>
      </c>
      <c r="X50" s="12">
        <f>SUMIFS(Libro_Diario_Mayor!$G:$G, Libro_Diario_Mayor!$C:$C, V$37, Libro_Diario_Mayor!$B:$B, "&gt;="&amp;DATE(2026, MONTH(1&amp;$A50), 1), Libro_Diario_Mayor!$B:$B, "&lt;"&amp;DATE(2026, MONTH(1&amp;$A50)+1, 1))</f>
        <v>0</v>
      </c>
      <c r="Y50" s="12">
        <f t="shared" si="16"/>
        <v>0</v>
      </c>
      <c r="AB50" s="12">
        <f>SUMIFS(Libro_Diario_Mayor!$F:$F, Libro_Diario_Mayor!$C:$C, AA$37, Libro_Diario_Mayor!$B:$B, "&gt;="&amp;DATE(2026, MONTH(1&amp;$A50), 1), Libro_Diario_Mayor!$B:$B, "&lt;"&amp;DATE(2026, MONTH(1&amp;$A50)+1, 1))</f>
        <v>0</v>
      </c>
      <c r="AC50" s="12">
        <f>SUMIFS(Libro_Diario_Mayor!$G:$G, Libro_Diario_Mayor!$C:$C, AA$37, Libro_Diario_Mayor!$B:$B, "&gt;="&amp;DATE(2026, MONTH(1&amp;$A50), 1), Libro_Diario_Mayor!$B:$B, "&lt;"&amp;DATE(2026, MONTH(1&amp;$A50)+1, 1))</f>
        <v>0</v>
      </c>
      <c r="AD50" s="12">
        <f t="shared" si="17"/>
        <v>0</v>
      </c>
    </row>
    <row r="51" spans="1:30" s="12" customFormat="1" x14ac:dyDescent="0.3">
      <c r="A51" s="12" t="s">
        <v>1912</v>
      </c>
      <c r="C51" s="12">
        <f>SUM(C39:C50)</f>
        <v>25000</v>
      </c>
      <c r="D51" s="12">
        <f>SUM(D39:D50)</f>
        <v>0</v>
      </c>
      <c r="E51" s="12">
        <f>SUM(E39:E50)</f>
        <v>25000</v>
      </c>
      <c r="H51" s="12">
        <f>SUM(H39:H50)</f>
        <v>23500</v>
      </c>
      <c r="I51" s="12">
        <f>SUM(I39:I50)</f>
        <v>0</v>
      </c>
      <c r="J51" s="12">
        <f>SUM(J39:J50)</f>
        <v>23500</v>
      </c>
      <c r="M51" s="12">
        <f>SUM(M39:M50)</f>
        <v>199993.09873428571</v>
      </c>
      <c r="N51" s="12">
        <f>SUM(N39:N50)</f>
        <v>0</v>
      </c>
      <c r="O51" s="12">
        <f>SUM(O39:O50)</f>
        <v>199993.09873428571</v>
      </c>
      <c r="R51" s="12">
        <f>SUM(R39:R50)</f>
        <v>249711.35767238098</v>
      </c>
      <c r="S51" s="12">
        <f>SUM(S39:S50)</f>
        <v>0</v>
      </c>
      <c r="T51" s="12">
        <f>SUM(T39:T50)</f>
        <v>249711.35767238098</v>
      </c>
      <c r="W51" s="12">
        <f>SUM(W39:W50)</f>
        <v>174148.62740190481</v>
      </c>
      <c r="X51" s="12">
        <f>SUM(X39:X50)</f>
        <v>175424.72360190476</v>
      </c>
      <c r="Y51" s="12">
        <f>SUM(Y39:Y50)</f>
        <v>-1276.0961999999417</v>
      </c>
      <c r="AB51" s="12">
        <f>SUM(AB39:AB50)</f>
        <v>1270000</v>
      </c>
      <c r="AC51" s="12">
        <f>SUM(AC39:AC50)</f>
        <v>0</v>
      </c>
      <c r="AD51" s="12">
        <f>SUM(AD39:AD50)</f>
        <v>1270000</v>
      </c>
    </row>
  </sheetData>
  <mergeCells count="18">
    <mergeCell ref="M2:O2"/>
    <mergeCell ref="H2:J2"/>
    <mergeCell ref="C2:E2"/>
    <mergeCell ref="R2:T2"/>
    <mergeCell ref="C19:E19"/>
    <mergeCell ref="H19:J19"/>
    <mergeCell ref="M19:O19"/>
    <mergeCell ref="R19:T19"/>
    <mergeCell ref="C36:E36"/>
    <mergeCell ref="H36:J36"/>
    <mergeCell ref="M36:O36"/>
    <mergeCell ref="R36:T36"/>
    <mergeCell ref="W36:Y36"/>
    <mergeCell ref="AB36:AD36"/>
    <mergeCell ref="W19:Y19"/>
    <mergeCell ref="AB19:AD19"/>
    <mergeCell ref="W2:Y2"/>
    <mergeCell ref="AB2:AD2"/>
  </mergeCells>
  <phoneticPr fontId="5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D5362-A6A6-4A0B-A0E7-B864AB5A2CE4}">
  <sheetPr codeName="Hoja29"/>
  <dimension ref="A1:F41"/>
  <sheetViews>
    <sheetView workbookViewId="0">
      <selection activeCell="B20" sqref="B20"/>
    </sheetView>
  </sheetViews>
  <sheetFormatPr baseColWidth="10" defaultRowHeight="14.4" x14ac:dyDescent="0.3"/>
  <cols>
    <col min="1" max="1" width="10.77734375" customWidth="1"/>
    <col min="2" max="2" width="40.77734375" customWidth="1"/>
    <col min="3" max="6" width="15.77734375" customWidth="1"/>
  </cols>
  <sheetData>
    <row r="1" spans="1:6" ht="18" x14ac:dyDescent="0.35">
      <c r="A1" s="355" t="s">
        <v>1355</v>
      </c>
    </row>
    <row r="2" spans="1:6" x14ac:dyDescent="0.3">
      <c r="D2" s="68" t="s">
        <v>1336</v>
      </c>
      <c r="E2" s="356">
        <v>2026</v>
      </c>
    </row>
    <row r="3" spans="1:6" x14ac:dyDescent="0.3">
      <c r="D3" s="68" t="s">
        <v>1337</v>
      </c>
      <c r="E3" s="356">
        <v>8</v>
      </c>
    </row>
    <row r="4" spans="1:6" x14ac:dyDescent="0.3">
      <c r="D4" s="68" t="s">
        <v>1338</v>
      </c>
      <c r="E4" s="338">
        <f>DATE(E2,E3,1)</f>
        <v>46235</v>
      </c>
    </row>
    <row r="5" spans="1:6" x14ac:dyDescent="0.3">
      <c r="D5" s="68" t="s">
        <v>1339</v>
      </c>
      <c r="E5" s="338">
        <f>EOMONTH(E4,0)</f>
        <v>46265</v>
      </c>
    </row>
    <row r="7" spans="1:6" x14ac:dyDescent="0.3">
      <c r="A7" s="357" t="s">
        <v>1106</v>
      </c>
      <c r="B7" s="357" t="s">
        <v>1359</v>
      </c>
      <c r="C7" s="357" t="s">
        <v>630</v>
      </c>
      <c r="D7" s="357" t="s">
        <v>1356</v>
      </c>
      <c r="E7" s="357" t="s">
        <v>1357</v>
      </c>
      <c r="F7" s="357" t="s">
        <v>1358</v>
      </c>
    </row>
    <row r="8" spans="1:6" x14ac:dyDescent="0.3">
      <c r="A8" s="358">
        <v>1105</v>
      </c>
      <c r="B8" s="358" t="s">
        <v>1360</v>
      </c>
      <c r="C8" s="360">
        <f>IF(OR(LEFT(A8,1)="1", LEFT(A8,1)="5", LEFT(A8,1)="6", LEFT(A8,1)="7"), SUMIFS(Libro_Diario_Mayor!F:F, Libro_Diario_Mayor!C:C, "&gt;="&amp;A8*100, Libro_Diario_Mayor!C:C, "&lt;="&amp;A8*100+99, Libro_Diario_Mayor!B:B, "&lt;"&amp;E$4) - SUMIFS(Libro_Diario_Mayor!G:G, Libro_Diario_Mayor!C:C, "&gt;="&amp;A8*100, Libro_Diario_Mayor!C:C, "&lt;="&amp;A8*100+99, Libro_Diario_Mayor!B:B, "&lt;"&amp;E$4), SUMIFS(Libro_Diario_Mayor!G:G, Libro_Diario_Mayor!C:C, "&gt;="&amp;A8*100, Libro_Diario_Mayor!C:C, "&lt;="&amp;A8*100+99, Libro_Diario_Mayor!B:B, "&lt;"&amp;E$4) - SUMIFS(Libro_Diario_Mayor!F:F, Libro_Diario_Mayor!C:C, "&gt;="&amp;A8*100, Libro_Diario_Mayor!C:C, "&lt;="&amp;A8*100+99, Libro_Diario_Mayor!B:B, "&lt;"&amp;E$4))</f>
        <v>1082003.2300000004</v>
      </c>
      <c r="D8" s="360">
        <f>SUMIFS(Libro_Diario_Mayor!F:F, Libro_Diario_Mayor!C:C, "&gt;="&amp;A8*100, Libro_Diario_Mayor!C:C, "&lt;="&amp;A8*100+99, Libro_Diario_Mayor!B:B, "&gt;="&amp;E$4, Libro_Diario_Mayor!B:B, "&lt;="&amp;E$5)</f>
        <v>20000</v>
      </c>
      <c r="E8" s="360">
        <f>SUMIFS(Libro_Diario_Mayor!G:G, Libro_Diario_Mayor!C:C, "&gt;="&amp;A8*100, Libro_Diario_Mayor!C:C, "&lt;="&amp;A8*100+99, Libro_Diario_Mayor!B:B, "&gt;="&amp;E$4, Libro_Diario_Mayor!B:B, "&lt;="&amp;E$5)</f>
        <v>0</v>
      </c>
      <c r="F8" s="360">
        <f>IF(OR(LEFT(A8,1)="1", LEFT(A8,1)="5", LEFT(A8,1)="6", LEFT(A8,1)="7"), C8 + D8 - E8, C8 + E8 - D8)</f>
        <v>1102003.2300000004</v>
      </c>
    </row>
    <row r="9" spans="1:6" x14ac:dyDescent="0.3">
      <c r="A9" s="358">
        <v>1405</v>
      </c>
      <c r="B9" s="358" t="s">
        <v>1363</v>
      </c>
      <c r="C9" s="360">
        <f>IF(OR(LEFT(A9,1)="1", LEFT(A9,1)="5", LEFT(A9,1)="6", LEFT(A9,1)="7"), SUMIFS(Libro_Diario_Mayor!F:F, Libro_Diario_Mayor!C:C, "&gt;="&amp;A9*100, Libro_Diario_Mayor!C:C, "&lt;="&amp;A9*100+99, Libro_Diario_Mayor!B:B, "&lt;"&amp;E$4) - SUMIFS(Libro_Diario_Mayor!G:G, Libro_Diario_Mayor!C:C, "&gt;="&amp;A9*100, Libro_Diario_Mayor!C:C, "&lt;="&amp;A9*100+99, Libro_Diario_Mayor!B:B, "&lt;"&amp;E$4), SUMIFS(Libro_Diario_Mayor!G:G, Libro_Diario_Mayor!C:C, "&gt;="&amp;A9*100, Libro_Diario_Mayor!C:C, "&lt;="&amp;A9*100+99, Libro_Diario_Mayor!B:B, "&lt;"&amp;E$4) - SUMIFS(Libro_Diario_Mayor!F:F, Libro_Diario_Mayor!C:C, "&gt;="&amp;A9*100, Libro_Diario_Mayor!C:C, "&lt;="&amp;A9*100+99, Libro_Diario_Mayor!B:B, "&lt;"&amp;E$4))</f>
        <v>951134.73621523811</v>
      </c>
      <c r="D9" s="360">
        <f>SUMIFS(Libro_Diario_Mayor!F:F, Libro_Diario_Mayor!C:C, "&gt;="&amp;A9*100, Libro_Diario_Mayor!C:C, "&lt;="&amp;A9*100+99, Libro_Diario_Mayor!B:B, "&gt;="&amp;E$4, Libro_Diario_Mayor!B:B, "&lt;="&amp;E$5)</f>
        <v>2286415</v>
      </c>
      <c r="E9" s="360">
        <f>SUMIFS(Libro_Diario_Mayor!G:G, Libro_Diario_Mayor!C:C, "&gt;="&amp;A9*100, Libro_Diario_Mayor!C:C, "&lt;="&amp;A9*100+99, Libro_Diario_Mayor!B:B, "&gt;="&amp;E$4, Libro_Diario_Mayor!B:B, "&lt;="&amp;E$5)</f>
        <v>75956.36571619047</v>
      </c>
      <c r="F9" s="360">
        <f>IF(OR(LEFT(A9,1)="1", LEFT(A9,1)="5", LEFT(A9,1)="6", LEFT(A9,1)="7"), C9 + D9 - E9, C9 + E9 - D9)</f>
        <v>3161593.3704990475</v>
      </c>
    </row>
    <row r="10" spans="1:6" x14ac:dyDescent="0.3">
      <c r="A10" s="358">
        <v>1430</v>
      </c>
      <c r="B10" s="358" t="s">
        <v>1371</v>
      </c>
      <c r="C10" s="360">
        <f>IF(OR(LEFT(A10,1)="1", LEFT(A10,1)="5", LEFT(A10,1)="6", LEFT(A10,1)="7"), SUMIFS(Libro_Diario_Mayor!F:F, Libro_Diario_Mayor!C:C, "&gt;="&amp;A10*100, Libro_Diario_Mayor!C:C, "&lt;="&amp;A10*100+99, Libro_Diario_Mayor!B:B, "&lt;"&amp;E$4) - SUMIFS(Libro_Diario_Mayor!G:G, Libro_Diario_Mayor!C:C, "&gt;="&amp;A10*100, Libro_Diario_Mayor!C:C, "&lt;="&amp;A10*100+99, Libro_Diario_Mayor!B:B, "&lt;"&amp;E$4), SUMIFS(Libro_Diario_Mayor!G:G, Libro_Diario_Mayor!C:C, "&gt;="&amp;A10*100, Libro_Diario_Mayor!C:C, "&lt;="&amp;A10*100+99, Libro_Diario_Mayor!B:B, "&lt;"&amp;E$4) - SUMIFS(Libro_Diario_Mayor!F:F, Libro_Diario_Mayor!C:C, "&gt;="&amp;A10*100, Libro_Diario_Mayor!C:C, "&lt;="&amp;A10*100+99, Libro_Diario_Mayor!B:B, "&lt;"&amp;E$4))</f>
        <v>-22484.897532380943</v>
      </c>
      <c r="D10" s="360">
        <f>SUMIFS(Libro_Diario_Mayor!F:F, Libro_Diario_Mayor!C:C, "&gt;="&amp;A10*100, Libro_Diario_Mayor!C:C, "&lt;="&amp;A10*100+99, Libro_Diario_Mayor!B:B, "&gt;="&amp;E$4, Libro_Diario_Mayor!B:B, "&lt;="&amp;E$5)</f>
        <v>0</v>
      </c>
      <c r="E10" s="360">
        <f>SUMIFS(Libro_Diario_Mayor!G:G, Libro_Diario_Mayor!C:C, "&gt;="&amp;A10*100, Libro_Diario_Mayor!C:C, "&lt;="&amp;A10*100+99, Libro_Diario_Mayor!B:B, "&gt;="&amp;E$4, Libro_Diario_Mayor!B:B, "&lt;="&amp;E$5)</f>
        <v>2083.4776000000002</v>
      </c>
      <c r="F10" s="360">
        <f>IF(OR(LEFT(A10,1)="1", LEFT(A10,1)="5", LEFT(A10,1)="6", LEFT(A10,1)="7"), C10 + D10 - E10, C10 + E10 - D10)</f>
        <v>-24568.375132380941</v>
      </c>
    </row>
    <row r="11" spans="1:6" x14ac:dyDescent="0.3">
      <c r="A11" s="358">
        <v>1520</v>
      </c>
      <c r="B11" s="358" t="s">
        <v>1327</v>
      </c>
      <c r="C11" s="360">
        <f>IF(OR(LEFT(A11,1)="1", LEFT(A11,1)="5", LEFT(A11,1)="6", LEFT(A11,1)="7"), SUMIFS(Libro_Diario_Mayor!F:F, Libro_Diario_Mayor!C:C, "&gt;="&amp;A11*100, Libro_Diario_Mayor!C:C, "&lt;="&amp;A11*100+99, Libro_Diario_Mayor!B:B, "&lt;"&amp;E$4) - SUMIFS(Libro_Diario_Mayor!G:G, Libro_Diario_Mayor!C:C, "&gt;="&amp;A11*100, Libro_Diario_Mayor!C:C, "&lt;="&amp;A11*100+99, Libro_Diario_Mayor!B:B, "&lt;"&amp;E$4), SUMIFS(Libro_Diario_Mayor!G:G, Libro_Diario_Mayor!C:C, "&gt;="&amp;A11*100, Libro_Diario_Mayor!C:C, "&lt;="&amp;A11*100+99, Libro_Diario_Mayor!B:B, "&lt;"&amp;E$4) - SUMIFS(Libro_Diario_Mayor!F:F, Libro_Diario_Mayor!C:C, "&gt;="&amp;A11*100, Libro_Diario_Mayor!C:C, "&lt;="&amp;A11*100+99, Libro_Diario_Mayor!B:B, "&lt;"&amp;E$4))</f>
        <v>4227065</v>
      </c>
      <c r="D11" s="360">
        <f>SUMIFS(Libro_Diario_Mayor!F:F, Libro_Diario_Mayor!C:C, "&gt;="&amp;A11*100, Libro_Diario_Mayor!C:C, "&lt;="&amp;A11*100+99, Libro_Diario_Mayor!B:B, "&gt;="&amp;E$4, Libro_Diario_Mayor!B:B, "&lt;="&amp;E$5)</f>
        <v>0</v>
      </c>
      <c r="E11" s="360">
        <f>SUMIFS(Libro_Diario_Mayor!G:G, Libro_Diario_Mayor!C:C, "&gt;="&amp;A11*100, Libro_Diario_Mayor!C:C, "&lt;="&amp;A11*100+99, Libro_Diario_Mayor!B:B, "&gt;="&amp;E$4, Libro_Diario_Mayor!B:B, "&lt;="&amp;E$5)</f>
        <v>0</v>
      </c>
      <c r="F11" s="360">
        <f>IF(OR(LEFT(A11,1)="1", LEFT(A11,1)="5", LEFT(A11,1)="6", LEFT(A11,1)="7"), C11 + D11 - E11, C11 + E11 - D11)</f>
        <v>4227065</v>
      </c>
    </row>
    <row r="12" spans="1:6" x14ac:dyDescent="0.3">
      <c r="A12" s="358">
        <v>2335</v>
      </c>
      <c r="B12" s="358" t="s">
        <v>1373</v>
      </c>
      <c r="C12" s="360">
        <f>IF(OR(LEFT(A12,1)="1", LEFT(A12,1)="5", LEFT(A12,1)="6", LEFT(A12,1)="7"), SUMIFS(Libro_Diario_Mayor!F:F, Libro_Diario_Mayor!C:C, "&gt;="&amp;A12*100, Libro_Diario_Mayor!C:C, "&lt;="&amp;A12*100+99, Libro_Diario_Mayor!B:B, "&lt;"&amp;E$4) - SUMIFS(Libro_Diario_Mayor!G:G, Libro_Diario_Mayor!C:C, "&gt;="&amp;A12*100, Libro_Diario_Mayor!C:C, "&lt;="&amp;A12*100+99, Libro_Diario_Mayor!B:B, "&lt;"&amp;E$4), SUMIFS(Libro_Diario_Mayor!G:G, Libro_Diario_Mayor!C:C, "&gt;="&amp;A12*100, Libro_Diario_Mayor!C:C, "&lt;="&amp;A12*100+99, Libro_Diario_Mayor!B:B, "&lt;"&amp;E$4) - SUMIFS(Libro_Diario_Mayor!F:F, Libro_Diario_Mayor!C:C, "&gt;="&amp;A12*100, Libro_Diario_Mayor!C:C, "&lt;="&amp;A12*100+99, Libro_Diario_Mayor!B:B, "&lt;"&amp;E$4))</f>
        <v>1239203.8835748576</v>
      </c>
      <c r="D12" s="360">
        <f>SUMIFS(Libro_Diario_Mayor!F:F, Libro_Diario_Mayor!C:C, "&gt;="&amp;A12*100, Libro_Diario_Mayor!C:C, "&lt;="&amp;A12*100+99, Libro_Diario_Mayor!B:B, "&gt;="&amp;E$4, Libro_Diario_Mayor!B:B, "&lt;="&amp;E$5)</f>
        <v>0</v>
      </c>
      <c r="E12" s="360">
        <f>SUMIFS(Libro_Diario_Mayor!G:G, Libro_Diario_Mayor!C:C, "&gt;="&amp;A12*100, Libro_Diario_Mayor!C:C, "&lt;="&amp;A12*100+99, Libro_Diario_Mayor!B:B, "&gt;="&amp;E$4, Libro_Diario_Mayor!B:B, "&lt;="&amp;E$5)</f>
        <v>2321639.6994283809</v>
      </c>
      <c r="F12" s="360">
        <f>IF(OR(LEFT(A12,1)="1", LEFT(A12,1)="5", LEFT(A12,1)="6", LEFT(A12,1)="7"), C12 + D12 - E12, C12 + E12 - D12)</f>
        <v>3560843.5830032388</v>
      </c>
    </row>
    <row r="13" spans="1:6" x14ac:dyDescent="0.3">
      <c r="A13" s="358">
        <v>2505</v>
      </c>
      <c r="B13" s="358" t="s">
        <v>1695</v>
      </c>
      <c r="C13" s="360">
        <f>IF(OR(LEFT(A13,1)="1", LEFT(A13,1)="5", LEFT(A13,1)="6", LEFT(A13,1)="7"), SUMIFS(Libro_Diario_Mayor!F:F, Libro_Diario_Mayor!C:C, "&gt;="&amp;A13*100, Libro_Diario_Mayor!C:C, "&lt;="&amp;A13*100+99, Libro_Diario_Mayor!B:B, "&lt;"&amp;E$4) - SUMIFS(Libro_Diario_Mayor!G:G, Libro_Diario_Mayor!C:C, "&gt;="&amp;A13*100, Libro_Diario_Mayor!C:C, "&lt;="&amp;A13*100+99, Libro_Diario_Mayor!B:B, "&lt;"&amp;E$4), SUMIFS(Libro_Diario_Mayor!G:G, Libro_Diario_Mayor!C:C, "&gt;="&amp;A13*100, Libro_Diario_Mayor!C:C, "&lt;="&amp;A13*100+99, Libro_Diario_Mayor!B:B, "&lt;"&amp;E$4) - SUMIFS(Libro_Diario_Mayor!F:F, Libro_Diario_Mayor!C:C, "&gt;="&amp;A13*100, Libro_Diario_Mayor!C:C, "&lt;="&amp;A13*100+99, Libro_Diario_Mayor!B:B, "&lt;"&amp;E$4))</f>
        <v>17014.135998476191</v>
      </c>
      <c r="D13" s="360">
        <f>SUMIFS(Libro_Diario_Mayor!F:F, Libro_Diario_Mayor!C:C, "&gt;="&amp;A13*100, Libro_Diario_Mayor!C:C, "&lt;="&amp;A13*100+99, Libro_Diario_Mayor!B:B, "&gt;="&amp;E$4, Libro_Diario_Mayor!B:B, "&lt;="&amp;E$5)</f>
        <v>0</v>
      </c>
      <c r="E13" s="360">
        <f>SUMIFS(Libro_Diario_Mayor!G:G, Libro_Diario_Mayor!C:C, "&gt;="&amp;A13*100, Libro_Diario_Mayor!C:C, "&lt;="&amp;A13*100+99, Libro_Diario_Mayor!B:B, "&gt;="&amp;E$4, Libro_Diario_Mayor!B:B, "&lt;="&amp;E$5)</f>
        <v>7595.6365716190467</v>
      </c>
      <c r="F13" s="360">
        <f>IF(OR(LEFT(A13,1)="1", LEFT(A13,1)="5", LEFT(A13,1)="6", LEFT(A13,1)="7"), C13 + D13 - E13, C13 + E13 - D13)</f>
        <v>24609.772570095236</v>
      </c>
    </row>
    <row r="14" spans="1:6" x14ac:dyDescent="0.3">
      <c r="A14" s="358">
        <v>3115</v>
      </c>
      <c r="B14" s="358" t="s">
        <v>1415</v>
      </c>
      <c r="C14" s="360">
        <f>IF(OR(LEFT(A14,1)="1", LEFT(A14,1)="5", LEFT(A14,1)="6", LEFT(A14,1)="7"), SUMIFS(Libro_Diario_Mayor!F:F, Libro_Diario_Mayor!C:C, "&gt;="&amp;A14*100, Libro_Diario_Mayor!C:C, "&lt;="&amp;A14*100+99, Libro_Diario_Mayor!B:B, "&lt;"&amp;E$4) - SUMIFS(Libro_Diario_Mayor!G:G, Libro_Diario_Mayor!C:C, "&gt;="&amp;A14*100, Libro_Diario_Mayor!C:C, "&lt;="&amp;A14*100+99, Libro_Diario_Mayor!B:B, "&lt;"&amp;E$4), SUMIFS(Libro_Diario_Mayor!G:G, Libro_Diario_Mayor!C:C, "&gt;="&amp;A14*100, Libro_Diario_Mayor!C:C, "&lt;="&amp;A14*100+99, Libro_Diario_Mayor!B:B, "&lt;"&amp;E$4) - SUMIFS(Libro_Diario_Mayor!F:F, Libro_Diario_Mayor!C:C, "&gt;="&amp;A14*100, Libro_Diario_Mayor!C:C, "&lt;="&amp;A14*100+99, Libro_Diario_Mayor!B:B, "&lt;"&amp;E$4))</f>
        <v>6465225</v>
      </c>
      <c r="D14" s="360">
        <f>SUMIFS(Libro_Diario_Mayor!F:F, Libro_Diario_Mayor!C:C, "&gt;="&amp;A14*100, Libro_Diario_Mayor!C:C, "&lt;="&amp;A14*100+99, Libro_Diario_Mayor!B:B, "&gt;="&amp;E$4, Libro_Diario_Mayor!B:B, "&lt;="&amp;E$5)</f>
        <v>0</v>
      </c>
      <c r="E14" s="360">
        <f>SUMIFS(Libro_Diario_Mayor!G:G, Libro_Diario_Mayor!C:C, "&gt;="&amp;A14*100, Libro_Diario_Mayor!C:C, "&lt;="&amp;A14*100+99, Libro_Diario_Mayor!B:B, "&gt;="&amp;E$4, Libro_Diario_Mayor!B:B, "&lt;="&amp;E$5)</f>
        <v>0</v>
      </c>
      <c r="F14" s="360">
        <f>IF(OR(LEFT(A14,1)="1", LEFT(A14,1)="5", LEFT(A14,1)="6", LEFT(A14,1)="7"), C14 + D14 - E14, C14 + E14 - D14)</f>
        <v>6465225</v>
      </c>
    </row>
    <row r="15" spans="1:6" x14ac:dyDescent="0.3">
      <c r="A15" s="358">
        <v>4120</v>
      </c>
      <c r="B15" s="358" t="s">
        <v>1361</v>
      </c>
      <c r="C15" s="360">
        <f>IF(OR(LEFT(A15,1)="1", LEFT(A15,1)="5", LEFT(A15,1)="6", LEFT(A15,1)="7"), SUMIFS(Libro_Diario_Mayor!F:F, Libro_Diario_Mayor!C:C, "&gt;="&amp;A15*100, Libro_Diario_Mayor!C:C, "&lt;="&amp;A15*100+99, Libro_Diario_Mayor!B:B, "&lt;"&amp;E$4) - SUMIFS(Libro_Diario_Mayor!G:G, Libro_Diario_Mayor!C:C, "&gt;="&amp;A15*100, Libro_Diario_Mayor!C:C, "&lt;="&amp;A15*100+99, Libro_Diario_Mayor!B:B, "&lt;"&amp;E$4), SUMIFS(Libro_Diario_Mayor!G:G, Libro_Diario_Mayor!C:C, "&gt;="&amp;A15*100, Libro_Diario_Mayor!C:C, "&lt;="&amp;A15*100+99, Libro_Diario_Mayor!B:B, "&lt;"&amp;E$4) - SUMIFS(Libro_Diario_Mayor!F:F, Libro_Diario_Mayor!C:C, "&gt;="&amp;A15*100, Libro_Diario_Mayor!C:C, "&lt;="&amp;A15*100+99, Libro_Diario_Mayor!B:B, "&lt;"&amp;E$4))</f>
        <v>572002</v>
      </c>
      <c r="D15" s="360">
        <f>SUMIFS(Libro_Diario_Mayor!F:F, Libro_Diario_Mayor!C:C, "&gt;="&amp;A15*100, Libro_Diario_Mayor!C:C, "&lt;="&amp;A15*100+99, Libro_Diario_Mayor!B:B, "&gt;="&amp;E$4, Libro_Diario_Mayor!B:B, "&lt;="&amp;E$5)</f>
        <v>0</v>
      </c>
      <c r="E15" s="360">
        <f>SUMIFS(Libro_Diario_Mayor!G:G, Libro_Diario_Mayor!C:C, "&gt;="&amp;A15*100, Libro_Diario_Mayor!C:C, "&lt;="&amp;A15*100+99, Libro_Diario_Mayor!B:B, "&gt;="&amp;E$4, Libro_Diario_Mayor!B:B, "&lt;="&amp;E$5)</f>
        <v>20000</v>
      </c>
      <c r="F15" s="360">
        <f>IF(OR(LEFT(A15,1)="1", LEFT(A15,1)="5", LEFT(A15,1)="6", LEFT(A15,1)="7"), C15 + D15 - E15, C15 + E15 - D15)</f>
        <v>592002</v>
      </c>
    </row>
    <row r="16" spans="1:6" x14ac:dyDescent="0.3">
      <c r="A16" s="358">
        <v>4210</v>
      </c>
      <c r="B16" s="358" t="s">
        <v>1366</v>
      </c>
      <c r="C16" s="360">
        <f>IF(OR(LEFT(A16,1)="1", LEFT(A16,1)="5", LEFT(A16,1)="6", LEFT(A16,1)="7"), SUMIFS(Libro_Diario_Mayor!F:F, Libro_Diario_Mayor!C:C, "&gt;="&amp;A16*100, Libro_Diario_Mayor!C:C, "&lt;="&amp;A16*100+99, Libro_Diario_Mayor!B:B, "&lt;"&amp;E$4) - SUMIFS(Libro_Diario_Mayor!G:G, Libro_Diario_Mayor!C:C, "&gt;="&amp;A16*100, Libro_Diario_Mayor!C:C, "&lt;="&amp;A16*100+99, Libro_Diario_Mayor!B:B, "&lt;"&amp;E$4), SUMIFS(Libro_Diario_Mayor!G:G, Libro_Diario_Mayor!C:C, "&gt;="&amp;A16*100, Libro_Diario_Mayor!C:C, "&lt;="&amp;A16*100+99, Libro_Diario_Mayor!B:B, "&lt;"&amp;E$4) - SUMIFS(Libro_Diario_Mayor!F:F, Libro_Diario_Mayor!C:C, "&gt;="&amp;A16*100, Libro_Diario_Mayor!C:C, "&lt;="&amp;A16*100+99, Libro_Diario_Mayor!B:B, "&lt;"&amp;E$4))</f>
        <v>2341.23</v>
      </c>
      <c r="D16" s="360">
        <f>SUMIFS(Libro_Diario_Mayor!F:F, Libro_Diario_Mayor!C:C, "&gt;="&amp;A16*100, Libro_Diario_Mayor!C:C, "&lt;="&amp;A16*100+99, Libro_Diario_Mayor!B:B, "&gt;="&amp;E$4, Libro_Diario_Mayor!B:B, "&lt;="&amp;E$5)</f>
        <v>0</v>
      </c>
      <c r="E16" s="360">
        <f>SUMIFS(Libro_Diario_Mayor!G:G, Libro_Diario_Mayor!C:C, "&gt;="&amp;A16*100, Libro_Diario_Mayor!C:C, "&lt;="&amp;A16*100+99, Libro_Diario_Mayor!B:B, "&gt;="&amp;E$4, Libro_Diario_Mayor!B:B, "&lt;="&amp;E$5)</f>
        <v>0</v>
      </c>
      <c r="F16" s="360">
        <f>IF(OR(LEFT(A16,1)="1", LEFT(A16,1)="5", LEFT(A16,1)="6", LEFT(A16,1)="7"), C16 + D16 - E16, C16 + E16 - D16)</f>
        <v>2341.23</v>
      </c>
    </row>
    <row r="17" spans="1:6" x14ac:dyDescent="0.3">
      <c r="A17" s="358">
        <v>5120</v>
      </c>
      <c r="B17" s="358" t="s">
        <v>1324</v>
      </c>
      <c r="C17" s="360">
        <f>IF(OR(LEFT(A17,1)="1", LEFT(A17,1)="5", LEFT(A17,1)="6", LEFT(A17,1)="7"), SUMIFS(Libro_Diario_Mayor!F:F, Libro_Diario_Mayor!C:C, "&gt;="&amp;A17*100, Libro_Diario_Mayor!C:C, "&lt;="&amp;A17*100+99, Libro_Diario_Mayor!B:B, "&lt;"&amp;E$4) - SUMIFS(Libro_Diario_Mayor!G:G, Libro_Diario_Mayor!C:C, "&gt;="&amp;A17*100, Libro_Diario_Mayor!C:C, "&lt;="&amp;A17*100+99, Libro_Diario_Mayor!B:B, "&lt;"&amp;E$4), SUMIFS(Libro_Diario_Mayor!G:G, Libro_Diario_Mayor!C:C, "&gt;="&amp;A17*100, Libro_Diario_Mayor!C:C, "&lt;="&amp;A17*100+99, Libro_Diario_Mayor!B:B, "&lt;"&amp;E$4) - SUMIFS(Libro_Diario_Mayor!F:F, Libro_Diario_Mayor!C:C, "&gt;="&amp;A17*100, Libro_Diario_Mayor!C:C, "&lt;="&amp;A17*100+99, Libro_Diario_Mayor!B:B, "&lt;"&amp;E$4))</f>
        <v>300000</v>
      </c>
      <c r="D17" s="360">
        <f>SUMIFS(Libro_Diario_Mayor!F:F, Libro_Diario_Mayor!C:C, "&gt;="&amp;A17*100, Libro_Diario_Mayor!C:C, "&lt;="&amp;A17*100+99, Libro_Diario_Mayor!B:B, "&gt;="&amp;E$4, Libro_Diario_Mayor!B:B, "&lt;="&amp;E$5)</f>
        <v>0</v>
      </c>
      <c r="E17" s="360">
        <f>SUMIFS(Libro_Diario_Mayor!G:G, Libro_Diario_Mayor!C:C, "&gt;="&amp;A17*100, Libro_Diario_Mayor!C:C, "&lt;="&amp;A17*100+99, Libro_Diario_Mayor!B:B, "&gt;="&amp;E$4, Libro_Diario_Mayor!B:B, "&lt;="&amp;E$5)</f>
        <v>0</v>
      </c>
      <c r="F17" s="360">
        <f>IF(OR(LEFT(A17,1)="1", LEFT(A17,1)="5", LEFT(A17,1)="6", LEFT(A17,1)="7"), C17 + D17 - E17, C17 + E17 - D17)</f>
        <v>300000</v>
      </c>
    </row>
    <row r="18" spans="1:6" x14ac:dyDescent="0.3">
      <c r="A18" s="358">
        <v>5135</v>
      </c>
      <c r="B18" s="358" t="s">
        <v>1364</v>
      </c>
      <c r="C18" s="360">
        <f>IF(OR(LEFT(A18,1)="1", LEFT(A18,1)="5", LEFT(A18,1)="6", LEFT(A18,1)="7"), SUMIFS(Libro_Diario_Mayor!F:F, Libro_Diario_Mayor!C:C, "&gt;="&amp;A18*100, Libro_Diario_Mayor!C:C, "&lt;="&amp;A18*100+99, Libro_Diario_Mayor!B:B, "&lt;"&amp;E$4) - SUMIFS(Libro_Diario_Mayor!G:G, Libro_Diario_Mayor!C:C, "&gt;="&amp;A18*100, Libro_Diario_Mayor!C:C, "&lt;="&amp;A18*100+99, Libro_Diario_Mayor!B:B, "&lt;"&amp;E$4), SUMIFS(Libro_Diario_Mayor!G:G, Libro_Diario_Mayor!C:C, "&gt;="&amp;A18*100, Libro_Diario_Mayor!C:C, "&lt;="&amp;A18*100+99, Libro_Diario_Mayor!B:B, "&lt;"&amp;E$4) - SUMIFS(Libro_Diario_Mayor!F:F, Libro_Diario_Mayor!C:C, "&gt;="&amp;A18*100, Libro_Diario_Mayor!C:C, "&lt;="&amp;A18*100+99, Libro_Diario_Mayor!B:B, "&lt;"&amp;E$4))</f>
        <v>32000</v>
      </c>
      <c r="D18" s="360">
        <f>SUMIFS(Libro_Diario_Mayor!F:F, Libro_Diario_Mayor!C:C, "&gt;="&amp;A18*100, Libro_Diario_Mayor!C:C, "&lt;="&amp;A18*100+99, Libro_Diario_Mayor!B:B, "&gt;="&amp;E$4, Libro_Diario_Mayor!B:B, "&lt;="&amp;E$5)</f>
        <v>0</v>
      </c>
      <c r="E18" s="360">
        <f>SUMIFS(Libro_Diario_Mayor!G:G, Libro_Diario_Mayor!C:C, "&gt;="&amp;A18*100, Libro_Diario_Mayor!C:C, "&lt;="&amp;A18*100+99, Libro_Diario_Mayor!B:B, "&gt;="&amp;E$4, Libro_Diario_Mayor!B:B, "&lt;="&amp;E$5)</f>
        <v>0</v>
      </c>
      <c r="F18" s="360">
        <f>IF(OR(LEFT(A18,1)="1", LEFT(A18,1)="5", LEFT(A18,1)="6", LEFT(A18,1)="7"), C18 + D18 - E18, C18 + E18 - D18)</f>
        <v>32000</v>
      </c>
    </row>
    <row r="19" spans="1:6" x14ac:dyDescent="0.3">
      <c r="A19" s="358">
        <v>5145</v>
      </c>
      <c r="B19" s="358" t="s">
        <v>1326</v>
      </c>
      <c r="C19" s="360">
        <f>IF(OR(LEFT(A19,1)="1", LEFT(A19,1)="5", LEFT(A19,1)="6", LEFT(A19,1)="7"), SUMIFS(Libro_Diario_Mayor!F:F, Libro_Diario_Mayor!C:C, "&gt;="&amp;A19*100, Libro_Diario_Mayor!C:C, "&lt;="&amp;A19*100+99, Libro_Diario_Mayor!B:B, "&lt;"&amp;E$4) - SUMIFS(Libro_Diario_Mayor!G:G, Libro_Diario_Mayor!C:C, "&gt;="&amp;A19*100, Libro_Diario_Mayor!C:C, "&lt;="&amp;A19*100+99, Libro_Diario_Mayor!B:B, "&lt;"&amp;E$4), SUMIFS(Libro_Diario_Mayor!G:G, Libro_Diario_Mayor!C:C, "&gt;="&amp;A19*100, Libro_Diario_Mayor!C:C, "&lt;="&amp;A19*100+99, Libro_Diario_Mayor!B:B, "&lt;"&amp;E$4) - SUMIFS(Libro_Diario_Mayor!F:F, Libro_Diario_Mayor!C:C, "&gt;="&amp;A19*100, Libro_Diario_Mayor!C:C, "&lt;="&amp;A19*100+99, Libro_Diario_Mayor!B:B, "&lt;"&amp;E$4))</f>
        <v>80000</v>
      </c>
      <c r="D19" s="360">
        <f>SUMIFS(Libro_Diario_Mayor!F:F, Libro_Diario_Mayor!C:C, "&gt;="&amp;A19*100, Libro_Diario_Mayor!C:C, "&lt;="&amp;A19*100+99, Libro_Diario_Mayor!B:B, "&gt;="&amp;E$4, Libro_Diario_Mayor!B:B, "&lt;="&amp;E$5)</f>
        <v>0</v>
      </c>
      <c r="E19" s="360">
        <f>SUMIFS(Libro_Diario_Mayor!G:G, Libro_Diario_Mayor!C:C, "&gt;="&amp;A19*100, Libro_Diario_Mayor!C:C, "&lt;="&amp;A19*100+99, Libro_Diario_Mayor!B:B, "&gt;="&amp;E$4, Libro_Diario_Mayor!B:B, "&lt;="&amp;E$5)</f>
        <v>0</v>
      </c>
      <c r="F19" s="360">
        <f>IF(OR(LEFT(A19,1)="1", LEFT(A19,1)="5", LEFT(A19,1)="6", LEFT(A19,1)="7"), C19 + D19 - E19, C19 + E19 - D19)</f>
        <v>80000</v>
      </c>
    </row>
    <row r="20" spans="1:6" x14ac:dyDescent="0.3">
      <c r="A20" s="358">
        <v>5195</v>
      </c>
      <c r="B20" s="358" t="s">
        <v>1367</v>
      </c>
      <c r="C20" s="360">
        <f>IF(OR(LEFT(A20,1)="1", LEFT(A20,1)="5", LEFT(A20,1)="6", LEFT(A20,1)="7"), SUMIFS(Libro_Diario_Mayor!F:F, Libro_Diario_Mayor!C:C, "&gt;="&amp;A20*100, Libro_Diario_Mayor!C:C, "&lt;="&amp;A20*100+99, Libro_Diario_Mayor!B:B, "&lt;"&amp;E$4) - SUMIFS(Libro_Diario_Mayor!G:G, Libro_Diario_Mayor!C:C, "&gt;="&amp;A20*100, Libro_Diario_Mayor!C:C, "&lt;="&amp;A20*100+99, Libro_Diario_Mayor!B:B, "&lt;"&amp;E$4), SUMIFS(Libro_Diario_Mayor!G:G, Libro_Diario_Mayor!C:C, "&gt;="&amp;A20*100, Libro_Diario_Mayor!C:C, "&lt;="&amp;A20*100+99, Libro_Diario_Mayor!B:B, "&lt;"&amp;E$4) - SUMIFS(Libro_Diario_Mayor!F:F, Libro_Diario_Mayor!C:C, "&gt;="&amp;A20*100, Libro_Diario_Mayor!C:C, "&lt;="&amp;A20*100+99, Libro_Diario_Mayor!B:B, "&lt;"&amp;E$4))</f>
        <v>48500</v>
      </c>
      <c r="D20" s="360">
        <f>SUMIFS(Libro_Diario_Mayor!F:F, Libro_Diario_Mayor!C:C, "&gt;="&amp;A20*100, Libro_Diario_Mayor!C:C, "&lt;="&amp;A20*100+99, Libro_Diario_Mayor!B:B, "&gt;="&amp;E$4, Libro_Diario_Mayor!B:B, "&lt;="&amp;E$5)</f>
        <v>0</v>
      </c>
      <c r="E20" s="360">
        <f>SUMIFS(Libro_Diario_Mayor!G:G, Libro_Diario_Mayor!C:C, "&gt;="&amp;A20*100, Libro_Diario_Mayor!C:C, "&lt;="&amp;A20*100+99, Libro_Diario_Mayor!B:B, "&gt;="&amp;E$4, Libro_Diario_Mayor!B:B, "&lt;="&amp;E$5)</f>
        <v>0</v>
      </c>
      <c r="F20" s="360">
        <f>IF(OR(LEFT(A20,1)="1", LEFT(A20,1)="5", LEFT(A20,1)="6", LEFT(A20,1)="7"), C20 + D20 - E20, C20 + E20 - D20)</f>
        <v>48500</v>
      </c>
    </row>
    <row r="21" spans="1:6" x14ac:dyDescent="0.3">
      <c r="A21" s="358">
        <v>6120</v>
      </c>
      <c r="B21" s="358" t="s">
        <v>1362</v>
      </c>
      <c r="C21" s="360">
        <f>IF(OR(LEFT(A21,1)="1", LEFT(A21,1)="5", LEFT(A21,1)="6", LEFT(A21,1)="7"), SUMIFS(Libro_Diario_Mayor!F:F, Libro_Diario_Mayor!C:C, "&gt;="&amp;A21*100, Libro_Diario_Mayor!C:C, "&lt;="&amp;A21*100+99, Libro_Diario_Mayor!B:B, "&lt;"&amp;E$4) - SUMIFS(Libro_Diario_Mayor!G:G, Libro_Diario_Mayor!C:C, "&gt;="&amp;A21*100, Libro_Diario_Mayor!C:C, "&lt;="&amp;A21*100+99, Libro_Diario_Mayor!B:B, "&lt;"&amp;E$4), SUMIFS(Libro_Diario_Mayor!G:G, Libro_Diario_Mayor!C:C, "&gt;="&amp;A21*100, Libro_Diario_Mayor!C:C, "&lt;="&amp;A21*100+99, Libro_Diario_Mayor!B:B, "&lt;"&amp;E$4) - SUMIFS(Libro_Diario_Mayor!F:F, Libro_Diario_Mayor!C:C, "&gt;="&amp;A21*100, Libro_Diario_Mayor!C:C, "&lt;="&amp;A21*100+99, Libro_Diario_Mayor!B:B, "&lt;"&amp;E$4))</f>
        <v>328844.27709047624</v>
      </c>
      <c r="D21" s="360">
        <f>SUMIFS(Libro_Diario_Mayor!F:F, Libro_Diario_Mayor!C:C, "&gt;="&amp;A21*100, Libro_Diario_Mayor!C:C, "&lt;="&amp;A21*100+99, Libro_Diario_Mayor!B:B, "&gt;="&amp;E$4, Libro_Diario_Mayor!B:B, "&lt;="&amp;E$5)</f>
        <v>120860.17931619048</v>
      </c>
      <c r="E21" s="360">
        <f>SUMIFS(Libro_Diario_Mayor!G:G, Libro_Diario_Mayor!C:C, "&gt;="&amp;A21*100, Libro_Diario_Mayor!C:C, "&lt;="&amp;A21*100+99, Libro_Diario_Mayor!B:B, "&gt;="&amp;E$4, Libro_Diario_Mayor!B:B, "&lt;="&amp;E$5)</f>
        <v>0</v>
      </c>
      <c r="F21" s="360">
        <f>IF(OR(LEFT(A21,1)="1", LEFT(A21,1)="5", LEFT(A21,1)="6", LEFT(A21,1)="7"), C21 + D21 - E21, C21 + E21 - D21)</f>
        <v>449704.45640666672</v>
      </c>
    </row>
    <row r="22" spans="1:6" x14ac:dyDescent="0.3">
      <c r="A22" s="358">
        <v>7105</v>
      </c>
      <c r="B22" s="358" t="s">
        <v>1374</v>
      </c>
      <c r="C22" s="360">
        <f>IF(OR(LEFT(A22,1)="1", LEFT(A22,1)="5", LEFT(A22,1)="6", LEFT(A22,1)="7"), SUMIFS(Libro_Diario_Mayor!F:F, Libro_Diario_Mayor!C:C, "&gt;="&amp;A22*100, Libro_Diario_Mayor!C:C, "&lt;="&amp;A22*100+99, Libro_Diario_Mayor!B:B, "&lt;"&amp;E$4) - SUMIFS(Libro_Diario_Mayor!G:G, Libro_Diario_Mayor!C:C, "&gt;="&amp;A22*100, Libro_Diario_Mayor!C:C, "&lt;="&amp;A22*100+99, Libro_Diario_Mayor!B:B, "&lt;"&amp;E$4), SUMIFS(Libro_Diario_Mayor!G:G, Libro_Diario_Mayor!C:C, "&gt;="&amp;A22*100, Libro_Diario_Mayor!C:C, "&lt;="&amp;A22*100+99, Libro_Diario_Mayor!B:B, "&lt;"&amp;E$4) - SUMIFS(Libro_Diario_Mayor!F:F, Libro_Diario_Mayor!C:C, "&gt;="&amp;A22*100, Libro_Diario_Mayor!C:C, "&lt;="&amp;A22*100+99, Libro_Diario_Mayor!B:B, "&lt;"&amp;E$4))</f>
        <v>-1276.0961999999417</v>
      </c>
      <c r="D22" s="360">
        <f>SUMIFS(Libro_Diario_Mayor!F:F, Libro_Diario_Mayor!C:C, "&gt;="&amp;A22*100, Libro_Diario_Mayor!C:C, "&lt;="&amp;A22*100+99, Libro_Diario_Mayor!B:B, "&gt;="&amp;E$4, Libro_Diario_Mayor!B:B, "&lt;="&amp;E$5)</f>
        <v>0</v>
      </c>
      <c r="E22" s="360">
        <f>SUMIFS(Libro_Diario_Mayor!G:G, Libro_Diario_Mayor!C:C, "&gt;="&amp;A22*100, Libro_Diario_Mayor!C:C, "&lt;="&amp;A22*100+99, Libro_Diario_Mayor!B:B, "&gt;="&amp;E$4, Libro_Diario_Mayor!B:B, "&lt;="&amp;E$5)</f>
        <v>0</v>
      </c>
      <c r="F22" s="360">
        <f>IF(OR(LEFT(A22,1)="1", LEFT(A22,1)="5", LEFT(A22,1)="6", LEFT(A22,1)="7"), C22 + D22 - E22, C22 + E22 - D22)</f>
        <v>-1276.0961999999417</v>
      </c>
    </row>
    <row r="23" spans="1:6" x14ac:dyDescent="0.3">
      <c r="A23" s="358">
        <v>7305</v>
      </c>
      <c r="B23" s="358" t="s">
        <v>1365</v>
      </c>
      <c r="C23" s="360">
        <f>IF(OR(LEFT(A23,1)="1", LEFT(A23,1)="5", LEFT(A23,1)="6", LEFT(A23,1)="7"), SUMIFS(Libro_Diario_Mayor!F:F, Libro_Diario_Mayor!C:C, "&gt;="&amp;A23*100, Libro_Diario_Mayor!C:C, "&lt;="&amp;A23*100+99, Libro_Diario_Mayor!B:B, "&lt;"&amp;E$4) - SUMIFS(Libro_Diario_Mayor!G:G, Libro_Diario_Mayor!C:C, "&gt;="&amp;A23*100, Libro_Diario_Mayor!C:C, "&lt;="&amp;A23*100+99, Libro_Diario_Mayor!B:B, "&lt;"&amp;E$4), SUMIFS(Libro_Diario_Mayor!G:G, Libro_Diario_Mayor!C:C, "&gt;="&amp;A23*100, Libro_Diario_Mayor!C:C, "&lt;="&amp;A23*100+99, Libro_Diario_Mayor!B:B, "&lt;"&amp;E$4) - SUMIFS(Libro_Diario_Mayor!F:F, Libro_Diario_Mayor!C:C, "&gt;="&amp;A23*100, Libro_Diario_Mayor!C:C, "&lt;="&amp;A23*100+99, Libro_Diario_Mayor!B:B, "&lt;"&amp;E$4))</f>
        <v>1270000</v>
      </c>
      <c r="D23" s="360">
        <f>SUMIFS(Libro_Diario_Mayor!F:F, Libro_Diario_Mayor!C:C, "&gt;="&amp;A23*100, Libro_Diario_Mayor!C:C, "&lt;="&amp;A23*100+99, Libro_Diario_Mayor!B:B, "&gt;="&amp;E$4, Libro_Diario_Mayor!B:B, "&lt;="&amp;E$5)</f>
        <v>0</v>
      </c>
      <c r="E23" s="360">
        <f>SUMIFS(Libro_Diario_Mayor!G:G, Libro_Diario_Mayor!C:C, "&gt;="&amp;A23*100, Libro_Diario_Mayor!C:C, "&lt;="&amp;A23*100+99, Libro_Diario_Mayor!B:B, "&gt;="&amp;E$4, Libro_Diario_Mayor!B:B, "&lt;="&amp;E$5)</f>
        <v>0</v>
      </c>
      <c r="F23" s="360">
        <f>IF(OR(LEFT(A23,1)="1", LEFT(A23,1)="5", LEFT(A23,1)="6", LEFT(A23,1)="7"), C23 + D23 - E23, C23 + E23 - D23)</f>
        <v>1270000</v>
      </c>
    </row>
    <row r="24" spans="1:6" x14ac:dyDescent="0.3">
      <c r="A24">
        <v>110505</v>
      </c>
      <c r="B24" s="359" t="s">
        <v>1314</v>
      </c>
      <c r="C24" s="10">
        <f>IF(OR(LEFT(A24,1)="1", LEFT(A24,1)="5", LEFT(A24,1)="6", LEFT(A24,1)="7"), SUMIFS(Libro_Diario_Mayor!F:F, Libro_Diario_Mayor!C:C, A24, Libro_Diario_Mayor!B:B, "&lt;"&amp;E$4) - SUMIFS(Libro_Diario_Mayor!G:G, Libro_Diario_Mayor!C:C, A24, Libro_Diario_Mayor!B:B, "&lt;"&amp;E$4), SUMIFS(Libro_Diario_Mayor!G:G, Libro_Diario_Mayor!C:C, A24, Libro_Diario_Mayor!B:B, "&lt;"&amp;E$4) - SUMIFS(Libro_Diario_Mayor!F:F, Libro_Diario_Mayor!C:C, A24, Libro_Diario_Mayor!B:B, "&lt;"&amp;E$4))</f>
        <v>1082003.2300000004</v>
      </c>
      <c r="D24" s="10">
        <f>SUMIFS(Libro_Diario_Mayor!F:F, Libro_Diario_Mayor!C:C, A24, Libro_Diario_Mayor!B:B, "&gt;="&amp;E$4, Libro_Diario_Mayor!B:B, "&lt;="&amp;E$5)</f>
        <v>20000</v>
      </c>
      <c r="E24" s="10">
        <f>SUMIFS(Libro_Diario_Mayor!G:G, Libro_Diario_Mayor!C:C, A24, Libro_Diario_Mayor!B:B, "&gt;="&amp;E$4, Libro_Diario_Mayor!B:B, "&lt;="&amp;E$5)</f>
        <v>0</v>
      </c>
      <c r="F24" s="10">
        <f>IF(OR(LEFT(A24,1)="1", LEFT(A24,1)="5", LEFT(A24,1)="6", LEFT(A24,1)="7"), C24 + D24 - E24, C24 + E24 - D24)</f>
        <v>1102003.2300000004</v>
      </c>
    </row>
    <row r="25" spans="1:6" x14ac:dyDescent="0.3">
      <c r="A25">
        <v>140505</v>
      </c>
      <c r="B25" s="359" t="s">
        <v>1353</v>
      </c>
      <c r="C25" s="10">
        <f>IF(OR(LEFT(A25,1)="1", LEFT(A25,1)="5", LEFT(A25,1)="6", LEFT(A25,1)="7"), SUMIFS(Libro_Diario_Mayor!F:F, Libro_Diario_Mayor!C:C, A25, Libro_Diario_Mayor!B:B, "&lt;"&amp;E$4) - SUMIFS(Libro_Diario_Mayor!G:G, Libro_Diario_Mayor!C:C, A25, Libro_Diario_Mayor!B:B, "&lt;"&amp;E$4), SUMIFS(Libro_Diario_Mayor!G:G, Libro_Diario_Mayor!C:C, A25, Libro_Diario_Mayor!B:B, "&lt;"&amp;E$4) - SUMIFS(Libro_Diario_Mayor!F:F, Libro_Diario_Mayor!C:C, A25, Libro_Diario_Mayor!B:B, "&lt;"&amp;E$4))</f>
        <v>951134.73621523811</v>
      </c>
      <c r="D25" s="10">
        <f>SUMIFS(Libro_Diario_Mayor!F:F, Libro_Diario_Mayor!C:C, A25, Libro_Diario_Mayor!B:B, "&gt;="&amp;E$4, Libro_Diario_Mayor!B:B, "&lt;="&amp;E$5)</f>
        <v>2286415</v>
      </c>
      <c r="E25" s="10">
        <f>SUMIFS(Libro_Diario_Mayor!G:G, Libro_Diario_Mayor!C:C, A25, Libro_Diario_Mayor!B:B, "&gt;="&amp;E$4, Libro_Diario_Mayor!B:B, "&lt;="&amp;E$5)</f>
        <v>75956.36571619047</v>
      </c>
      <c r="F25" s="10">
        <f>IF(OR(LEFT(A25,1)="1", LEFT(A25,1)="5", LEFT(A25,1)="6", LEFT(A25,1)="7"), C25 + D25 - E25, C25 + E25 - D25)</f>
        <v>3161593.3704990475</v>
      </c>
    </row>
    <row r="26" spans="1:6" x14ac:dyDescent="0.3">
      <c r="A26">
        <v>143005</v>
      </c>
      <c r="B26" s="359" t="s">
        <v>1370</v>
      </c>
      <c r="C26" s="10">
        <f>IF(OR(LEFT(A26,1)="1", LEFT(A26,1)="5", LEFT(A26,1)="6", LEFT(A26,1)="7"), SUMIFS(Libro_Diario_Mayor!F:F, Libro_Diario_Mayor!C:C, A26, Libro_Diario_Mayor!B:B, "&lt;"&amp;E$4) - SUMIFS(Libro_Diario_Mayor!G:G, Libro_Diario_Mayor!C:C, A26, Libro_Diario_Mayor!B:B, "&lt;"&amp;E$4), SUMIFS(Libro_Diario_Mayor!G:G, Libro_Diario_Mayor!C:C, A26, Libro_Diario_Mayor!B:B, "&lt;"&amp;E$4) - SUMIFS(Libro_Diario_Mayor!F:F, Libro_Diario_Mayor!C:C, A26, Libro_Diario_Mayor!B:B, "&lt;"&amp;E$4))</f>
        <v>-22484.897532380943</v>
      </c>
      <c r="D26" s="10">
        <f>SUMIFS(Libro_Diario_Mayor!F:F, Libro_Diario_Mayor!C:C, A26, Libro_Diario_Mayor!B:B, "&gt;="&amp;E$4, Libro_Diario_Mayor!B:B, "&lt;="&amp;E$5)</f>
        <v>0</v>
      </c>
      <c r="E26" s="10">
        <f>SUMIFS(Libro_Diario_Mayor!G:G, Libro_Diario_Mayor!C:C, A26, Libro_Diario_Mayor!B:B, "&gt;="&amp;E$4, Libro_Diario_Mayor!B:B, "&lt;="&amp;E$5)</f>
        <v>2083.4776000000002</v>
      </c>
      <c r="F26" s="10">
        <f>IF(OR(LEFT(A26,1)="1", LEFT(A26,1)="5", LEFT(A26,1)="6", LEFT(A26,1)="7"), C26 + D26 - E26, C26 + E26 - D26)</f>
        <v>-24568.375132380941</v>
      </c>
    </row>
    <row r="27" spans="1:6" x14ac:dyDescent="0.3">
      <c r="A27">
        <v>152005</v>
      </c>
      <c r="B27" s="359" t="s">
        <v>1327</v>
      </c>
      <c r="C27" s="10">
        <f>IF(OR(LEFT(A27,1)="1", LEFT(A27,1)="5", LEFT(A27,1)="6", LEFT(A27,1)="7"), SUMIFS(Libro_Diario_Mayor!F:F, Libro_Diario_Mayor!C:C, A27, Libro_Diario_Mayor!B:B, "&lt;"&amp;E$4) - SUMIFS(Libro_Diario_Mayor!G:G, Libro_Diario_Mayor!C:C, A27, Libro_Diario_Mayor!B:B, "&lt;"&amp;E$4), SUMIFS(Libro_Diario_Mayor!G:G, Libro_Diario_Mayor!C:C, A27, Libro_Diario_Mayor!B:B, "&lt;"&amp;E$4) - SUMIFS(Libro_Diario_Mayor!F:F, Libro_Diario_Mayor!C:C, A27, Libro_Diario_Mayor!B:B, "&lt;"&amp;E$4))</f>
        <v>4227065</v>
      </c>
      <c r="D27" s="10">
        <f>SUMIFS(Libro_Diario_Mayor!F:F, Libro_Diario_Mayor!C:C, A27, Libro_Diario_Mayor!B:B, "&gt;="&amp;E$4, Libro_Diario_Mayor!B:B, "&lt;="&amp;E$5)</f>
        <v>0</v>
      </c>
      <c r="E27" s="10">
        <f>SUMIFS(Libro_Diario_Mayor!G:G, Libro_Diario_Mayor!C:C, A27, Libro_Diario_Mayor!B:B, "&gt;="&amp;E$4, Libro_Diario_Mayor!B:B, "&lt;="&amp;E$5)</f>
        <v>0</v>
      </c>
      <c r="F27" s="10">
        <f>IF(OR(LEFT(A27,1)="1", LEFT(A27,1)="5", LEFT(A27,1)="6", LEFT(A27,1)="7"), C27 + D27 - E27, C27 + E27 - D27)</f>
        <v>4227065</v>
      </c>
    </row>
    <row r="28" spans="1:6" x14ac:dyDescent="0.3">
      <c r="A28">
        <v>233525</v>
      </c>
      <c r="B28" s="359" t="s">
        <v>1373</v>
      </c>
      <c r="C28" s="10">
        <f>IF(OR(LEFT(A28,1)="1", LEFT(A28,1)="5", LEFT(A28,1)="6", LEFT(A28,1)="7"), SUMIFS(Libro_Diario_Mayor!F:F, Libro_Diario_Mayor!C:C, A28, Libro_Diario_Mayor!B:B, "&lt;"&amp;E$4) - SUMIFS(Libro_Diario_Mayor!G:G, Libro_Diario_Mayor!C:C, A28, Libro_Diario_Mayor!B:B, "&lt;"&amp;E$4), SUMIFS(Libro_Diario_Mayor!G:G, Libro_Diario_Mayor!C:C, A28, Libro_Diario_Mayor!B:B, "&lt;"&amp;E$4) - SUMIFS(Libro_Diario_Mayor!F:F, Libro_Diario_Mayor!C:C, A28, Libro_Diario_Mayor!B:B, "&lt;"&amp;E$4))</f>
        <v>1239203.8835748576</v>
      </c>
      <c r="D28" s="10">
        <f>SUMIFS(Libro_Diario_Mayor!F:F, Libro_Diario_Mayor!C:C, A28, Libro_Diario_Mayor!B:B, "&gt;="&amp;E$4, Libro_Diario_Mayor!B:B, "&lt;="&amp;E$5)</f>
        <v>0</v>
      </c>
      <c r="E28" s="10">
        <f>SUMIFS(Libro_Diario_Mayor!G:G, Libro_Diario_Mayor!C:C, A28, Libro_Diario_Mayor!B:B, "&gt;="&amp;E$4, Libro_Diario_Mayor!B:B, "&lt;="&amp;E$5)</f>
        <v>2321639.6994283809</v>
      </c>
      <c r="F28" s="10">
        <f>IF(OR(LEFT(A28,1)="1", LEFT(A28,1)="5", LEFT(A28,1)="6", LEFT(A28,1)="7"), C28 + D28 - E28, C28 + E28 - D28)</f>
        <v>3560843.5830032388</v>
      </c>
    </row>
    <row r="29" spans="1:6" x14ac:dyDescent="0.3">
      <c r="A29">
        <v>250505</v>
      </c>
      <c r="B29" s="359" t="s">
        <v>1420</v>
      </c>
      <c r="C29" s="10">
        <f>IF(OR(LEFT(A29,1)="1", LEFT(A29,1)="5", LEFT(A29,1)="6", LEFT(A29,1)="7"), SUMIFS(Libro_Diario_Mayor!F:F, Libro_Diario_Mayor!C:C, A29, Libro_Diario_Mayor!B:B, "&lt;"&amp;E$4) - SUMIFS(Libro_Diario_Mayor!G:G, Libro_Diario_Mayor!C:C, A29, Libro_Diario_Mayor!B:B, "&lt;"&amp;E$4), SUMIFS(Libro_Diario_Mayor!G:G, Libro_Diario_Mayor!C:C, A29, Libro_Diario_Mayor!B:B, "&lt;"&amp;E$4) - SUMIFS(Libro_Diario_Mayor!F:F, Libro_Diario_Mayor!C:C, A29, Libro_Diario_Mayor!B:B, "&lt;"&amp;E$4))</f>
        <v>17014.135998476191</v>
      </c>
      <c r="D29" s="10">
        <f>SUMIFS(Libro_Diario_Mayor!F:F, Libro_Diario_Mayor!C:C, A29, Libro_Diario_Mayor!B:B, "&gt;="&amp;E$4, Libro_Diario_Mayor!B:B, "&lt;="&amp;E$5)</f>
        <v>0</v>
      </c>
      <c r="E29" s="10">
        <f>SUMIFS(Libro_Diario_Mayor!G:G, Libro_Diario_Mayor!C:C, A29, Libro_Diario_Mayor!B:B, "&gt;="&amp;E$4, Libro_Diario_Mayor!B:B, "&lt;="&amp;E$5)</f>
        <v>7595.6365716190467</v>
      </c>
      <c r="F29" s="10">
        <f>IF(OR(LEFT(A29,1)="1", LEFT(A29,1)="5", LEFT(A29,1)="6", LEFT(A29,1)="7"), C29 + D29 - E29, C29 + E29 - D29)</f>
        <v>24609.772570095236</v>
      </c>
    </row>
    <row r="30" spans="1:6" x14ac:dyDescent="0.3">
      <c r="A30">
        <v>311505</v>
      </c>
      <c r="B30" s="359" t="s">
        <v>1415</v>
      </c>
      <c r="C30" s="10">
        <f>IF(OR(LEFT(A30,1)="1", LEFT(A30,1)="5", LEFT(A30,1)="6", LEFT(A30,1)="7"), SUMIFS(Libro_Diario_Mayor!F:F, Libro_Diario_Mayor!C:C, A30, Libro_Diario_Mayor!B:B, "&lt;"&amp;E$4) - SUMIFS(Libro_Diario_Mayor!G:G, Libro_Diario_Mayor!C:C, A30, Libro_Diario_Mayor!B:B, "&lt;"&amp;E$4), SUMIFS(Libro_Diario_Mayor!G:G, Libro_Diario_Mayor!C:C, A30, Libro_Diario_Mayor!B:B, "&lt;"&amp;E$4) - SUMIFS(Libro_Diario_Mayor!F:F, Libro_Diario_Mayor!C:C, A30, Libro_Diario_Mayor!B:B, "&lt;"&amp;E$4))</f>
        <v>6465225</v>
      </c>
      <c r="D30" s="10">
        <f>SUMIFS(Libro_Diario_Mayor!F:F, Libro_Diario_Mayor!C:C, A30, Libro_Diario_Mayor!B:B, "&gt;="&amp;E$4, Libro_Diario_Mayor!B:B, "&lt;="&amp;E$5)</f>
        <v>0</v>
      </c>
      <c r="E30" s="10">
        <f>SUMIFS(Libro_Diario_Mayor!G:G, Libro_Diario_Mayor!C:C, A30, Libro_Diario_Mayor!B:B, "&gt;="&amp;E$4, Libro_Diario_Mayor!B:B, "&lt;="&amp;E$5)</f>
        <v>0</v>
      </c>
      <c r="F30" s="10">
        <f>IF(OR(LEFT(A30,1)="1", LEFT(A30,1)="5", LEFT(A30,1)="6", LEFT(A30,1)="7"), C30 + D30 - E30, C30 + E30 - D30)</f>
        <v>6465225</v>
      </c>
    </row>
    <row r="31" spans="1:6" x14ac:dyDescent="0.3">
      <c r="A31">
        <v>412005</v>
      </c>
      <c r="B31" s="359" t="s">
        <v>1368</v>
      </c>
      <c r="C31" s="10">
        <f>IF(OR(LEFT(A31,1)="1", LEFT(A31,1)="5", LEFT(A31,1)="6", LEFT(A31,1)="7"), SUMIFS(Libro_Diario_Mayor!F:F, Libro_Diario_Mayor!C:C, A31, Libro_Diario_Mayor!B:B, "&lt;"&amp;E$4) - SUMIFS(Libro_Diario_Mayor!G:G, Libro_Diario_Mayor!C:C, A31, Libro_Diario_Mayor!B:B, "&lt;"&amp;E$4), SUMIFS(Libro_Diario_Mayor!G:G, Libro_Diario_Mayor!C:C, A31, Libro_Diario_Mayor!B:B, "&lt;"&amp;E$4) - SUMIFS(Libro_Diario_Mayor!F:F, Libro_Diario_Mayor!C:C, A31, Libro_Diario_Mayor!B:B, "&lt;"&amp;E$4))</f>
        <v>572002</v>
      </c>
      <c r="D31" s="10">
        <f>SUMIFS(Libro_Diario_Mayor!F:F, Libro_Diario_Mayor!C:C, A31, Libro_Diario_Mayor!B:B, "&gt;="&amp;E$4, Libro_Diario_Mayor!B:B, "&lt;="&amp;E$5)</f>
        <v>0</v>
      </c>
      <c r="E31" s="10">
        <f>SUMIFS(Libro_Diario_Mayor!G:G, Libro_Diario_Mayor!C:C, A31, Libro_Diario_Mayor!B:B, "&gt;="&amp;E$4, Libro_Diario_Mayor!B:B, "&lt;="&amp;E$5)</f>
        <v>20000</v>
      </c>
      <c r="F31" s="10">
        <f>IF(OR(LEFT(A31,1)="1", LEFT(A31,1)="5", LEFT(A31,1)="6", LEFT(A31,1)="7"), C31 + D31 - E31, C31 + E31 - D31)</f>
        <v>592002</v>
      </c>
    </row>
    <row r="32" spans="1:6" x14ac:dyDescent="0.3">
      <c r="A32">
        <v>421005</v>
      </c>
      <c r="B32" s="359" t="s">
        <v>1322</v>
      </c>
      <c r="C32" s="10">
        <f>IF(OR(LEFT(A32,1)="1", LEFT(A32,1)="5", LEFT(A32,1)="6", LEFT(A32,1)="7"), SUMIFS(Libro_Diario_Mayor!F:F, Libro_Diario_Mayor!C:C, A32, Libro_Diario_Mayor!B:B, "&lt;"&amp;E$4) - SUMIFS(Libro_Diario_Mayor!G:G, Libro_Diario_Mayor!C:C, A32, Libro_Diario_Mayor!B:B, "&lt;"&amp;E$4), SUMIFS(Libro_Diario_Mayor!G:G, Libro_Diario_Mayor!C:C, A32, Libro_Diario_Mayor!B:B, "&lt;"&amp;E$4) - SUMIFS(Libro_Diario_Mayor!F:F, Libro_Diario_Mayor!C:C, A32, Libro_Diario_Mayor!B:B, "&lt;"&amp;E$4))</f>
        <v>2341.23</v>
      </c>
      <c r="D32" s="10">
        <f>SUMIFS(Libro_Diario_Mayor!F:F, Libro_Diario_Mayor!C:C, A32, Libro_Diario_Mayor!B:B, "&gt;="&amp;E$4, Libro_Diario_Mayor!B:B, "&lt;="&amp;E$5)</f>
        <v>0</v>
      </c>
      <c r="E32" s="10">
        <f>SUMIFS(Libro_Diario_Mayor!G:G, Libro_Diario_Mayor!C:C, A32, Libro_Diario_Mayor!B:B, "&gt;="&amp;E$4, Libro_Diario_Mayor!B:B, "&lt;="&amp;E$5)</f>
        <v>0</v>
      </c>
      <c r="F32" s="10">
        <f>IF(OR(LEFT(A32,1)="1", LEFT(A32,1)="5", LEFT(A32,1)="6", LEFT(A32,1)="7"), C32 + D32 - E32, C32 + E32 - D32)</f>
        <v>2341.23</v>
      </c>
    </row>
    <row r="33" spans="1:6" x14ac:dyDescent="0.3">
      <c r="A33">
        <v>512010</v>
      </c>
      <c r="B33" s="359" t="s">
        <v>1324</v>
      </c>
      <c r="C33" s="10">
        <f>IF(OR(LEFT(A33,1)="1", LEFT(A33,1)="5", LEFT(A33,1)="6", LEFT(A33,1)="7"), SUMIFS(Libro_Diario_Mayor!F:F, Libro_Diario_Mayor!C:C, A33, Libro_Diario_Mayor!B:B, "&lt;"&amp;E$4) - SUMIFS(Libro_Diario_Mayor!G:G, Libro_Diario_Mayor!C:C, A33, Libro_Diario_Mayor!B:B, "&lt;"&amp;E$4), SUMIFS(Libro_Diario_Mayor!G:G, Libro_Diario_Mayor!C:C, A33, Libro_Diario_Mayor!B:B, "&lt;"&amp;E$4) - SUMIFS(Libro_Diario_Mayor!F:F, Libro_Diario_Mayor!C:C, A33, Libro_Diario_Mayor!B:B, "&lt;"&amp;E$4))</f>
        <v>300000</v>
      </c>
      <c r="D33" s="10">
        <f>SUMIFS(Libro_Diario_Mayor!F:F, Libro_Diario_Mayor!C:C, A33, Libro_Diario_Mayor!B:B, "&gt;="&amp;E$4, Libro_Diario_Mayor!B:B, "&lt;="&amp;E$5)</f>
        <v>0</v>
      </c>
      <c r="E33" s="10">
        <f>SUMIFS(Libro_Diario_Mayor!G:G, Libro_Diario_Mayor!C:C, A33, Libro_Diario_Mayor!B:B, "&gt;="&amp;E$4, Libro_Diario_Mayor!B:B, "&lt;="&amp;E$5)</f>
        <v>0</v>
      </c>
      <c r="F33" s="10">
        <f>IF(OR(LEFT(A33,1)="1", LEFT(A33,1)="5", LEFT(A33,1)="6", LEFT(A33,1)="7"), C33 + D33 - E33, C33 + E33 - D33)</f>
        <v>300000</v>
      </c>
    </row>
    <row r="34" spans="1:6" x14ac:dyDescent="0.3">
      <c r="A34">
        <v>513501</v>
      </c>
      <c r="B34" s="359" t="s">
        <v>1330</v>
      </c>
      <c r="C34" s="10">
        <f>IF(OR(LEFT(A34,1)="1", LEFT(A34,1)="5", LEFT(A34,1)="6", LEFT(A34,1)="7"), SUMIFS(Libro_Diario_Mayor!F:F, Libro_Diario_Mayor!C:C, A34, Libro_Diario_Mayor!B:B, "&lt;"&amp;E$4) - SUMIFS(Libro_Diario_Mayor!G:G, Libro_Diario_Mayor!C:C, A34, Libro_Diario_Mayor!B:B, "&lt;"&amp;E$4), SUMIFS(Libro_Diario_Mayor!G:G, Libro_Diario_Mayor!C:C, A34, Libro_Diario_Mayor!B:B, "&lt;"&amp;E$4) - SUMIFS(Libro_Diario_Mayor!F:F, Libro_Diario_Mayor!C:C, A34, Libro_Diario_Mayor!B:B, "&lt;"&amp;E$4))</f>
        <v>32000</v>
      </c>
      <c r="D34" s="10">
        <f>SUMIFS(Libro_Diario_Mayor!F:F, Libro_Diario_Mayor!C:C, A34, Libro_Diario_Mayor!B:B, "&gt;="&amp;E$4, Libro_Diario_Mayor!B:B, "&lt;="&amp;E$5)</f>
        <v>0</v>
      </c>
      <c r="E34" s="10">
        <f>SUMIFS(Libro_Diario_Mayor!G:G, Libro_Diario_Mayor!C:C, A34, Libro_Diario_Mayor!B:B, "&gt;="&amp;E$4, Libro_Diario_Mayor!B:B, "&lt;="&amp;E$5)</f>
        <v>0</v>
      </c>
      <c r="F34" s="10">
        <f>IF(OR(LEFT(A34,1)="1", LEFT(A34,1)="5", LEFT(A34,1)="6", LEFT(A34,1)="7"), C34 + D34 - E34, C34 + E34 - D34)</f>
        <v>32000</v>
      </c>
    </row>
    <row r="35" spans="1:6" x14ac:dyDescent="0.3">
      <c r="A35">
        <v>514505</v>
      </c>
      <c r="B35" s="359" t="s">
        <v>1331</v>
      </c>
      <c r="C35" s="10">
        <f>IF(OR(LEFT(A35,1)="1", LEFT(A35,1)="5", LEFT(A35,1)="6", LEFT(A35,1)="7"), SUMIFS(Libro_Diario_Mayor!F:F, Libro_Diario_Mayor!C:C, A35, Libro_Diario_Mayor!B:B, "&lt;"&amp;E$4) - SUMIFS(Libro_Diario_Mayor!G:G, Libro_Diario_Mayor!C:C, A35, Libro_Diario_Mayor!B:B, "&lt;"&amp;E$4), SUMIFS(Libro_Diario_Mayor!G:G, Libro_Diario_Mayor!C:C, A35, Libro_Diario_Mayor!B:B, "&lt;"&amp;E$4) - SUMIFS(Libro_Diario_Mayor!F:F, Libro_Diario_Mayor!C:C, A35, Libro_Diario_Mayor!B:B, "&lt;"&amp;E$4))</f>
        <v>80000</v>
      </c>
      <c r="D35" s="10">
        <f>SUMIFS(Libro_Diario_Mayor!F:F, Libro_Diario_Mayor!C:C, A35, Libro_Diario_Mayor!B:B, "&gt;="&amp;E$4, Libro_Diario_Mayor!B:B, "&lt;="&amp;E$5)</f>
        <v>0</v>
      </c>
      <c r="E35" s="10">
        <f>SUMIFS(Libro_Diario_Mayor!G:G, Libro_Diario_Mayor!C:C, A35, Libro_Diario_Mayor!B:B, "&gt;="&amp;E$4, Libro_Diario_Mayor!B:B, "&lt;="&amp;E$5)</f>
        <v>0</v>
      </c>
      <c r="F35" s="10">
        <f>IF(OR(LEFT(A35,1)="1", LEFT(A35,1)="5", LEFT(A35,1)="6", LEFT(A35,1)="7"), C35 + D35 - E35, C35 + E35 - D35)</f>
        <v>80000</v>
      </c>
    </row>
    <row r="36" spans="1:6" x14ac:dyDescent="0.3">
      <c r="A36">
        <v>519525</v>
      </c>
      <c r="B36" s="359" t="s">
        <v>1323</v>
      </c>
      <c r="C36" s="10">
        <f>IF(OR(LEFT(A36,1)="1", LEFT(A36,1)="5", LEFT(A36,1)="6", LEFT(A36,1)="7"), SUMIFS(Libro_Diario_Mayor!F:F, Libro_Diario_Mayor!C:C, A36, Libro_Diario_Mayor!B:B, "&lt;"&amp;E$4) - SUMIFS(Libro_Diario_Mayor!G:G, Libro_Diario_Mayor!C:C, A36, Libro_Diario_Mayor!B:B, "&lt;"&amp;E$4), SUMIFS(Libro_Diario_Mayor!G:G, Libro_Diario_Mayor!C:C, A36, Libro_Diario_Mayor!B:B, "&lt;"&amp;E$4) - SUMIFS(Libro_Diario_Mayor!F:F, Libro_Diario_Mayor!C:C, A36, Libro_Diario_Mayor!B:B, "&lt;"&amp;E$4))</f>
        <v>25000</v>
      </c>
      <c r="D36" s="10">
        <f>SUMIFS(Libro_Diario_Mayor!F:F, Libro_Diario_Mayor!C:C, A36, Libro_Diario_Mayor!B:B, "&gt;="&amp;E$4, Libro_Diario_Mayor!B:B, "&lt;="&amp;E$5)</f>
        <v>0</v>
      </c>
      <c r="E36" s="10">
        <f>SUMIFS(Libro_Diario_Mayor!G:G, Libro_Diario_Mayor!C:C, A36, Libro_Diario_Mayor!B:B, "&gt;="&amp;E$4, Libro_Diario_Mayor!B:B, "&lt;="&amp;E$5)</f>
        <v>0</v>
      </c>
      <c r="F36" s="10">
        <f>IF(OR(LEFT(A36,1)="1", LEFT(A36,1)="5", LEFT(A36,1)="6", LEFT(A36,1)="7"), C36 + D36 - E36, C36 + E36 - D36)</f>
        <v>25000</v>
      </c>
    </row>
    <row r="37" spans="1:6" x14ac:dyDescent="0.3">
      <c r="A37">
        <v>519530</v>
      </c>
      <c r="B37" s="359" t="s">
        <v>1328</v>
      </c>
      <c r="C37" s="10">
        <f>IF(OR(LEFT(A37,1)="1", LEFT(A37,1)="5", LEFT(A37,1)="6", LEFT(A37,1)="7"), SUMIFS(Libro_Diario_Mayor!F:F, Libro_Diario_Mayor!C:C, A37, Libro_Diario_Mayor!B:B, "&lt;"&amp;E$4) - SUMIFS(Libro_Diario_Mayor!G:G, Libro_Diario_Mayor!C:C, A37, Libro_Diario_Mayor!B:B, "&lt;"&amp;E$4), SUMIFS(Libro_Diario_Mayor!G:G, Libro_Diario_Mayor!C:C, A37, Libro_Diario_Mayor!B:B, "&lt;"&amp;E$4) - SUMIFS(Libro_Diario_Mayor!F:F, Libro_Diario_Mayor!C:C, A37, Libro_Diario_Mayor!B:B, "&lt;"&amp;E$4))</f>
        <v>23500</v>
      </c>
      <c r="D37" s="10">
        <f>SUMIFS(Libro_Diario_Mayor!F:F, Libro_Diario_Mayor!C:C, A37, Libro_Diario_Mayor!B:B, "&gt;="&amp;E$4, Libro_Diario_Mayor!B:B, "&lt;="&amp;E$5)</f>
        <v>0</v>
      </c>
      <c r="E37" s="10">
        <f>SUMIFS(Libro_Diario_Mayor!G:G, Libro_Diario_Mayor!C:C, A37, Libro_Diario_Mayor!B:B, "&gt;="&amp;E$4, Libro_Diario_Mayor!B:B, "&lt;="&amp;E$5)</f>
        <v>0</v>
      </c>
      <c r="F37" s="10">
        <f>IF(OR(LEFT(A37,1)="1", LEFT(A37,1)="5", LEFT(A37,1)="6", LEFT(A37,1)="7"), C37 + D37 - E37, C37 + E37 - D37)</f>
        <v>23500</v>
      </c>
    </row>
    <row r="38" spans="1:6" x14ac:dyDescent="0.3">
      <c r="A38">
        <v>612005</v>
      </c>
      <c r="B38" s="359" t="s">
        <v>1369</v>
      </c>
      <c r="C38" s="10">
        <f>IF(OR(LEFT(A38,1)="1", LEFT(A38,1)="5", LEFT(A38,1)="6", LEFT(A38,1)="7"), SUMIFS(Libro_Diario_Mayor!F:F, Libro_Diario_Mayor!C:C, A38, Libro_Diario_Mayor!B:B, "&lt;"&amp;E$4) - SUMIFS(Libro_Diario_Mayor!G:G, Libro_Diario_Mayor!C:C, A38, Libro_Diario_Mayor!B:B, "&lt;"&amp;E$4), SUMIFS(Libro_Diario_Mayor!G:G, Libro_Diario_Mayor!C:C, A38, Libro_Diario_Mayor!B:B, "&lt;"&amp;E$4) - SUMIFS(Libro_Diario_Mayor!F:F, Libro_Diario_Mayor!C:C, A38, Libro_Diario_Mayor!B:B, "&lt;"&amp;E$4))</f>
        <v>197909.6211342857</v>
      </c>
      <c r="D38" s="10">
        <f>SUMIFS(Libro_Diario_Mayor!F:F, Libro_Diario_Mayor!C:C, A38, Libro_Diario_Mayor!B:B, "&gt;="&amp;E$4, Libro_Diario_Mayor!B:B, "&lt;="&amp;E$5)</f>
        <v>2083.4776000000002</v>
      </c>
      <c r="E38" s="10">
        <f>SUMIFS(Libro_Diario_Mayor!G:G, Libro_Diario_Mayor!C:C, A38, Libro_Diario_Mayor!B:B, "&gt;="&amp;E$4, Libro_Diario_Mayor!B:B, "&lt;="&amp;E$5)</f>
        <v>0</v>
      </c>
      <c r="F38" s="10">
        <f>IF(OR(LEFT(A38,1)="1", LEFT(A38,1)="5", LEFT(A38,1)="6", LEFT(A38,1)="7"), C38 + D38 - E38, C38 + E38 - D38)</f>
        <v>199993.09873428571</v>
      </c>
    </row>
    <row r="39" spans="1:6" x14ac:dyDescent="0.3">
      <c r="A39">
        <v>612099</v>
      </c>
      <c r="B39" s="359" t="s">
        <v>1352</v>
      </c>
      <c r="C39" s="10">
        <f>IF(OR(LEFT(A39,1)="1", LEFT(A39,1)="5", LEFT(A39,1)="6", LEFT(A39,1)="7"), SUMIFS(Libro_Diario_Mayor!F:F, Libro_Diario_Mayor!C:C, A39, Libro_Diario_Mayor!B:B, "&lt;"&amp;E$4) - SUMIFS(Libro_Diario_Mayor!G:G, Libro_Diario_Mayor!C:C, A39, Libro_Diario_Mayor!B:B, "&lt;"&amp;E$4), SUMIFS(Libro_Diario_Mayor!G:G, Libro_Diario_Mayor!C:C, A39, Libro_Diario_Mayor!B:B, "&lt;"&amp;E$4) - SUMIFS(Libro_Diario_Mayor!F:F, Libro_Diario_Mayor!C:C, A39, Libro_Diario_Mayor!B:B, "&lt;"&amp;E$4))</f>
        <v>130934.65595619049</v>
      </c>
      <c r="D39" s="10">
        <f>SUMIFS(Libro_Diario_Mayor!F:F, Libro_Diario_Mayor!C:C, A39, Libro_Diario_Mayor!B:B, "&gt;="&amp;E$4, Libro_Diario_Mayor!B:B, "&lt;="&amp;E$5)</f>
        <v>118776.70171619048</v>
      </c>
      <c r="E39" s="10">
        <f>SUMIFS(Libro_Diario_Mayor!G:G, Libro_Diario_Mayor!C:C, A39, Libro_Diario_Mayor!B:B, "&gt;="&amp;E$4, Libro_Diario_Mayor!B:B, "&lt;="&amp;E$5)</f>
        <v>0</v>
      </c>
      <c r="F39" s="10">
        <f>IF(OR(LEFT(A39,1)="1", LEFT(A39,1)="5", LEFT(A39,1)="6", LEFT(A39,1)="7"), C39 + D39 - E39, C39 + E39 - D39)</f>
        <v>249711.35767238098</v>
      </c>
    </row>
    <row r="40" spans="1:6" x14ac:dyDescent="0.3">
      <c r="A40">
        <v>710505</v>
      </c>
      <c r="B40" s="359" t="s">
        <v>1372</v>
      </c>
      <c r="C40" s="10">
        <f>IF(OR(LEFT(A40,1)="1", LEFT(A40,1)="5", LEFT(A40,1)="6", LEFT(A40,1)="7"), SUMIFS(Libro_Diario_Mayor!F:F, Libro_Diario_Mayor!C:C, A40, Libro_Diario_Mayor!B:B, "&lt;"&amp;E$4) - SUMIFS(Libro_Diario_Mayor!G:G, Libro_Diario_Mayor!C:C, A40, Libro_Diario_Mayor!B:B, "&lt;"&amp;E$4), SUMIFS(Libro_Diario_Mayor!G:G, Libro_Diario_Mayor!C:C, A40, Libro_Diario_Mayor!B:B, "&lt;"&amp;E$4) - SUMIFS(Libro_Diario_Mayor!F:F, Libro_Diario_Mayor!C:C, A40, Libro_Diario_Mayor!B:B, "&lt;"&amp;E$4))</f>
        <v>-1276.0961999999417</v>
      </c>
      <c r="D40" s="10">
        <f>SUMIFS(Libro_Diario_Mayor!F:F, Libro_Diario_Mayor!C:C, A40, Libro_Diario_Mayor!B:B, "&gt;="&amp;E$4, Libro_Diario_Mayor!B:B, "&lt;="&amp;E$5)</f>
        <v>0</v>
      </c>
      <c r="E40" s="10">
        <f>SUMIFS(Libro_Diario_Mayor!G:G, Libro_Diario_Mayor!C:C, A40, Libro_Diario_Mayor!B:B, "&gt;="&amp;E$4, Libro_Diario_Mayor!B:B, "&lt;="&amp;E$5)</f>
        <v>0</v>
      </c>
      <c r="F40" s="10">
        <f>IF(OR(LEFT(A40,1)="1", LEFT(A40,1)="5", LEFT(A40,1)="6", LEFT(A40,1)="7"), C40 + D40 - E40, C40 + E40 - D40)</f>
        <v>-1276.0961999999417</v>
      </c>
    </row>
    <row r="41" spans="1:6" x14ac:dyDescent="0.3">
      <c r="A41">
        <v>730501</v>
      </c>
      <c r="B41" s="359" t="s">
        <v>1325</v>
      </c>
      <c r="C41" s="10">
        <f>IF(OR(LEFT(A41,1)="1", LEFT(A41,1)="5", LEFT(A41,1)="6", LEFT(A41,1)="7"), SUMIFS(Libro_Diario_Mayor!F:F, Libro_Diario_Mayor!C:C, A41, Libro_Diario_Mayor!B:B, "&lt;"&amp;E$4) - SUMIFS(Libro_Diario_Mayor!G:G, Libro_Diario_Mayor!C:C, A41, Libro_Diario_Mayor!B:B, "&lt;"&amp;E$4), SUMIFS(Libro_Diario_Mayor!G:G, Libro_Diario_Mayor!C:C, A41, Libro_Diario_Mayor!B:B, "&lt;"&amp;E$4) - SUMIFS(Libro_Diario_Mayor!F:F, Libro_Diario_Mayor!C:C, A41, Libro_Diario_Mayor!B:B, "&lt;"&amp;E$4))</f>
        <v>1270000</v>
      </c>
      <c r="D41" s="10">
        <f>SUMIFS(Libro_Diario_Mayor!F:F, Libro_Diario_Mayor!C:C, A41, Libro_Diario_Mayor!B:B, "&gt;="&amp;E$4, Libro_Diario_Mayor!B:B, "&lt;="&amp;E$5)</f>
        <v>0</v>
      </c>
      <c r="E41" s="10">
        <f>SUMIFS(Libro_Diario_Mayor!G:G, Libro_Diario_Mayor!C:C, A41, Libro_Diario_Mayor!B:B, "&gt;="&amp;E$4, Libro_Diario_Mayor!B:B, "&lt;="&amp;E$5)</f>
        <v>0</v>
      </c>
      <c r="F41" s="10">
        <f>IF(OR(LEFT(A41,1)="1", LEFT(A41,1)="5", LEFT(A41,1)="6", LEFT(A41,1)="7"), C41 + D41 - E41, C41 + E41 - D41)</f>
        <v>1270000</v>
      </c>
    </row>
  </sheetData>
  <autoFilter ref="A7:F41" xr:uid="{3CCD5362-A6A6-4A0B-A0E7-B864AB5A2CE4}"/>
  <sortState xmlns:xlrd2="http://schemas.microsoft.com/office/spreadsheetml/2017/richdata2" ref="A8:F41">
    <sortCondition ref="A8:A41"/>
  </sortState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FB30D-C0BF-45D1-923C-8B17752B073D}">
  <sheetPr codeName="Hoja24"/>
  <dimension ref="A1:E10"/>
  <sheetViews>
    <sheetView topLeftCell="A4" workbookViewId="0">
      <selection activeCell="F27" sqref="F27:F28"/>
    </sheetView>
  </sheetViews>
  <sheetFormatPr baseColWidth="10" defaultRowHeight="14.4" x14ac:dyDescent="0.3"/>
  <cols>
    <col min="1" max="1" width="45.77734375" customWidth="1"/>
    <col min="2" max="2" width="15.77734375" customWidth="1"/>
    <col min="4" max="4" width="12.77734375" customWidth="1"/>
  </cols>
  <sheetData>
    <row r="1" spans="1:5" x14ac:dyDescent="0.3">
      <c r="A1" s="310" t="s">
        <v>1343</v>
      </c>
    </row>
    <row r="2" spans="1:5" x14ac:dyDescent="0.3">
      <c r="D2" s="69" t="s">
        <v>1336</v>
      </c>
      <c r="E2" s="337">
        <v>2026</v>
      </c>
    </row>
    <row r="3" spans="1:5" x14ac:dyDescent="0.3">
      <c r="A3" t="s">
        <v>1344</v>
      </c>
      <c r="B3" s="8">
        <f>SUMIFS(Libro_Diario_Mayor!F:F, Libro_Diario_Mayor!C:C, "&gt;=110000", Libro_Diario_Mayor!C:C, "&lt;120000", Libro_Diario_Mayor!B:B, "&gt;="&amp;E$4, Libro_Diario_Mayor!B:B, "&lt;="&amp;E$5)</f>
        <v>574343.23</v>
      </c>
      <c r="D3" s="69" t="s">
        <v>1337</v>
      </c>
      <c r="E3" s="337">
        <v>5</v>
      </c>
    </row>
    <row r="4" spans="1:5" x14ac:dyDescent="0.3">
      <c r="A4" t="s">
        <v>1345</v>
      </c>
      <c r="B4" s="8">
        <f>SUMIFS(Libro_Diario_Mayor!G:G, Libro_Diario_Mayor!C:C, "&gt;=110000", Libro_Diario_Mayor!C:C, "&lt;120000", Libro_Diario_Mayor!B:B, "&gt;="&amp;E$4, Libro_Diario_Mayor!B:B, "&lt;="&amp;E$5)</f>
        <v>1125565</v>
      </c>
      <c r="D4" s="69" t="s">
        <v>1338</v>
      </c>
      <c r="E4" s="338">
        <f>DATE(E2,E3,1)</f>
        <v>46143</v>
      </c>
    </row>
    <row r="5" spans="1:5" x14ac:dyDescent="0.3">
      <c r="A5" s="68" t="s">
        <v>1346</v>
      </c>
      <c r="B5" s="309">
        <f>B3-B4</f>
        <v>-551221.77</v>
      </c>
      <c r="D5" s="69" t="s">
        <v>1339</v>
      </c>
      <c r="E5" s="338">
        <f>EOMONTH(E4,0)</f>
        <v>46173</v>
      </c>
    </row>
    <row r="6" spans="1:5" x14ac:dyDescent="0.3">
      <c r="B6" s="8"/>
    </row>
    <row r="7" spans="1:5" x14ac:dyDescent="0.3">
      <c r="A7" t="s">
        <v>1347</v>
      </c>
      <c r="B7" s="8">
        <f>SUMIFS(Libro_Diario_Mayor!F:F, Libro_Diario_Mayor!C:C, "&gt;=110000", Libro_Diario_Mayor!C:C, "&lt;120000", Libro_Diario_Mayor!B:B, "&lt;"&amp;E$4) - SUMIFS(Libro_Diario_Mayor!G:G, Libro_Diario_Mayor!C:C, "&gt;=110000", Libro_Diario_Mayor!C:C, "&lt;120000", Libro_Diario_Mayor!B:B, "&lt;"&amp;E$4)</f>
        <v>1633225</v>
      </c>
    </row>
    <row r="8" spans="1:5" x14ac:dyDescent="0.3">
      <c r="B8" s="8"/>
    </row>
    <row r="9" spans="1:5" ht="15" thickBot="1" x14ac:dyDescent="0.35">
      <c r="A9" s="339" t="s">
        <v>1348</v>
      </c>
      <c r="B9" s="340">
        <f>B5+B7</f>
        <v>1082003.23</v>
      </c>
    </row>
    <row r="10" spans="1:5" ht="15" thickTop="1" x14ac:dyDescent="0.3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A2A9C-6B47-47A1-9995-5BC7E94FB708}">
  <sheetPr codeName="Hoja26"/>
  <dimension ref="A1:E15"/>
  <sheetViews>
    <sheetView workbookViewId="0">
      <selection activeCell="B14" sqref="B14"/>
    </sheetView>
  </sheetViews>
  <sheetFormatPr baseColWidth="10" defaultRowHeight="14.4" x14ac:dyDescent="0.3"/>
  <cols>
    <col min="1" max="1" width="50.77734375" customWidth="1"/>
    <col min="2" max="2" width="18.77734375" customWidth="1"/>
    <col min="4" max="4" width="12.77734375" customWidth="1"/>
  </cols>
  <sheetData>
    <row r="1" spans="1:5" x14ac:dyDescent="0.3">
      <c r="A1" s="310" t="s">
        <v>1335</v>
      </c>
    </row>
    <row r="2" spans="1:5" x14ac:dyDescent="0.3">
      <c r="D2" s="69" t="s">
        <v>1336</v>
      </c>
      <c r="E2" s="337">
        <v>2026</v>
      </c>
    </row>
    <row r="3" spans="1:5" x14ac:dyDescent="0.3">
      <c r="A3" t="s">
        <v>1283</v>
      </c>
      <c r="B3" s="8">
        <f>SUMIFS(Libro_Diario_Mayor!G:G, Libro_Diario_Mayor!C:C, "&gt;=400000", Libro_Diario_Mayor!C:C, "&lt;500000", Libro_Diario_Mayor!B:B, "&gt;="&amp;E$4, Libro_Diario_Mayor!B:B, "&lt;="&amp;E$5) - SUMIFS(Libro_Diario_Mayor!F:F, Libro_Diario_Mayor!C:C, "&gt;=400000", Libro_Diario_Mayor!C:C, "&lt;500000", Libro_Diario_Mayor!B:B, "&gt;="&amp;E$4, Libro_Diario_Mayor!B:B, "&lt;="&amp;E$5)</f>
        <v>574343.23</v>
      </c>
      <c r="D3" s="69" t="s">
        <v>1337</v>
      </c>
      <c r="E3" s="337">
        <v>5</v>
      </c>
    </row>
    <row r="4" spans="1:5" x14ac:dyDescent="0.3">
      <c r="A4" t="s">
        <v>1284</v>
      </c>
      <c r="B4" s="8">
        <f>SUMIFS(Libro_Diario_Mayor!G:G, Libro_Diario_Mayor!C:C, "&gt;=700000", Libro_Diario_Mayor!C:C, "&lt;800000", Libro_Diario_Mayor!B:B, "&gt;="&amp;E$4, Libro_Diario_Mayor!B:B, "&lt;="&amp;E$5) - SUMIFS(Libro_Diario_Mayor!F:F, Libro_Diario_Mayor!C:C, "&gt;=700000", Libro_Diario_Mayor!C:C, "&lt;800000", Libro_Diario_Mayor!B:B, "&gt;="&amp;E$4, Libro_Diario_Mayor!B:B, "&lt;="&amp;E$5)</f>
        <v>-178723.9038000002</v>
      </c>
      <c r="D4" s="69" t="s">
        <v>1338</v>
      </c>
      <c r="E4" s="338">
        <f>DATE(E2,E3,1)</f>
        <v>46143</v>
      </c>
    </row>
    <row r="5" spans="1:5" x14ac:dyDescent="0.3">
      <c r="A5" s="68" t="s">
        <v>1332</v>
      </c>
      <c r="B5" s="309">
        <f>B3+B4</f>
        <v>395619.32619999978</v>
      </c>
      <c r="D5" s="69" t="s">
        <v>1339</v>
      </c>
      <c r="E5" s="338">
        <f>EOMONTH(E4,0)</f>
        <v>46173</v>
      </c>
    </row>
    <row r="6" spans="1:5" x14ac:dyDescent="0.3">
      <c r="B6" s="8"/>
    </row>
    <row r="7" spans="1:5" x14ac:dyDescent="0.3">
      <c r="A7" t="s">
        <v>1285</v>
      </c>
      <c r="B7" s="8">
        <f>SUMIFS(Libro_Diario_Mayor!G:G, Libro_Diario_Mayor!C:C, "&gt;=500000", Libro_Diario_Mayor!C:C, "&lt;600000", Libro_Diario_Mayor!B:B, "&gt;="&amp;E$4, Libro_Diario_Mayor!B:B, "&lt;="&amp;E$5) - SUMIFS(Libro_Diario_Mayor!F:F, Libro_Diario_Mayor!C:C, "&gt;=500000", Libro_Diario_Mayor!C:C, "&lt;600000", Libro_Diario_Mayor!B:B, "&gt;="&amp;E$4, Libro_Diario_Mayor!B:B, "&lt;="&amp;E$5)</f>
        <v>-348500</v>
      </c>
    </row>
    <row r="8" spans="1:5" x14ac:dyDescent="0.3">
      <c r="B8" s="8"/>
    </row>
    <row r="9" spans="1:5" ht="15" thickBot="1" x14ac:dyDescent="0.35">
      <c r="A9" s="68" t="s">
        <v>1340</v>
      </c>
      <c r="B9" s="311">
        <f>B5+B7</f>
        <v>47119.326199999778</v>
      </c>
    </row>
    <row r="10" spans="1:5" ht="15" thickTop="1" x14ac:dyDescent="0.3"/>
    <row r="12" spans="1:5" x14ac:dyDescent="0.3">
      <c r="A12" s="310" t="s">
        <v>1341</v>
      </c>
    </row>
    <row r="14" spans="1:5" x14ac:dyDescent="0.3">
      <c r="A14" t="s">
        <v>1333</v>
      </c>
      <c r="B14" s="336">
        <f>IF(B3&gt;0, ABS(B5)/B3, 0)</f>
        <v>0.68882038741886065</v>
      </c>
    </row>
    <row r="15" spans="1:5" x14ac:dyDescent="0.3">
      <c r="A15" t="s">
        <v>1342</v>
      </c>
      <c r="B15" s="336">
        <f>IF(B3&gt;0, B9/B3, 0)</f>
        <v>8.204036147514053E-2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A54B-4262-4DC4-AF09-9C9DC2B8D0BD}">
  <sheetPr codeName="Hoja27"/>
  <dimension ref="C1:H40"/>
  <sheetViews>
    <sheetView topLeftCell="A13" workbookViewId="0">
      <selection activeCell="G39" sqref="G39"/>
    </sheetView>
  </sheetViews>
  <sheetFormatPr baseColWidth="10" defaultRowHeight="14.4" x14ac:dyDescent="0.3"/>
  <cols>
    <col min="4" max="4" width="29.5546875" bestFit="1" customWidth="1"/>
    <col min="5" max="5" width="15.77734375" customWidth="1"/>
    <col min="6" max="6" width="4.109375" customWidth="1"/>
    <col min="7" max="8" width="15.77734375" customWidth="1"/>
  </cols>
  <sheetData>
    <row r="1" spans="3:8" x14ac:dyDescent="0.3">
      <c r="D1" s="444" t="s">
        <v>1286</v>
      </c>
      <c r="E1" s="423"/>
      <c r="F1" s="423"/>
      <c r="G1" s="423"/>
      <c r="H1" s="423"/>
    </row>
    <row r="2" spans="3:8" x14ac:dyDescent="0.3">
      <c r="D2" s="444" t="s">
        <v>1349</v>
      </c>
      <c r="E2" s="423"/>
      <c r="F2" s="423"/>
      <c r="G2" s="423"/>
      <c r="H2" s="423"/>
    </row>
    <row r="4" spans="3:8" x14ac:dyDescent="0.3">
      <c r="E4">
        <v>2026</v>
      </c>
      <c r="G4">
        <v>0</v>
      </c>
    </row>
    <row r="6" spans="3:8" x14ac:dyDescent="0.3">
      <c r="C6" s="310" t="s">
        <v>512</v>
      </c>
    </row>
    <row r="8" spans="3:8" x14ac:dyDescent="0.3">
      <c r="D8" s="68" t="s">
        <v>1287</v>
      </c>
      <c r="E8" s="309">
        <f>SUM(E9:E11)</f>
        <v>4239028.2253666669</v>
      </c>
    </row>
    <row r="9" spans="3:8" x14ac:dyDescent="0.3">
      <c r="D9" t="s">
        <v>1288</v>
      </c>
      <c r="E9" s="8">
        <f>SUMIFS(Libro_Diario_Mayor!F:F, Libro_Diario_Mayor!C:C, "&gt;=110000", Libro_Diario_Mayor!C:C, "&lt;120000") - SUMIFS(Libro_Diario_Mayor!G:G, Libro_Diario_Mayor!C:C, "&gt;=110000", Libro_Diario_Mayor!C:C, "&lt;120000")</f>
        <v>1102003.2300000004</v>
      </c>
    </row>
    <row r="10" spans="3:8" x14ac:dyDescent="0.3">
      <c r="D10" t="s">
        <v>1289</v>
      </c>
      <c r="E10" s="8">
        <f>SUMIFS(Libro_Diario_Mayor!F:F, Libro_Diario_Mayor!C:C, "&gt;=130000", Libro_Diario_Mayor!C:C, "&lt;140000") - SUMIFS(Libro_Diario_Mayor!G:G, Libro_Diario_Mayor!C:C, "&gt;=130000", Libro_Diario_Mayor!C:C, "&lt;140000")</f>
        <v>0</v>
      </c>
    </row>
    <row r="11" spans="3:8" x14ac:dyDescent="0.3">
      <c r="D11" t="s">
        <v>1290</v>
      </c>
      <c r="E11" s="8">
        <f>SUMIFS(Libro_Diario_Mayor!F:F, Libro_Diario_Mayor!C:C, "&gt;=140000", Libro_Diario_Mayor!C:C, "&lt;150000") - SUMIFS(Libro_Diario_Mayor!G:G, Libro_Diario_Mayor!C:C, "&gt;=140000", Libro_Diario_Mayor!C:C, "&lt;150000")</f>
        <v>3137024.9953666665</v>
      </c>
    </row>
    <row r="12" spans="3:8" x14ac:dyDescent="0.3">
      <c r="E12" s="8"/>
    </row>
    <row r="13" spans="3:8" x14ac:dyDescent="0.3">
      <c r="D13" s="68" t="s">
        <v>1291</v>
      </c>
      <c r="E13" s="309">
        <f>SUM(E14:E15)</f>
        <v>4227065</v>
      </c>
    </row>
    <row r="14" spans="3:8" x14ac:dyDescent="0.3">
      <c r="D14" t="s">
        <v>1334</v>
      </c>
      <c r="E14" s="8">
        <f>SUMIFS(Libro_Diario_Mayor!F:F, Libro_Diario_Mayor!C:C, "&gt;=150000", Libro_Diario_Mayor!C:C, "&lt;159200") - SUMIFS(Libro_Diario_Mayor!G:G, Libro_Diario_Mayor!C:C, "&gt;=150000", Libro_Diario_Mayor!C:C, "&lt;159200")</f>
        <v>4227065</v>
      </c>
    </row>
    <row r="15" spans="3:8" x14ac:dyDescent="0.3">
      <c r="D15" t="s">
        <v>1292</v>
      </c>
      <c r="E15" s="8">
        <f>SUMIFS(Libro_Diario_Mayor!F:F, Libro_Diario_Mayor!C:C, "&gt;=159200", Libro_Diario_Mayor!C:C, "&lt;160000") - SUMIFS(Libro_Diario_Mayor!G:G, Libro_Diario_Mayor!C:C, "&gt;=159200", Libro_Diario_Mayor!C:C, "&lt;160000")</f>
        <v>0</v>
      </c>
    </row>
    <row r="16" spans="3:8" x14ac:dyDescent="0.3">
      <c r="E16" s="8"/>
    </row>
    <row r="17" spans="3:6" x14ac:dyDescent="0.3">
      <c r="D17" t="s">
        <v>1293</v>
      </c>
      <c r="E17" s="8">
        <f>SUMIFS(Libro_Diario_Mayor!F:F, Libro_Diario_Mayor!C:C, "&gt;=160000", Libro_Diario_Mayor!C:C, "&lt;200000") - SUMIFS(Libro_Diario_Mayor!G:G, Libro_Diario_Mayor!C:C, "&gt;=160000", Libro_Diario_Mayor!C:C, "&lt;200000")</f>
        <v>0</v>
      </c>
    </row>
    <row r="18" spans="3:6" x14ac:dyDescent="0.3">
      <c r="E18" s="8"/>
    </row>
    <row r="19" spans="3:6" ht="15" thickBot="1" x14ac:dyDescent="0.35">
      <c r="D19" s="68" t="s">
        <v>1294</v>
      </c>
      <c r="E19" s="311">
        <f>E8+E13+E17</f>
        <v>8466093.2253666669</v>
      </c>
    </row>
    <row r="20" spans="3:6" ht="15" thickTop="1" x14ac:dyDescent="0.3"/>
    <row r="21" spans="3:6" x14ac:dyDescent="0.3">
      <c r="F21" s="312">
        <f>E19-E35</f>
        <v>24609.772570097819</v>
      </c>
    </row>
    <row r="22" spans="3:6" x14ac:dyDescent="0.3">
      <c r="C22" s="310" t="s">
        <v>1295</v>
      </c>
    </row>
    <row r="24" spans="3:6" x14ac:dyDescent="0.3">
      <c r="D24" s="68" t="s">
        <v>1296</v>
      </c>
      <c r="E24" s="309">
        <f>SUM(E25:E26)</f>
        <v>3560843.5830032383</v>
      </c>
    </row>
    <row r="25" spans="3:6" x14ac:dyDescent="0.3">
      <c r="D25" t="s">
        <v>1297</v>
      </c>
      <c r="E25" s="8">
        <f>SUMIFS(Libro_Diario_Mayor!G:G, Libro_Diario_Mayor!C:C, "&gt;=220000", Libro_Diario_Mayor!C:C, "&lt;240000") - SUMIFS(Libro_Diario_Mayor!F:F, Libro_Diario_Mayor!C:C, "&gt;=220000", Libro_Diario_Mayor!C:C, "&lt;240000")</f>
        <v>3560843.5830032383</v>
      </c>
    </row>
    <row r="26" spans="3:6" x14ac:dyDescent="0.3">
      <c r="D26" t="s">
        <v>1298</v>
      </c>
      <c r="E26" s="8">
        <f>SUMIFS(Libro_Diario_Mayor!G:G, Libro_Diario_Mayor!C:C, "&gt;=240000", Libro_Diario_Mayor!C:C, "&lt;250000") - SUMIFS(Libro_Diario_Mayor!F:F, Libro_Diario_Mayor!C:C, "&gt;=240000", Libro_Diario_Mayor!C:C, "&lt;250000")</f>
        <v>0</v>
      </c>
    </row>
    <row r="27" spans="3:6" x14ac:dyDescent="0.3">
      <c r="E27" s="8"/>
    </row>
    <row r="28" spans="3:6" x14ac:dyDescent="0.3">
      <c r="D28" s="68" t="s">
        <v>1299</v>
      </c>
      <c r="E28" s="309">
        <f>SUM(E29:E29)</f>
        <v>0</v>
      </c>
    </row>
    <row r="29" spans="3:6" x14ac:dyDescent="0.3">
      <c r="D29" t="s">
        <v>1300</v>
      </c>
      <c r="E29" s="8">
        <f>SUMIFS(Libro_Diario_Mayor!G:G, Libro_Diario_Mayor!C:C, "&gt;=210000", Libro_Diario_Mayor!C:C, "&lt;220000") - SUMIFS(Libro_Diario_Mayor!F:F, Libro_Diario_Mayor!C:C, "&gt;=210000", Libro_Diario_Mayor!C:C, "&lt;220000")</f>
        <v>0</v>
      </c>
    </row>
    <row r="30" spans="3:6" x14ac:dyDescent="0.3">
      <c r="E30" s="8"/>
    </row>
    <row r="31" spans="3:6" x14ac:dyDescent="0.3">
      <c r="D31" s="68" t="s">
        <v>1301</v>
      </c>
      <c r="E31" s="309">
        <f>SUM(E32:E33)</f>
        <v>4880639.8697933313</v>
      </c>
    </row>
    <row r="32" spans="3:6" x14ac:dyDescent="0.3">
      <c r="D32" t="s">
        <v>1302</v>
      </c>
      <c r="E32" s="8">
        <f>SUMIFS(Libro_Diario_Mayor!G:G, Libro_Diario_Mayor!C:C, "&gt;=310000", Libro_Diario_Mayor!C:C, "&lt;320000") - SUMIFS(Libro_Diario_Mayor!F:F, Libro_Diario_Mayor!C:C, "&gt;=310000", Libro_Diario_Mayor!C:C, "&lt;320000")</f>
        <v>6465225</v>
      </c>
    </row>
    <row r="33" spans="4:5" x14ac:dyDescent="0.3">
      <c r="D33" t="s">
        <v>1350</v>
      </c>
      <c r="E33" s="8">
        <f>(SUMIFS(Libro_Diario_Mayor!G:G, Libro_Diario_Mayor!C:C, "&gt;=400000", Libro_Diario_Mayor!C:C, "&lt;500000") - SUMIFS(Libro_Diario_Mayor!F:F, Libro_Diario_Mayor!C:C, "&gt;=400000", Libro_Diario_Mayor!C:C, "&lt;500000")) - (SUMIFS(Libro_Diario_Mayor!F:F, Libro_Diario_Mayor!C:C, "&gt;=500000", Libro_Diario_Mayor!C:C, "&lt;800000") - SUMIFS(Libro_Diario_Mayor!G:G, Libro_Diario_Mayor!C:C, "&gt;=500000", Libro_Diario_Mayor!C:C, "&lt;800000"))</f>
        <v>-1584585.1302066692</v>
      </c>
    </row>
    <row r="34" spans="4:5" x14ac:dyDescent="0.3">
      <c r="E34" s="8"/>
    </row>
    <row r="35" spans="4:5" ht="15" thickBot="1" x14ac:dyDescent="0.35">
      <c r="D35" s="68" t="s">
        <v>1303</v>
      </c>
      <c r="E35" s="311">
        <f>E24+E28+E31</f>
        <v>8441483.4527965691</v>
      </c>
    </row>
    <row r="36" spans="4:5" ht="15" thickTop="1" x14ac:dyDescent="0.3"/>
    <row r="37" spans="4:5" x14ac:dyDescent="0.3">
      <c r="D37" s="68"/>
    </row>
    <row r="38" spans="4:5" x14ac:dyDescent="0.3">
      <c r="D38" s="68" t="s">
        <v>1913</v>
      </c>
      <c r="E38" s="9">
        <f>+E19-E35</f>
        <v>24609.772570097819</v>
      </c>
    </row>
    <row r="40" spans="4:5" x14ac:dyDescent="0.3">
      <c r="E40" s="9"/>
    </row>
  </sheetData>
  <mergeCells count="2">
    <mergeCell ref="D1:H1"/>
    <mergeCell ref="D2:H2"/>
  </mergeCells>
  <conditionalFormatting sqref="F21">
    <cfRule type="cellIs" dxfId="0" priority="1" stopIfTrue="1" operator="not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30</vt:i4>
      </vt:variant>
      <vt:variant>
        <vt:lpstr>Rangos con nombre</vt:lpstr>
      </vt:variant>
      <vt:variant>
        <vt:i4>7</vt:i4>
      </vt:variant>
    </vt:vector>
  </HeadingPairs>
  <TitlesOfParts>
    <vt:vector size="37" baseType="lpstr">
      <vt:lpstr>Inicio</vt:lpstr>
      <vt:lpstr>Calculadora_Produccion</vt:lpstr>
      <vt:lpstr>Cotización</vt:lpstr>
      <vt:lpstr>Hoja3</vt:lpstr>
      <vt:lpstr>Parametros</vt:lpstr>
      <vt:lpstr>Facturación</vt:lpstr>
      <vt:lpstr>Cotización Venta</vt:lpstr>
      <vt:lpstr>Factura</vt:lpstr>
      <vt:lpstr>Inventario_Materiales_(2)</vt:lpstr>
      <vt:lpstr>Configuracion_Costos</vt:lpstr>
      <vt:lpstr>Inventario_Materiales</vt:lpstr>
      <vt:lpstr>Inventario_Prod_terminado</vt:lpstr>
      <vt:lpstr>Gestión Impresión</vt:lpstr>
      <vt:lpstr>Dashboard_Estadisticas</vt:lpstr>
      <vt:lpstr>Descuentos_Volumen</vt:lpstr>
      <vt:lpstr>Diario</vt:lpstr>
      <vt:lpstr>Hoja1</vt:lpstr>
      <vt:lpstr>Plantilla mensual</vt:lpstr>
      <vt:lpstr>Ingresos mensuales</vt:lpstr>
      <vt:lpstr>Gastos mensuales</vt:lpstr>
      <vt:lpstr>EN BLANCO - Entrada de datos</vt:lpstr>
      <vt:lpstr>EN BLANCO - Panel de ganancias </vt:lpstr>
      <vt:lpstr>Balance</vt:lpstr>
      <vt:lpstr>Registro_Flujo_Caja</vt:lpstr>
      <vt:lpstr>Libro_Diario_Mayor</vt:lpstr>
      <vt:lpstr>DESGLOSE DE CUENTAS</vt:lpstr>
      <vt:lpstr>Mayor_y_Balances</vt:lpstr>
      <vt:lpstr>Flujo_de_Caja</vt:lpstr>
      <vt:lpstr>Panel_GyP</vt:lpstr>
      <vt:lpstr>Balance_General</vt:lpstr>
      <vt:lpstr>Balance!Área_de_impresión</vt:lpstr>
      <vt:lpstr>Cotización!Área_de_impresión</vt:lpstr>
      <vt:lpstr>'Cotización Venta'!Área_de_impresión</vt:lpstr>
      <vt:lpstr>'EN BLANCO - Entrada de datos'!Área_de_impresión</vt:lpstr>
      <vt:lpstr>'EN BLANCO - Panel de ganancias '!Área_de_impresión</vt:lpstr>
      <vt:lpstr>Factura!Área_de_impresión</vt:lpstr>
      <vt:lpstr>'EN BLANCO - Panel de ganancias '!ListMonths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Prisma Lab</cp:lastModifiedBy>
  <cp:lastPrinted>2026-08-05T23:14:44Z</cp:lastPrinted>
  <dcterms:created xsi:type="dcterms:W3CDTF">2026-05-01T19:06:09Z</dcterms:created>
  <dcterms:modified xsi:type="dcterms:W3CDTF">2026-08-06T20:29:34Z</dcterms:modified>
</cp:coreProperties>
</file>